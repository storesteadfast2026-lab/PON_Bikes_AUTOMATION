
<file path=[Content_Types].xml><?xml version="1.0" encoding="utf-8"?>
<Types xmlns="http://schemas.openxmlformats.org/package/2006/content-type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trlProps/ctrlProp29.xml" ContentType="application/vnd.ms-excel.controlproperties+xml"/>
  <Override PartName="/xl/worksheets/sheet7.xml" ContentType="application/vnd.openxmlformats-officedocument.spreadsheetml.worksheet+xml"/>
  <Override PartName="/xl/worksheets/sheet11.xml" ContentType="application/vnd.openxmlformats-officedocument.spreadsheetml.worksheet+xml"/>
  <Override PartName="/xl/vbaProject.bin" ContentType="application/vnd.ms-office.vbaProject"/>
  <Override PartName="/xl/ctrlProps/ctrlProp27.xml" ContentType="application/vnd.ms-excel.controlproperties+xml"/>
  <Override PartName="/xl/ctrlProps/ctrlProp18.xml" ContentType="application/vnd.ms-excel.controlproperties+xml"/>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trlProps/ctrlProp25.xml" ContentType="application/vnd.ms-excel.controlproperties+xml"/>
  <Override PartName="/xl/ctrlProps/ctrlProp34.xml" ContentType="application/vnd.ms-excel.controlproperties+xml"/>
  <Override PartName="/xl/ctrlProps/ctrlProp24.xml" ContentType="application/vnd.ms-excel.controlproperties+xml"/>
  <Override PartName="/xl/persons/person0.xml" ContentType="application/vnd.ms-excel.person+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23.xml" ContentType="application/vnd.ms-excel.controlproperties+xml"/>
  <Override PartName="/xl/ctrlProps/ctrlProp33.xml" ContentType="application/vnd.ms-excel.controlproperties+xml"/>
  <Override PartName="/xl/ctrlProps/ctrlProp22.xml" ContentType="application/vnd.ms-excel.controlproperties+xml"/>
  <Override PartName="/xl/ctrlProps/ctrlProp32.xml" ContentType="application/vnd.ms-excel.controlproperties+xml"/>
  <Override PartName="/xl/ctrlProps/ctrlProp14.xml" ContentType="application/vnd.ms-excel.controlproperties+xml"/>
  <Override PartName="/xl/ctrlProps/ctrlProp8.xml" ContentType="application/vnd.ms-excel.controlproperties+xml"/>
  <Override PartName="/xl/ctrlProps/ctrlProp13.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31.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persons/person.xml" ContentType="application/vnd.ms-excel.person+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Default Extension="png" ContentType="image/png"/>
  <Override PartName="/xl/ctrlProps/ctrlProp28.xml" ContentType="application/vnd.ms-excel.controlproperties+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ctrlProps/ctrlProp26.xml" ContentType="application/vnd.ms-excel.controlproperties+xml"/>
  <Override PartName="/xl/ctrlProps/ctrlProp17.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120" windowWidth="19420" windowHeight="11020" tabRatio="607" activeTab="1"/>
  </bookViews>
  <sheets>
    <sheet name="Loc" sheetId="4" r:id="rId1"/>
    <sheet name="Scan" sheetId="2" r:id="rId2"/>
    <sheet name="TL Stock" sheetId="1" r:id="rId3"/>
    <sheet name="Record" sheetId="3" r:id="rId4"/>
    <sheet name="Totals" sheetId="11" r:id="rId5"/>
    <sheet name="Advanced" sheetId="12" r:id="rId6"/>
    <sheet name="Barcodes" sheetId="5" r:id="rId7"/>
    <sheet name="Sort Data for TL" sheetId="6" r:id="rId8"/>
    <sheet name="Edit" sheetId="13" r:id="rId9"/>
    <sheet name="Finished" sheetId="15" r:id="rId10"/>
    <sheet name="ResetBackup" sheetId="8" r:id="rId11"/>
  </sheets>
  <functionGroups/>
  <externalReferences>
    <externalReference r:id="rId12"/>
  </externalReferences>
  <definedNames>
    <definedName name="_xlnm._FilterDatabase" localSheetId="2" hidden="1">'TL Stock'!#REF!</definedName>
    <definedName name="AdvancedMode" localSheetId="8">Edit!$A$21</definedName>
    <definedName name="AdvancedMode">Scan!$A$21</definedName>
    <definedName name="BKCOL" localSheetId="8">Edit!$A$1:$AJ$1,Edit!$J$2:$T$20,Edit!$Y$4,Edit!$Y$7,Edit!$Y$8,Edit!$Y$9,Edit!$Y$5,Edit!$H$3:$H$19,Edit!$H$13:$I$20,Edit!$H$20,Edit!$C$9:$G$20,Edit!$B$4:$G$6,Edit!$F$7:$G$8,Edit!$D$2:$G$3,Edit!$B$9:$B$9,Edit!$A$9:$A$20,Edit!$D$15,Edit!#REF!,Edit!#REF!,Edit!$A$2:$A$8</definedName>
    <definedName name="BKCOL">Scan!$A$1:$AK$1,Scan!$J$2:$U$20,Scan!$Z$4,Scan!$Z$7,Scan!$Z$8,Scan!$Z$9,Scan!$Z$5,Scan!$H$3:$H$19,Scan!$H$13:$I$20,Scan!$H$20,Scan!$C$9:$G$20,Scan!$B$4:$G$6,Scan!$F$7:$G$8,Scan!$D$2:$G$3,Scan!$B$9:$B$9,Scan!$A$9:$A$20,Scan!$D$15,Scan!#REF!,Scan!#REF!,Scan!$A$2:$A$8</definedName>
    <definedName name="BOTTCOL" localSheetId="8">Edit!$A$22:$A$32,Edit!$B$26:$T$32,Edit!$B$22:$F$22,Edit!$G$22:$H$22,Edit!$H$22:$T$25</definedName>
    <definedName name="BOTTCOL">Scan!$A$22:$A$32,Scan!$B$26:$U$32,Scan!$B$22:$F$22,Scan!$G$22:$H$22,Scan!$H$22:$U$25</definedName>
    <definedName name="CHECKDATAEX">'Sort Data for TL'!$X$2</definedName>
    <definedName name="CHECKDATAEX2">'Sort Data for TL'!$AE$2</definedName>
    <definedName name="COLOURBACK" localSheetId="8">Edit!$A$1:$AJ$1,Edit!$J$2:$T$20,Edit!$Y$4,Edit!$Y$7,Edit!$Y$8,Edit!$Y$9,Edit!$Y$5,Edit!$H$3:$H$19,Edit!$H$13:$I$20,Edit!$H$20,Edit!$C$9:$G$20,Edit!$B$4:$G$6,Edit!$F$7:$G$8,Edit!$D$2:$G$3,Edit!$B$9:$B$9,Edit!$A$9:$A$20,Edit!$D$15,Edit!#REF!,Edit!#REF!,Edit!$A$2:$A$8</definedName>
    <definedName name="COLOURBACK">Scan!$A$1:$AK$1,Scan!$J$2:$U$20,Scan!$Z$4,Scan!$Z$7,Scan!$Z$8,Scan!$Z$9,Scan!$Z$5,Scan!$H$3:$H$19,Scan!$H$13:$I$20,Scan!$H$20,Scan!$C$9:$G$20,Scan!$B$4:$G$6,Scan!$F$7:$G$8,Scan!$D$2:$G$3,Scan!$B$9:$B$9,Scan!$A$9:$A$20,Scan!$D$15,Scan!#REF!,Scan!#REF!,Scan!$A$2:$A$8</definedName>
    <definedName name="CopyOD1">'Sort Data for TL'!$X:$X</definedName>
    <definedName name="CopyOD2">'Sort Data for TL'!$Y:$Y</definedName>
    <definedName name="CopyOD3">'Sort Data for TL'!$Z:$Z</definedName>
    <definedName name="COUNTSCAN">Scan!$B$11</definedName>
    <definedName name="Data" localSheetId="7">'Sort Data for TL'!#REF!</definedName>
    <definedName name="Data">Record!$B$1:$E$1</definedName>
    <definedName name="Data1">Record!$B$1:$F$1</definedName>
    <definedName name="DATEIMPORT">'TL Stock'!$B$2</definedName>
    <definedName name="DATENOWTIME" localSheetId="8">Edit!$AC$11</definedName>
    <definedName name="DATENOWTIME">Scan!$AD$11</definedName>
    <definedName name="DateofImp">'TL Stock'!$W$2</definedName>
    <definedName name="DATETIMENOW">Scan!$AC$12</definedName>
    <definedName name="DATETTODAY" localSheetId="8">Edit!$AC$7</definedName>
    <definedName name="DATETTODAY">Scan!$AD$7</definedName>
    <definedName name="EntryFields" localSheetId="8">Edit!$B$8:$E$8</definedName>
    <definedName name="EntryFields">Scan!$B$8:$E$8</definedName>
    <definedName name="EXPBG">Finished!$A$1:$E$32,Finished!$F$9:$U$32,Finished!$N$6:$U$8,Finished!$D$1:$U$5</definedName>
    <definedName name="EXPORBG">Finished!$A$1:$E$32,Finished!$F$9:$U$32,Finished!$N$6:$U$8,Finished!$D$1:$U$5</definedName>
    <definedName name="EXPORTSTATUS">'Sort Data for TL'!$AJ$1</definedName>
    <definedName name="EXPORTWHLOC">'Sort Data for TL'!$AL:$AM</definedName>
    <definedName name="EXPSTATUS">Scan!$D$13</definedName>
    <definedName name="FIELDREM">Edit!$J$13</definedName>
    <definedName name="FINISHEXPORT">Finished!$C$7</definedName>
    <definedName name="FINISHMESS">Finished!$F$7</definedName>
    <definedName name="FIRNUM" localSheetId="5">Advanced!#REF!</definedName>
    <definedName name="FIRNUM">Totals!$D$9</definedName>
    <definedName name="HEAD2COL" localSheetId="8">Edit!$B$10,Edit!$B$12,Edit!$B$14,Edit!$B$23</definedName>
    <definedName name="HEAD2COL">Scan!$B$10,Scan!$B$12,Scan!$B$14,Scan!$B$23</definedName>
    <definedName name="HEADCOL" localSheetId="8">Edit!$B$2:$C$2,Edit!$B$7:$E$7</definedName>
    <definedName name="HEADCOL">Scan!$B$2:$C$2,Scan!$B$7:$E$7</definedName>
    <definedName name="IMPORTDATETIME">Scan!$C$15</definedName>
    <definedName name="Key" localSheetId="8">Edit!$AA$2</definedName>
    <definedName name="Key" localSheetId="7">[1]Scan!$K$2</definedName>
    <definedName name="Key">Scan!$AB$2</definedName>
    <definedName name="Last_Mov" localSheetId="7">'Sort Data for TL'!#REF!</definedName>
    <definedName name="Last_Mov">Record!$G$1</definedName>
    <definedName name="Loc" localSheetId="8">Edit!$B$3</definedName>
    <definedName name="Loc" localSheetId="7">[1]Scan!$B$3</definedName>
    <definedName name="Loc">Scan!$B$3</definedName>
    <definedName name="Loc_Back" localSheetId="5">Advanced!#REF!</definedName>
    <definedName name="Loc_Back" localSheetId="4">Totals!#REF!</definedName>
    <definedName name="Loc_Back">Loc!$B$18</definedName>
    <definedName name="Loc_Down" localSheetId="5">Advanced!$D$7</definedName>
    <definedName name="Loc_Down" localSheetId="4">Totals!$D$11</definedName>
    <definedName name="Loc_Down">Loc!$B$16</definedName>
    <definedName name="Loc_Forward" localSheetId="5">Advanced!#REF!</definedName>
    <definedName name="Loc_Forward" localSheetId="4">Totals!#REF!</definedName>
    <definedName name="Loc_Forward">Loc!$B$17</definedName>
    <definedName name="Loc_Up" localSheetId="5">Advanced!$D$6</definedName>
    <definedName name="Loc_Up" localSheetId="4">Totals!$D$10</definedName>
    <definedName name="Loc_Up">Loc!$B$15</definedName>
    <definedName name="Location" localSheetId="5">Advanced!#REF!</definedName>
    <definedName name="Location" localSheetId="7">[1]Loc!$B$3</definedName>
    <definedName name="Location" localSheetId="4">Totals!#REF!</definedName>
    <definedName name="Location">Loc!$B$4</definedName>
    <definedName name="LONG_SKU">Scan!$L$8</definedName>
    <definedName name="Mov" localSheetId="8">Edit!$B$8</definedName>
    <definedName name="Mov" localSheetId="7">[1]Scan!$B$7</definedName>
    <definedName name="Mov">Scan!$B$8</definedName>
    <definedName name="Mov_Loc" localSheetId="8">Edit!$Y$3</definedName>
    <definedName name="Mov_Loc" localSheetId="7">[1]Scan!$I$3</definedName>
    <definedName name="Mov_Loc">Scan!$Z$3</definedName>
    <definedName name="Mov_Product" localSheetId="8">Edit!$Y$2</definedName>
    <definedName name="Mov_Product" localSheetId="7">[1]Scan!$I$2</definedName>
    <definedName name="Mov_Product">Scan!$Z$2</definedName>
    <definedName name="Move12">Edit!$B$8</definedName>
    <definedName name="Movs">'TL Stock'!$A:$A</definedName>
    <definedName name="New_Loc" localSheetId="8">Edit!$AA$3</definedName>
    <definedName name="New_Loc">Scan!$AB$3</definedName>
    <definedName name="NOTE1">Finished!$A$32</definedName>
    <definedName name="NOTE2">Finished!$B$32</definedName>
    <definedName name="NOTE3">Finished!$C$32</definedName>
    <definedName name="ONEDRIVEEx1">'Sort Data for TL'!$AE:$AE</definedName>
    <definedName name="ONEDRIVEEx2">'Sort Data for TL'!$AF:$AF</definedName>
    <definedName name="ONEDRIVEEx3">'Sort Data for TL'!$AG:$AG</definedName>
    <definedName name="ORIGINALRECORD">ResetBackup!$A$1:$J$2</definedName>
    <definedName name="PALLTOT">Totals!$D$13</definedName>
    <definedName name="PASTEONEDRIVE">'Sort Data for TL'!$AE:$AG</definedName>
    <definedName name="PASTEWHLOC">'Sort Data for TL'!$AR:$AS</definedName>
    <definedName name="PHYSLOC">Loc!$E$2:$E$4</definedName>
    <definedName name="_xlnm.Print_Area" localSheetId="6">Barcodes!$C$2:$H$14</definedName>
    <definedName name="Prod12">Edit!$C$8</definedName>
    <definedName name="Product" localSheetId="8">Edit!$C$8</definedName>
    <definedName name="Product" localSheetId="7">[1]Scan!$C$7</definedName>
    <definedName name="Product">Scan!$C$8</definedName>
    <definedName name="qty" localSheetId="5">Advanced!#REF!</definedName>
    <definedName name="qty" localSheetId="4">Totals!#REF!</definedName>
    <definedName name="qty">#REF!</definedName>
    <definedName name="QUAN" localSheetId="5">Advanced!#REF!</definedName>
    <definedName name="QUAN">Totals!$B$3</definedName>
    <definedName name="Rec_Home" localSheetId="7">'Sort Data for TL'!#REF!</definedName>
    <definedName name="Rec_Home">Record!$A$1</definedName>
    <definedName name="RecordedSerials">Record!$A:$A</definedName>
    <definedName name="RecordedSerialsSerials">Record!$A:$C</definedName>
    <definedName name="RECORDTAb">Record!$1:$1048576</definedName>
    <definedName name="RECORDTLSTOCK">'TL Stock'!$1:$2</definedName>
    <definedName name="RemChar" localSheetId="8">Edit!$J$13</definedName>
    <definedName name="RemChar">Scan!$J$13</definedName>
    <definedName name="SAVENUMBER" localSheetId="8">Edit!$AB$7</definedName>
    <definedName name="SAVENUMBER">Scan!$AC$7</definedName>
    <definedName name="SECNUM" localSheetId="5">Advanced!#REF!</definedName>
    <definedName name="SECNUM">Totals!$G$9</definedName>
    <definedName name="Serial" localSheetId="8">Edit!$D$8</definedName>
    <definedName name="Serial" localSheetId="7">[1]Scan!$D$7</definedName>
    <definedName name="Serial">Scan!$D$8</definedName>
    <definedName name="SERIALIN" localSheetId="8">Edit!$Y$11</definedName>
    <definedName name="SERIALIN">Scan!$Z$11</definedName>
    <definedName name="Start" localSheetId="8">Edit!$E$8</definedName>
    <definedName name="Start">Scan!$E$8</definedName>
    <definedName name="StartGo" localSheetId="5">Advanced!#REF!</definedName>
    <definedName name="StartGo" localSheetId="4">Totals!#REF!</definedName>
    <definedName name="StartGo">Loc!$C$4</definedName>
    <definedName name="StartGo2" localSheetId="5">Advanced!#REF!</definedName>
    <definedName name="StartGo2">Totals!$C$3</definedName>
    <definedName name="StartRemch">Edit!$J$13</definedName>
    <definedName name="STATELOCK" localSheetId="8">Edit!$D$21</definedName>
    <definedName name="STATELOCK">Scan!$D$21</definedName>
    <definedName name="Stock_Home">'TL Stock'!$A$1</definedName>
    <definedName name="Test" localSheetId="8">Edit!$C$2</definedName>
    <definedName name="Test">Scan!$C$2</definedName>
    <definedName name="TLstock" localSheetId="7">'[1]TL Stock'!$A$1:$Q$65536</definedName>
    <definedName name="TLSTOCK">'TL Stock'!$1:$1048576</definedName>
    <definedName name="Toggl1">Advanced!$B$8</definedName>
    <definedName name="Toggl10">Advanced!$F$12</definedName>
    <definedName name="Toggl11">Advanced!$C$12</definedName>
    <definedName name="Toggl12">Advanced!$E$12</definedName>
    <definedName name="Toggl2">Advanced!$C$8</definedName>
    <definedName name="Toggl3">Advanced!$D$8</definedName>
    <definedName name="Toggl4">Advanced!$E$8</definedName>
    <definedName name="Toggl5">Advanced!$F$8</definedName>
    <definedName name="Toggl6">Advanced!$G$8</definedName>
    <definedName name="Toggl7">Advanced!$B$12</definedName>
    <definedName name="Toggl8">Advanced!$G$12</definedName>
    <definedName name="Toggl9">Advanced!$D$12</definedName>
    <definedName name="Toggle1" localSheetId="8">Edit!$B$25</definedName>
    <definedName name="Toggle1">Scan!$B$25</definedName>
    <definedName name="Toggle10" localSheetId="8">Edit!$E$27</definedName>
    <definedName name="Toggle10">Scan!$E$27</definedName>
    <definedName name="Toggle11" localSheetId="8">Edit!$F$27</definedName>
    <definedName name="Toggle11">Scan!$F$27</definedName>
    <definedName name="Toggle12" localSheetId="8">Edit!$G$27</definedName>
    <definedName name="Toggle12">Scan!$G$27</definedName>
    <definedName name="Toggle2" localSheetId="8">Edit!$C$25</definedName>
    <definedName name="Toggle2">Scan!$C$25</definedName>
    <definedName name="Toggle3" localSheetId="8">Edit!$D$25</definedName>
    <definedName name="Toggle3">Scan!$D$25</definedName>
    <definedName name="Toggle4" localSheetId="8">Edit!$E$25</definedName>
    <definedName name="Toggle4">Scan!$E$25</definedName>
    <definedName name="Toggle5" localSheetId="8">Edit!$F$25</definedName>
    <definedName name="Toggle5">Scan!$F$25</definedName>
    <definedName name="Toggle6" localSheetId="8">Edit!$B$27</definedName>
    <definedName name="Toggle6">Scan!$B$27</definedName>
    <definedName name="Toggle7" localSheetId="8">Edit!$G$25</definedName>
    <definedName name="Toggle7">Scan!$G$25</definedName>
    <definedName name="Toggle8" localSheetId="8">Edit!$C$27</definedName>
    <definedName name="Toggle8">Scan!$C$27</definedName>
    <definedName name="Toggle9" localSheetId="8">Edit!$D$27</definedName>
    <definedName name="Toggle9">Scan!$D$27</definedName>
    <definedName name="TOGGLELIST">'Sort Data for TL'!$H$1:$H$2</definedName>
    <definedName name="UPstockONEDRIVE">'Sort Data for TL'!$X:$Z</definedName>
    <definedName name="UpStockOneDriveNOLOC">'Sort Data for TL'!$X:$Y</definedName>
    <definedName name="WHLOC">Loc!$E$4</definedName>
    <definedName name="WHLOCTEMPLATE">'Sort Data for TL'!$AY:$AZ</definedName>
  </definedNames>
  <calcPr calcId="1257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15"/>
  <c r="E8" i="4"/>
  <c r="AK4" i="2"/>
  <c r="F1" i="3"/>
  <c r="D1"/>
  <c r="C1"/>
  <c r="B1"/>
  <c r="N4" i="2"/>
  <c r="AK7" s="1"/>
  <c r="N8"/>
  <c r="AC12"/>
  <c r="AD11"/>
  <c r="AC11"/>
  <c r="J13"/>
  <c r="B3" i="13"/>
  <c r="A1"/>
  <c r="G27"/>
  <c r="F27"/>
  <c r="E27"/>
  <c r="D27"/>
  <c r="C27"/>
  <c r="B27"/>
  <c r="G25"/>
  <c r="F25"/>
  <c r="E25"/>
  <c r="D25"/>
  <c r="C25"/>
  <c r="AJ4" s="1"/>
  <c r="B25"/>
  <c r="B15"/>
  <c r="D15" s="1"/>
  <c r="C13"/>
  <c r="C15" s="1"/>
  <c r="B12"/>
  <c r="AC11"/>
  <c r="AB11"/>
  <c r="B11"/>
  <c r="AJ2" s="1"/>
  <c r="Z9"/>
  <c r="Z8"/>
  <c r="AC7"/>
  <c r="C4"/>
  <c r="B4"/>
  <c r="C3"/>
  <c r="AB7" s="1"/>
  <c r="Z2"/>
  <c r="E3" i="6"/>
  <c r="E4"/>
  <c r="E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E305"/>
  <c r="E306"/>
  <c r="E307"/>
  <c r="E308"/>
  <c r="E309"/>
  <c r="E310"/>
  <c r="E311"/>
  <c r="E312"/>
  <c r="E313"/>
  <c r="E314"/>
  <c r="E315"/>
  <c r="E316"/>
  <c r="E317"/>
  <c r="E318"/>
  <c r="E319"/>
  <c r="E320"/>
  <c r="E321"/>
  <c r="E322"/>
  <c r="E323"/>
  <c r="E324"/>
  <c r="E325"/>
  <c r="E326"/>
  <c r="E327"/>
  <c r="E328"/>
  <c r="E329"/>
  <c r="E330"/>
  <c r="E331"/>
  <c r="E332"/>
  <c r="E333"/>
  <c r="E334"/>
  <c r="E335"/>
  <c r="E336"/>
  <c r="E337"/>
  <c r="E338"/>
  <c r="E339"/>
  <c r="E340"/>
  <c r="E341"/>
  <c r="E342"/>
  <c r="E343"/>
  <c r="E344"/>
  <c r="E345"/>
  <c r="E346"/>
  <c r="E347"/>
  <c r="E348"/>
  <c r="E349"/>
  <c r="E350"/>
  <c r="E351"/>
  <c r="E352"/>
  <c r="E353"/>
  <c r="E354"/>
  <c r="E355"/>
  <c r="E356"/>
  <c r="E357"/>
  <c r="E358"/>
  <c r="E359"/>
  <c r="E360"/>
  <c r="E361"/>
  <c r="E362"/>
  <c r="E363"/>
  <c r="E364"/>
  <c r="E365"/>
  <c r="E366"/>
  <c r="E367"/>
  <c r="E368"/>
  <c r="E369"/>
  <c r="E370"/>
  <c r="E371"/>
  <c r="E372"/>
  <c r="E373"/>
  <c r="E374"/>
  <c r="E375"/>
  <c r="E376"/>
  <c r="E377"/>
  <c r="E378"/>
  <c r="E379"/>
  <c r="E380"/>
  <c r="E381"/>
  <c r="E382"/>
  <c r="E383"/>
  <c r="E384"/>
  <c r="E385"/>
  <c r="E386"/>
  <c r="E387"/>
  <c r="E388"/>
  <c r="E389"/>
  <c r="E390"/>
  <c r="E391"/>
  <c r="E392"/>
  <c r="E393"/>
  <c r="E394"/>
  <c r="E395"/>
  <c r="E396"/>
  <c r="E397"/>
  <c r="E398"/>
  <c r="E399"/>
  <c r="E400"/>
  <c r="E401"/>
  <c r="E402"/>
  <c r="E403"/>
  <c r="E404"/>
  <c r="E405"/>
  <c r="E406"/>
  <c r="E407"/>
  <c r="E408"/>
  <c r="E409"/>
  <c r="E410"/>
  <c r="E411"/>
  <c r="E412"/>
  <c r="E413"/>
  <c r="E414"/>
  <c r="E415"/>
  <c r="E416"/>
  <c r="E417"/>
  <c r="E418"/>
  <c r="E419"/>
  <c r="E420"/>
  <c r="E421"/>
  <c r="E422"/>
  <c r="E423"/>
  <c r="E424"/>
  <c r="E425"/>
  <c r="E426"/>
  <c r="E427"/>
  <c r="E428"/>
  <c r="E429"/>
  <c r="E430"/>
  <c r="E431"/>
  <c r="E432"/>
  <c r="E433"/>
  <c r="E434"/>
  <c r="E435"/>
  <c r="E436"/>
  <c r="E437"/>
  <c r="E438"/>
  <c r="E439"/>
  <c r="E440"/>
  <c r="E441"/>
  <c r="E442"/>
  <c r="E443"/>
  <c r="E444"/>
  <c r="E445"/>
  <c r="E446"/>
  <c r="E447"/>
  <c r="E448"/>
  <c r="E449"/>
  <c r="E450"/>
  <c r="E451"/>
  <c r="E452"/>
  <c r="E453"/>
  <c r="E454"/>
  <c r="E455"/>
  <c r="E456"/>
  <c r="E457"/>
  <c r="E458"/>
  <c r="E459"/>
  <c r="E460"/>
  <c r="E461"/>
  <c r="E462"/>
  <c r="E463"/>
  <c r="E464"/>
  <c r="E465"/>
  <c r="E466"/>
  <c r="E467"/>
  <c r="E468"/>
  <c r="E469"/>
  <c r="E470"/>
  <c r="E471"/>
  <c r="E472"/>
  <c r="E473"/>
  <c r="E474"/>
  <c r="E475"/>
  <c r="E476"/>
  <c r="E477"/>
  <c r="E478"/>
  <c r="E479"/>
  <c r="E480"/>
  <c r="E481"/>
  <c r="E482"/>
  <c r="E483"/>
  <c r="E484"/>
  <c r="E485"/>
  <c r="E486"/>
  <c r="E487"/>
  <c r="E488"/>
  <c r="E489"/>
  <c r="E490"/>
  <c r="E491"/>
  <c r="E492"/>
  <c r="E493"/>
  <c r="E494"/>
  <c r="E495"/>
  <c r="E496"/>
  <c r="E497"/>
  <c r="E498"/>
  <c r="E499"/>
  <c r="E500"/>
  <c r="E501"/>
  <c r="E502"/>
  <c r="E503"/>
  <c r="E504"/>
  <c r="E505"/>
  <c r="E506"/>
  <c r="E507"/>
  <c r="E508"/>
  <c r="E509"/>
  <c r="E510"/>
  <c r="E511"/>
  <c r="E512"/>
  <c r="E513"/>
  <c r="E514"/>
  <c r="E515"/>
  <c r="E516"/>
  <c r="E517"/>
  <c r="E518"/>
  <c r="E519"/>
  <c r="E520"/>
  <c r="E521"/>
  <c r="E522"/>
  <c r="E523"/>
  <c r="E524"/>
  <c r="E525"/>
  <c r="E526"/>
  <c r="E527"/>
  <c r="E528"/>
  <c r="E529"/>
  <c r="E530"/>
  <c r="E531"/>
  <c r="E532"/>
  <c r="E533"/>
  <c r="E534"/>
  <c r="E535"/>
  <c r="E536"/>
  <c r="E537"/>
  <c r="E538"/>
  <c r="E539"/>
  <c r="E540"/>
  <c r="E541"/>
  <c r="E542"/>
  <c r="E543"/>
  <c r="E544"/>
  <c r="E545"/>
  <c r="E546"/>
  <c r="E547"/>
  <c r="E548"/>
  <c r="E549"/>
  <c r="E550"/>
  <c r="E551"/>
  <c r="E552"/>
  <c r="E553"/>
  <c r="E554"/>
  <c r="E555"/>
  <c r="E556"/>
  <c r="E557"/>
  <c r="E558"/>
  <c r="E559"/>
  <c r="E560"/>
  <c r="E561"/>
  <c r="E562"/>
  <c r="E563"/>
  <c r="E564"/>
  <c r="E565"/>
  <c r="E566"/>
  <c r="E567"/>
  <c r="E568"/>
  <c r="E569"/>
  <c r="E570"/>
  <c r="E571"/>
  <c r="E572"/>
  <c r="E573"/>
  <c r="E574"/>
  <c r="E575"/>
  <c r="E576"/>
  <c r="E577"/>
  <c r="E578"/>
  <c r="E579"/>
  <c r="E580"/>
  <c r="E581"/>
  <c r="E582"/>
  <c r="E583"/>
  <c r="E584"/>
  <c r="E585"/>
  <c r="E586"/>
  <c r="E587"/>
  <c r="E588"/>
  <c r="E589"/>
  <c r="E590"/>
  <c r="E591"/>
  <c r="E592"/>
  <c r="E593"/>
  <c r="E594"/>
  <c r="E595"/>
  <c r="E596"/>
  <c r="E597"/>
  <c r="E598"/>
  <c r="E599"/>
  <c r="E600"/>
  <c r="E601"/>
  <c r="E602"/>
  <c r="E603"/>
  <c r="E604"/>
  <c r="E605"/>
  <c r="E606"/>
  <c r="E607"/>
  <c r="E608"/>
  <c r="E609"/>
  <c r="E610"/>
  <c r="E611"/>
  <c r="E612"/>
  <c r="E613"/>
  <c r="E614"/>
  <c r="E615"/>
  <c r="E616"/>
  <c r="E617"/>
  <c r="E618"/>
  <c r="E619"/>
  <c r="E620"/>
  <c r="E621"/>
  <c r="E622"/>
  <c r="E623"/>
  <c r="E624"/>
  <c r="E625"/>
  <c r="E626"/>
  <c r="E627"/>
  <c r="E628"/>
  <c r="E629"/>
  <c r="E630"/>
  <c r="E631"/>
  <c r="E632"/>
  <c r="E633"/>
  <c r="E634"/>
  <c r="E635"/>
  <c r="E636"/>
  <c r="E637"/>
  <c r="E638"/>
  <c r="E639"/>
  <c r="E640"/>
  <c r="E641"/>
  <c r="E642"/>
  <c r="E643"/>
  <c r="E644"/>
  <c r="E645"/>
  <c r="E646"/>
  <c r="E647"/>
  <c r="E648"/>
  <c r="E649"/>
  <c r="E650"/>
  <c r="E651"/>
  <c r="E652"/>
  <c r="E653"/>
  <c r="E654"/>
  <c r="E655"/>
  <c r="E656"/>
  <c r="E657"/>
  <c r="E658"/>
  <c r="E659"/>
  <c r="E660"/>
  <c r="E661"/>
  <c r="E662"/>
  <c r="E663"/>
  <c r="E664"/>
  <c r="E665"/>
  <c r="E666"/>
  <c r="E667"/>
  <c r="E668"/>
  <c r="E669"/>
  <c r="E670"/>
  <c r="E671"/>
  <c r="E672"/>
  <c r="E673"/>
  <c r="E674"/>
  <c r="E675"/>
  <c r="E676"/>
  <c r="E677"/>
  <c r="E678"/>
  <c r="E679"/>
  <c r="E680"/>
  <c r="E681"/>
  <c r="E682"/>
  <c r="E683"/>
  <c r="E684"/>
  <c r="E685"/>
  <c r="E686"/>
  <c r="E687"/>
  <c r="E688"/>
  <c r="E689"/>
  <c r="E690"/>
  <c r="E691"/>
  <c r="E692"/>
  <c r="E693"/>
  <c r="E694"/>
  <c r="E695"/>
  <c r="E696"/>
  <c r="E697"/>
  <c r="E698"/>
  <c r="E699"/>
  <c r="E700"/>
  <c r="E701"/>
  <c r="E702"/>
  <c r="E703"/>
  <c r="E704"/>
  <c r="E705"/>
  <c r="E706"/>
  <c r="E707"/>
  <c r="E708"/>
  <c r="E709"/>
  <c r="E710"/>
  <c r="E711"/>
  <c r="E712"/>
  <c r="E713"/>
  <c r="E714"/>
  <c r="E715"/>
  <c r="E716"/>
  <c r="E717"/>
  <c r="E718"/>
  <c r="E719"/>
  <c r="E720"/>
  <c r="E721"/>
  <c r="E722"/>
  <c r="E723"/>
  <c r="E724"/>
  <c r="E725"/>
  <c r="E726"/>
  <c r="E727"/>
  <c r="E728"/>
  <c r="E729"/>
  <c r="E730"/>
  <c r="E731"/>
  <c r="E732"/>
  <c r="E733"/>
  <c r="E734"/>
  <c r="E735"/>
  <c r="E736"/>
  <c r="E737"/>
  <c r="E738"/>
  <c r="E739"/>
  <c r="E740"/>
  <c r="E741"/>
  <c r="E742"/>
  <c r="E743"/>
  <c r="E744"/>
  <c r="E745"/>
  <c r="E746"/>
  <c r="E747"/>
  <c r="E748"/>
  <c r="E749"/>
  <c r="E750"/>
  <c r="E751"/>
  <c r="E752"/>
  <c r="E753"/>
  <c r="E754"/>
  <c r="E755"/>
  <c r="E756"/>
  <c r="E757"/>
  <c r="E758"/>
  <c r="E759"/>
  <c r="E760"/>
  <c r="E761"/>
  <c r="E762"/>
  <c r="E763"/>
  <c r="E764"/>
  <c r="E765"/>
  <c r="E766"/>
  <c r="E767"/>
  <c r="E768"/>
  <c r="E769"/>
  <c r="E770"/>
  <c r="E771"/>
  <c r="E772"/>
  <c r="E773"/>
  <c r="E774"/>
  <c r="E775"/>
  <c r="E776"/>
  <c r="E777"/>
  <c r="E778"/>
  <c r="E779"/>
  <c r="E780"/>
  <c r="E781"/>
  <c r="E782"/>
  <c r="E783"/>
  <c r="E784"/>
  <c r="E785"/>
  <c r="E786"/>
  <c r="E787"/>
  <c r="E788"/>
  <c r="E789"/>
  <c r="E790"/>
  <c r="E791"/>
  <c r="E792"/>
  <c r="E793"/>
  <c r="E794"/>
  <c r="E795"/>
  <c r="E796"/>
  <c r="E797"/>
  <c r="E798"/>
  <c r="E799"/>
  <c r="E800"/>
  <c r="E801"/>
  <c r="E802"/>
  <c r="E803"/>
  <c r="E804"/>
  <c r="E805"/>
  <c r="E806"/>
  <c r="E807"/>
  <c r="E808"/>
  <c r="E809"/>
  <c r="E810"/>
  <c r="E811"/>
  <c r="E812"/>
  <c r="E813"/>
  <c r="E814"/>
  <c r="E815"/>
  <c r="E816"/>
  <c r="E817"/>
  <c r="E818"/>
  <c r="E819"/>
  <c r="E820"/>
  <c r="E821"/>
  <c r="E822"/>
  <c r="E823"/>
  <c r="E824"/>
  <c r="E825"/>
  <c r="E826"/>
  <c r="E827"/>
  <c r="E828"/>
  <c r="E829"/>
  <c r="E830"/>
  <c r="E831"/>
  <c r="E832"/>
  <c r="E833"/>
  <c r="E834"/>
  <c r="E835"/>
  <c r="E836"/>
  <c r="E837"/>
  <c r="E838"/>
  <c r="E839"/>
  <c r="E840"/>
  <c r="E841"/>
  <c r="E842"/>
  <c r="E843"/>
  <c r="E844"/>
  <c r="E845"/>
  <c r="E846"/>
  <c r="E847"/>
  <c r="E848"/>
  <c r="E849"/>
  <c r="E850"/>
  <c r="E851"/>
  <c r="E852"/>
  <c r="E853"/>
  <c r="E854"/>
  <c r="E855"/>
  <c r="E856"/>
  <c r="E857"/>
  <c r="E858"/>
  <c r="E859"/>
  <c r="E860"/>
  <c r="E861"/>
  <c r="E862"/>
  <c r="E863"/>
  <c r="E864"/>
  <c r="E865"/>
  <c r="E866"/>
  <c r="E867"/>
  <c r="E868"/>
  <c r="E869"/>
  <c r="E870"/>
  <c r="E871"/>
  <c r="E872"/>
  <c r="E873"/>
  <c r="E874"/>
  <c r="E875"/>
  <c r="E876"/>
  <c r="E877"/>
  <c r="E878"/>
  <c r="E879"/>
  <c r="E880"/>
  <c r="E881"/>
  <c r="E882"/>
  <c r="E883"/>
  <c r="E884"/>
  <c r="E885"/>
  <c r="E886"/>
  <c r="E887"/>
  <c r="E888"/>
  <c r="E889"/>
  <c r="E890"/>
  <c r="E891"/>
  <c r="E892"/>
  <c r="E893"/>
  <c r="E894"/>
  <c r="E895"/>
  <c r="E896"/>
  <c r="E897"/>
  <c r="E898"/>
  <c r="E899"/>
  <c r="E900"/>
  <c r="E901"/>
  <c r="E902"/>
  <c r="E903"/>
  <c r="E904"/>
  <c r="E905"/>
  <c r="E906"/>
  <c r="E907"/>
  <c r="E908"/>
  <c r="E909"/>
  <c r="E910"/>
  <c r="E911"/>
  <c r="E912"/>
  <c r="E913"/>
  <c r="E914"/>
  <c r="E915"/>
  <c r="E916"/>
  <c r="E917"/>
  <c r="E918"/>
  <c r="E919"/>
  <c r="E920"/>
  <c r="E921"/>
  <c r="E922"/>
  <c r="E923"/>
  <c r="E924"/>
  <c r="E925"/>
  <c r="E926"/>
  <c r="E927"/>
  <c r="E928"/>
  <c r="E929"/>
  <c r="E930"/>
  <c r="E931"/>
  <c r="E932"/>
  <c r="E933"/>
  <c r="E934"/>
  <c r="E935"/>
  <c r="E936"/>
  <c r="E937"/>
  <c r="E938"/>
  <c r="E939"/>
  <c r="E940"/>
  <c r="E941"/>
  <c r="E942"/>
  <c r="E943"/>
  <c r="E944"/>
  <c r="E945"/>
  <c r="E946"/>
  <c r="E947"/>
  <c r="E948"/>
  <c r="E949"/>
  <c r="E950"/>
  <c r="E951"/>
  <c r="E952"/>
  <c r="E953"/>
  <c r="E954"/>
  <c r="E955"/>
  <c r="E956"/>
  <c r="E957"/>
  <c r="E958"/>
  <c r="E959"/>
  <c r="E960"/>
  <c r="E961"/>
  <c r="E962"/>
  <c r="E963"/>
  <c r="E964"/>
  <c r="E965"/>
  <c r="E966"/>
  <c r="E967"/>
  <c r="E968"/>
  <c r="E969"/>
  <c r="E970"/>
  <c r="E971"/>
  <c r="E972"/>
  <c r="E973"/>
  <c r="E974"/>
  <c r="E975"/>
  <c r="E976"/>
  <c r="E977"/>
  <c r="E978"/>
  <c r="E979"/>
  <c r="E980"/>
  <c r="E981"/>
  <c r="E982"/>
  <c r="E983"/>
  <c r="E984"/>
  <c r="E985"/>
  <c r="E986"/>
  <c r="E987"/>
  <c r="E988"/>
  <c r="E989"/>
  <c r="E990"/>
  <c r="E991"/>
  <c r="E992"/>
  <c r="E993"/>
  <c r="E994"/>
  <c r="E995"/>
  <c r="E996"/>
  <c r="E997"/>
  <c r="E998"/>
  <c r="E999"/>
  <c r="E1000"/>
  <c r="E1001"/>
  <c r="E1002"/>
  <c r="E1003"/>
  <c r="E1004"/>
  <c r="E1005"/>
  <c r="E1006"/>
  <c r="E1007"/>
  <c r="E1008"/>
  <c r="E1009"/>
  <c r="E1010"/>
  <c r="E1011"/>
  <c r="E1012"/>
  <c r="E1013"/>
  <c r="E1014"/>
  <c r="E1015"/>
  <c r="E1016"/>
  <c r="E1017"/>
  <c r="E1018"/>
  <c r="E1019"/>
  <c r="E1020"/>
  <c r="E1021"/>
  <c r="E1022"/>
  <c r="E1023"/>
  <c r="E1024"/>
  <c r="E1025"/>
  <c r="E1026"/>
  <c r="E1027"/>
  <c r="E1028"/>
  <c r="E1029"/>
  <c r="E1030"/>
  <c r="E1031"/>
  <c r="E1032"/>
  <c r="E1033"/>
  <c r="E1034"/>
  <c r="E1035"/>
  <c r="E1036"/>
  <c r="E1037"/>
  <c r="E1038"/>
  <c r="E1039"/>
  <c r="E1040"/>
  <c r="E1041"/>
  <c r="E1042"/>
  <c r="E1043"/>
  <c r="E1044"/>
  <c r="E1045"/>
  <c r="E1046"/>
  <c r="E1047"/>
  <c r="E1048"/>
  <c r="E1049"/>
  <c r="E1050"/>
  <c r="E1051"/>
  <c r="E1052"/>
  <c r="E1053"/>
  <c r="E1054"/>
  <c r="E1055"/>
  <c r="E1056"/>
  <c r="E1057"/>
  <c r="E1058"/>
  <c r="E1059"/>
  <c r="E1060"/>
  <c r="E1061"/>
  <c r="E1062"/>
  <c r="E1063"/>
  <c r="E1064"/>
  <c r="E1065"/>
  <c r="E1066"/>
  <c r="E1067"/>
  <c r="E1068"/>
  <c r="E1069"/>
  <c r="E1070"/>
  <c r="E1071"/>
  <c r="E1072"/>
  <c r="E1073"/>
  <c r="E1074"/>
  <c r="E1075"/>
  <c r="E1076"/>
  <c r="E1077"/>
  <c r="E1078"/>
  <c r="E1079"/>
  <c r="E1080"/>
  <c r="E1081"/>
  <c r="E1082"/>
  <c r="E1083"/>
  <c r="E1084"/>
  <c r="E1085"/>
  <c r="E1086"/>
  <c r="E1087"/>
  <c r="E1088"/>
  <c r="E1089"/>
  <c r="E1090"/>
  <c r="E1091"/>
  <c r="E1092"/>
  <c r="E1093"/>
  <c r="E1094"/>
  <c r="E1095"/>
  <c r="E1096"/>
  <c r="E1097"/>
  <c r="E1098"/>
  <c r="E1099"/>
  <c r="E1100"/>
  <c r="E1101"/>
  <c r="E1102"/>
  <c r="E1103"/>
  <c r="E1104"/>
  <c r="E1105"/>
  <c r="E1106"/>
  <c r="E1107"/>
  <c r="E1108"/>
  <c r="E1109"/>
  <c r="E1110"/>
  <c r="E1111"/>
  <c r="E1112"/>
  <c r="E1113"/>
  <c r="E1114"/>
  <c r="E1115"/>
  <c r="E1116"/>
  <c r="E1117"/>
  <c r="E1118"/>
  <c r="E1119"/>
  <c r="E1120"/>
  <c r="E1121"/>
  <c r="E1122"/>
  <c r="E1123"/>
  <c r="E1124"/>
  <c r="E1125"/>
  <c r="E1126"/>
  <c r="E1127"/>
  <c r="E1128"/>
  <c r="E1129"/>
  <c r="E1130"/>
  <c r="E1131"/>
  <c r="E1132"/>
  <c r="E1133"/>
  <c r="E1134"/>
  <c r="E1135"/>
  <c r="E1136"/>
  <c r="E1137"/>
  <c r="E1138"/>
  <c r="E1139"/>
  <c r="E1140"/>
  <c r="E1141"/>
  <c r="E1142"/>
  <c r="E1143"/>
  <c r="E1144"/>
  <c r="E1145"/>
  <c r="E1146"/>
  <c r="E1147"/>
  <c r="E1148"/>
  <c r="E1149"/>
  <c r="E1150"/>
  <c r="E1151"/>
  <c r="E1152"/>
  <c r="E1153"/>
  <c r="E1154"/>
  <c r="E1155"/>
  <c r="E1156"/>
  <c r="E1157"/>
  <c r="E1158"/>
  <c r="E1159"/>
  <c r="E1160"/>
  <c r="E1161"/>
  <c r="E1162"/>
  <c r="E1163"/>
  <c r="E1164"/>
  <c r="E1165"/>
  <c r="E1166"/>
  <c r="E1167"/>
  <c r="E1168"/>
  <c r="E1169"/>
  <c r="E1170"/>
  <c r="E1171"/>
  <c r="E1172"/>
  <c r="E1173"/>
  <c r="E1174"/>
  <c r="E1175"/>
  <c r="E1176"/>
  <c r="E1177"/>
  <c r="E1178"/>
  <c r="E1179"/>
  <c r="E1180"/>
  <c r="E1181"/>
  <c r="E1182"/>
  <c r="E1183"/>
  <c r="E1184"/>
  <c r="E1185"/>
  <c r="E1186"/>
  <c r="E1187"/>
  <c r="E1188"/>
  <c r="E1189"/>
  <c r="E1190"/>
  <c r="E1191"/>
  <c r="E1192"/>
  <c r="E1193"/>
  <c r="E1194"/>
  <c r="E1195"/>
  <c r="E1196"/>
  <c r="E1197"/>
  <c r="E1198"/>
  <c r="E1199"/>
  <c r="E1200"/>
  <c r="E1201"/>
  <c r="E1202"/>
  <c r="E1203"/>
  <c r="E1204"/>
  <c r="E1205"/>
  <c r="E1206"/>
  <c r="E1207"/>
  <c r="E1208"/>
  <c r="E1209"/>
  <c r="E1210"/>
  <c r="E1211"/>
  <c r="E1212"/>
  <c r="E1213"/>
  <c r="E1214"/>
  <c r="E1215"/>
  <c r="E1216"/>
  <c r="E1217"/>
  <c r="E1218"/>
  <c r="E1219"/>
  <c r="E1220"/>
  <c r="E1221"/>
  <c r="E1222"/>
  <c r="E1223"/>
  <c r="E1224"/>
  <c r="E1225"/>
  <c r="E1226"/>
  <c r="E1227"/>
  <c r="E1228"/>
  <c r="E1229"/>
  <c r="E1230"/>
  <c r="E1231"/>
  <c r="E1232"/>
  <c r="E1233"/>
  <c r="E1234"/>
  <c r="E1235"/>
  <c r="E1236"/>
  <c r="E1237"/>
  <c r="E1238"/>
  <c r="E1239"/>
  <c r="E1240"/>
  <c r="E1241"/>
  <c r="E1242"/>
  <c r="E1243"/>
  <c r="E1244"/>
  <c r="E1245"/>
  <c r="E1246"/>
  <c r="E1247"/>
  <c r="E1248"/>
  <c r="E1249"/>
  <c r="E1250"/>
  <c r="E1251"/>
  <c r="E1252"/>
  <c r="E1253"/>
  <c r="E1254"/>
  <c r="E1255"/>
  <c r="E1256"/>
  <c r="E1257"/>
  <c r="E1258"/>
  <c r="E1259"/>
  <c r="E1260"/>
  <c r="E1261"/>
  <c r="E1262"/>
  <c r="E1263"/>
  <c r="E1264"/>
  <c r="E1265"/>
  <c r="E1266"/>
  <c r="E1267"/>
  <c r="E1268"/>
  <c r="E1269"/>
  <c r="E1270"/>
  <c r="E1271"/>
  <c r="E1272"/>
  <c r="E1273"/>
  <c r="E1274"/>
  <c r="E1275"/>
  <c r="E1276"/>
  <c r="E1277"/>
  <c r="E1278"/>
  <c r="E1279"/>
  <c r="E1280"/>
  <c r="E1281"/>
  <c r="E1282"/>
  <c r="E1283"/>
  <c r="E1284"/>
  <c r="E1285"/>
  <c r="E1286"/>
  <c r="E1287"/>
  <c r="E1288"/>
  <c r="E1289"/>
  <c r="E1290"/>
  <c r="E1291"/>
  <c r="E1292"/>
  <c r="E1293"/>
  <c r="E1294"/>
  <c r="E1295"/>
  <c r="E1296"/>
  <c r="E1297"/>
  <c r="E1298"/>
  <c r="E1299"/>
  <c r="E1300"/>
  <c r="E1301"/>
  <c r="E1302"/>
  <c r="E1303"/>
  <c r="E1304"/>
  <c r="E1305"/>
  <c r="E1306"/>
  <c r="E1307"/>
  <c r="E1308"/>
  <c r="E1309"/>
  <c r="E1310"/>
  <c r="E1311"/>
  <c r="E1312"/>
  <c r="E1313"/>
  <c r="E1314"/>
  <c r="E1315"/>
  <c r="E1316"/>
  <c r="E1317"/>
  <c r="E1318"/>
  <c r="E1319"/>
  <c r="E1320"/>
  <c r="E1321"/>
  <c r="E1322"/>
  <c r="E1323"/>
  <c r="E1324"/>
  <c r="E1325"/>
  <c r="E1326"/>
  <c r="E1327"/>
  <c r="E1328"/>
  <c r="E1329"/>
  <c r="E1330"/>
  <c r="E1331"/>
  <c r="E1332"/>
  <c r="E1333"/>
  <c r="E1334"/>
  <c r="E1335"/>
  <c r="E1336"/>
  <c r="E1337"/>
  <c r="E1338"/>
  <c r="E1339"/>
  <c r="E1340"/>
  <c r="E1341"/>
  <c r="E1342"/>
  <c r="E1343"/>
  <c r="E1344"/>
  <c r="E1345"/>
  <c r="E1346"/>
  <c r="E1347"/>
  <c r="E1348"/>
  <c r="E1349"/>
  <c r="E1350"/>
  <c r="E1351"/>
  <c r="E1352"/>
  <c r="E1353"/>
  <c r="E1354"/>
  <c r="E1355"/>
  <c r="E1356"/>
  <c r="E1357"/>
  <c r="E1358"/>
  <c r="E1359"/>
  <c r="E1360"/>
  <c r="E1361"/>
  <c r="E1362"/>
  <c r="E1363"/>
  <c r="E1364"/>
  <c r="E1365"/>
  <c r="E1366"/>
  <c r="E1367"/>
  <c r="E1368"/>
  <c r="E1369"/>
  <c r="E1370"/>
  <c r="E1371"/>
  <c r="E1372"/>
  <c r="E1373"/>
  <c r="E1374"/>
  <c r="E1375"/>
  <c r="E1376"/>
  <c r="E1377"/>
  <c r="E1378"/>
  <c r="E1379"/>
  <c r="E1380"/>
  <c r="E1381"/>
  <c r="E1382"/>
  <c r="E1383"/>
  <c r="E1384"/>
  <c r="E1385"/>
  <c r="E1386"/>
  <c r="E1387"/>
  <c r="E1388"/>
  <c r="E1389"/>
  <c r="E1390"/>
  <c r="E1391"/>
  <c r="E1392"/>
  <c r="E1393"/>
  <c r="E1394"/>
  <c r="E1395"/>
  <c r="E1396"/>
  <c r="E1397"/>
  <c r="E1398"/>
  <c r="E1399"/>
  <c r="E1400"/>
  <c r="E1401"/>
  <c r="E1402"/>
  <c r="E1403"/>
  <c r="E1404"/>
  <c r="E1405"/>
  <c r="E1406"/>
  <c r="E1407"/>
  <c r="E1408"/>
  <c r="E1409"/>
  <c r="E1410"/>
  <c r="E1411"/>
  <c r="E1412"/>
  <c r="E1413"/>
  <c r="E1414"/>
  <c r="E1415"/>
  <c r="E1416"/>
  <c r="E1417"/>
  <c r="E1418"/>
  <c r="E1419"/>
  <c r="E1420"/>
  <c r="E1421"/>
  <c r="E1422"/>
  <c r="E1423"/>
  <c r="E1424"/>
  <c r="E1425"/>
  <c r="E1426"/>
  <c r="E1427"/>
  <c r="E1428"/>
  <c r="E1429"/>
  <c r="E1430"/>
  <c r="E1431"/>
  <c r="E1432"/>
  <c r="E1433"/>
  <c r="E1434"/>
  <c r="E1435"/>
  <c r="E1436"/>
  <c r="E1437"/>
  <c r="E1438"/>
  <c r="E1439"/>
  <c r="E1440"/>
  <c r="E1441"/>
  <c r="E1442"/>
  <c r="E1443"/>
  <c r="E1444"/>
  <c r="E1445"/>
  <c r="E1446"/>
  <c r="E1447"/>
  <c r="E1448"/>
  <c r="E1449"/>
  <c r="E1450"/>
  <c r="E1451"/>
  <c r="E1452"/>
  <c r="E1453"/>
  <c r="E1454"/>
  <c r="E1455"/>
  <c r="E1456"/>
  <c r="E1457"/>
  <c r="E1458"/>
  <c r="E1459"/>
  <c r="E1460"/>
  <c r="E1461"/>
  <c r="E1462"/>
  <c r="E1463"/>
  <c r="E1464"/>
  <c r="E1465"/>
  <c r="E1466"/>
  <c r="E1467"/>
  <c r="E1468"/>
  <c r="E1469"/>
  <c r="E1470"/>
  <c r="E1471"/>
  <c r="E1472"/>
  <c r="E1473"/>
  <c r="E1474"/>
  <c r="E1475"/>
  <c r="E1476"/>
  <c r="E1477"/>
  <c r="E1478"/>
  <c r="E1479"/>
  <c r="E1480"/>
  <c r="E1481"/>
  <c r="E1482"/>
  <c r="E1483"/>
  <c r="E1484"/>
  <c r="E1485"/>
  <c r="E1486"/>
  <c r="E1487"/>
  <c r="E1488"/>
  <c r="E1489"/>
  <c r="E1490"/>
  <c r="E1491"/>
  <c r="E1492"/>
  <c r="E1493"/>
  <c r="E1494"/>
  <c r="E1495"/>
  <c r="E1496"/>
  <c r="E1497"/>
  <c r="E1498"/>
  <c r="E1499"/>
  <c r="E1500"/>
  <c r="E1501"/>
  <c r="E1502"/>
  <c r="E1503"/>
  <c r="E1504"/>
  <c r="E1505"/>
  <c r="E1506"/>
  <c r="E1507"/>
  <c r="E1508"/>
  <c r="E1509"/>
  <c r="E1510"/>
  <c r="E1511"/>
  <c r="E1512"/>
  <c r="E1513"/>
  <c r="E1514"/>
  <c r="E1515"/>
  <c r="E1516"/>
  <c r="E1517"/>
  <c r="E1518"/>
  <c r="E1519"/>
  <c r="E1520"/>
  <c r="E1521"/>
  <c r="E1522"/>
  <c r="E1523"/>
  <c r="E1524"/>
  <c r="E1525"/>
  <c r="E1526"/>
  <c r="E1527"/>
  <c r="E1528"/>
  <c r="E1529"/>
  <c r="E1530"/>
  <c r="E1531"/>
  <c r="E1532"/>
  <c r="E1533"/>
  <c r="E1534"/>
  <c r="E1535"/>
  <c r="E1536"/>
  <c r="E1537"/>
  <c r="E1538"/>
  <c r="E1539"/>
  <c r="E1540"/>
  <c r="E1541"/>
  <c r="E1542"/>
  <c r="E1543"/>
  <c r="E1544"/>
  <c r="E1545"/>
  <c r="E1546"/>
  <c r="E1547"/>
  <c r="E1548"/>
  <c r="E1549"/>
  <c r="E1550"/>
  <c r="E1551"/>
  <c r="E1552"/>
  <c r="E1553"/>
  <c r="E1554"/>
  <c r="E1555"/>
  <c r="E1556"/>
  <c r="E1557"/>
  <c r="E1558"/>
  <c r="E1559"/>
  <c r="E1560"/>
  <c r="E1561"/>
  <c r="E1562"/>
  <c r="E1563"/>
  <c r="E1564"/>
  <c r="E1565"/>
  <c r="E1566"/>
  <c r="E1567"/>
  <c r="E1568"/>
  <c r="E1569"/>
  <c r="E1570"/>
  <c r="E1571"/>
  <c r="E1572"/>
  <c r="E1573"/>
  <c r="E1574"/>
  <c r="E1575"/>
  <c r="E1576"/>
  <c r="E1577"/>
  <c r="E1578"/>
  <c r="E1579"/>
  <c r="E1580"/>
  <c r="E1581"/>
  <c r="E1582"/>
  <c r="E1583"/>
  <c r="E1584"/>
  <c r="E1585"/>
  <c r="E1586"/>
  <c r="E1587"/>
  <c r="E1588"/>
  <c r="E1589"/>
  <c r="E1590"/>
  <c r="E1591"/>
  <c r="E1592"/>
  <c r="E1593"/>
  <c r="E1594"/>
  <c r="E1595"/>
  <c r="E1596"/>
  <c r="E1597"/>
  <c r="E1598"/>
  <c r="E1599"/>
  <c r="E1600"/>
  <c r="E1601"/>
  <c r="E1602"/>
  <c r="E1603"/>
  <c r="E1604"/>
  <c r="E1605"/>
  <c r="E1606"/>
  <c r="E1607"/>
  <c r="E1608"/>
  <c r="E1609"/>
  <c r="E1610"/>
  <c r="E1611"/>
  <c r="E1612"/>
  <c r="E1613"/>
  <c r="E1614"/>
  <c r="E1615"/>
  <c r="E1616"/>
  <c r="E1617"/>
  <c r="E1618"/>
  <c r="E1619"/>
  <c r="E1620"/>
  <c r="E1621"/>
  <c r="E1622"/>
  <c r="E1623"/>
  <c r="E1624"/>
  <c r="E1625"/>
  <c r="E1626"/>
  <c r="E1627"/>
  <c r="E1628"/>
  <c r="E1629"/>
  <c r="E1630"/>
  <c r="E1631"/>
  <c r="E1632"/>
  <c r="E1633"/>
  <c r="E1634"/>
  <c r="E1635"/>
  <c r="E1636"/>
  <c r="E1637"/>
  <c r="E1638"/>
  <c r="E1639"/>
  <c r="E1640"/>
  <c r="E1641"/>
  <c r="E1642"/>
  <c r="E1643"/>
  <c r="E1644"/>
  <c r="E1645"/>
  <c r="E1646"/>
  <c r="E1647"/>
  <c r="E1648"/>
  <c r="E1649"/>
  <c r="E1650"/>
  <c r="E1651"/>
  <c r="E2"/>
  <c r="F1" i="8"/>
  <c r="D1"/>
  <c r="C1"/>
  <c r="B1"/>
  <c r="B12" i="2"/>
  <c r="K8"/>
  <c r="H4"/>
  <c r="B4"/>
  <c r="Z6"/>
  <c r="L4" s="1"/>
  <c r="Z2"/>
  <c r="H8" s="1"/>
  <c r="J8" s="1"/>
  <c r="G27"/>
  <c r="AF6" l="1"/>
  <c r="AF6" i="13"/>
  <c r="AF2"/>
  <c r="AE2"/>
  <c r="F9" i="11"/>
  <c r="C9"/>
  <c r="Z3" i="2"/>
  <c r="AK3" s="1"/>
  <c r="Z4"/>
  <c r="AA6"/>
  <c r="Z10"/>
  <c r="L8" s="1"/>
  <c r="AA5" s="1"/>
  <c r="Z11"/>
  <c r="C4"/>
  <c r="B3"/>
  <c r="E1" i="3" s="1"/>
  <c r="C3" i="2"/>
  <c r="AC7" s="1"/>
  <c r="D13" i="11"/>
  <c r="B13" i="13" s="1"/>
  <c r="F27" i="2"/>
  <c r="E27"/>
  <c r="D27"/>
  <c r="C27"/>
  <c r="B25"/>
  <c r="C25"/>
  <c r="G25"/>
  <c r="Y1" s="1"/>
  <c r="Z1" s="1"/>
  <c r="B27"/>
  <c r="F25"/>
  <c r="E25"/>
  <c r="D25"/>
  <c r="B15"/>
  <c r="D15" s="1"/>
  <c r="B11"/>
  <c r="AK2" s="1"/>
  <c r="AD7"/>
  <c r="C1648" i="6"/>
  <c r="N1648" s="1"/>
  <c r="C1644"/>
  <c r="N1644" s="1"/>
  <c r="C1640"/>
  <c r="N1640" s="1"/>
  <c r="C1636"/>
  <c r="Y1636" s="1"/>
  <c r="C1632"/>
  <c r="C1628"/>
  <c r="C1624"/>
  <c r="C1620"/>
  <c r="C1616"/>
  <c r="Y1616" s="1"/>
  <c r="C1612"/>
  <c r="Y1612" s="1"/>
  <c r="C1608"/>
  <c r="Y1608" s="1"/>
  <c r="C1604"/>
  <c r="Y1604" s="1"/>
  <c r="C1600"/>
  <c r="N1600" s="1"/>
  <c r="C1596"/>
  <c r="Y1596" s="1"/>
  <c r="C1592"/>
  <c r="Y1592" s="1"/>
  <c r="C1588"/>
  <c r="Y1588" s="1"/>
  <c r="C1584"/>
  <c r="C1580"/>
  <c r="N1580" s="1"/>
  <c r="C1576"/>
  <c r="C1572"/>
  <c r="Y1572" s="1"/>
  <c r="C1568"/>
  <c r="C1564"/>
  <c r="Y1564" s="1"/>
  <c r="C1560"/>
  <c r="N1560" s="1"/>
  <c r="C1556"/>
  <c r="C1552"/>
  <c r="C1548"/>
  <c r="C1544"/>
  <c r="C1540"/>
  <c r="Y1540" s="1"/>
  <c r="C1536"/>
  <c r="C1532"/>
  <c r="Y1532" s="1"/>
  <c r="C1528"/>
  <c r="C1524"/>
  <c r="C1520"/>
  <c r="C1516"/>
  <c r="N1516" s="1"/>
  <c r="C1512"/>
  <c r="C1508"/>
  <c r="Y1508" s="1"/>
  <c r="C1504"/>
  <c r="N1504" s="1"/>
  <c r="C1500"/>
  <c r="Y1500" s="1"/>
  <c r="C1496"/>
  <c r="C1492"/>
  <c r="Y1492" s="1"/>
  <c r="C1488"/>
  <c r="C1484"/>
  <c r="Y1484" s="1"/>
  <c r="C1480"/>
  <c r="C1476"/>
  <c r="Y1476" s="1"/>
  <c r="C1472"/>
  <c r="C1468"/>
  <c r="C1464"/>
  <c r="C1460"/>
  <c r="Y1460" s="1"/>
  <c r="C1456"/>
  <c r="Y1456" s="1"/>
  <c r="C1452"/>
  <c r="Y1452" s="1"/>
  <c r="C1448"/>
  <c r="Y1448" s="1"/>
  <c r="C1444"/>
  <c r="Y1444" s="1"/>
  <c r="C1440"/>
  <c r="C1436"/>
  <c r="Y1436" s="1"/>
  <c r="C1432"/>
  <c r="C1428"/>
  <c r="C1424"/>
  <c r="Y1424" s="1"/>
  <c r="C1420"/>
  <c r="C1416"/>
  <c r="C1412"/>
  <c r="Y1412" s="1"/>
  <c r="C1408"/>
  <c r="N1408" s="1"/>
  <c r="C1404"/>
  <c r="Y1404" s="1"/>
  <c r="C1400"/>
  <c r="C1396"/>
  <c r="Y1396" s="1"/>
  <c r="C1392"/>
  <c r="C1388"/>
  <c r="Y1388" s="1"/>
  <c r="C1384"/>
  <c r="C1380"/>
  <c r="C1376"/>
  <c r="C1372"/>
  <c r="C1368"/>
  <c r="C1364"/>
  <c r="C1360"/>
  <c r="C1356"/>
  <c r="Y1356" s="1"/>
  <c r="C1352"/>
  <c r="C1348"/>
  <c r="Y1348" s="1"/>
  <c r="C1344"/>
  <c r="Y1344" s="1"/>
  <c r="C1340"/>
  <c r="C1336"/>
  <c r="Y1336" s="1"/>
  <c r="C1332"/>
  <c r="C1328"/>
  <c r="C1324"/>
  <c r="Y1324" s="1"/>
  <c r="C1320"/>
  <c r="Y1320" s="1"/>
  <c r="C1316"/>
  <c r="Y1316" s="1"/>
  <c r="C1312"/>
  <c r="Y1312" s="1"/>
  <c r="C1308"/>
  <c r="C1304"/>
  <c r="Y1304" s="1"/>
  <c r="C1300"/>
  <c r="Y1300" s="1"/>
  <c r="C1296"/>
  <c r="Y1296" s="1"/>
  <c r="C1292"/>
  <c r="C1288"/>
  <c r="Y1288" s="1"/>
  <c r="C1284"/>
  <c r="Y1284" s="1"/>
  <c r="C1280"/>
  <c r="C1276"/>
  <c r="C1272"/>
  <c r="C1268"/>
  <c r="Y1268" s="1"/>
  <c r="C1264"/>
  <c r="Y1264" s="1"/>
  <c r="C1260"/>
  <c r="C1256"/>
  <c r="C1252"/>
  <c r="Y1252" s="1"/>
  <c r="C1248"/>
  <c r="Y1248" s="1"/>
  <c r="C1244"/>
  <c r="Y1244" s="1"/>
  <c r="C1240"/>
  <c r="Y1240" s="1"/>
  <c r="C1236"/>
  <c r="Y1236" s="1"/>
  <c r="C1232"/>
  <c r="Y1232" s="1"/>
  <c r="C1228"/>
  <c r="C1224"/>
  <c r="Y1224" s="1"/>
  <c r="C1220"/>
  <c r="Y1220" s="1"/>
  <c r="C1216"/>
  <c r="C1212"/>
  <c r="C1208"/>
  <c r="C1204"/>
  <c r="Y1204" s="1"/>
  <c r="C1200"/>
  <c r="Y1200" s="1"/>
  <c r="C1196"/>
  <c r="C1192"/>
  <c r="Y1192" s="1"/>
  <c r="C1188"/>
  <c r="Y1188" s="1"/>
  <c r="C1184"/>
  <c r="C1180"/>
  <c r="C1176"/>
  <c r="C1172"/>
  <c r="Y1172" s="1"/>
  <c r="C1168"/>
  <c r="Y1168" s="1"/>
  <c r="C1164"/>
  <c r="C1160"/>
  <c r="Y1160" s="1"/>
  <c r="C1156"/>
  <c r="Y1156" s="1"/>
  <c r="C1152"/>
  <c r="Y1152" s="1"/>
  <c r="C1148"/>
  <c r="Y1148" s="1"/>
  <c r="C1144"/>
  <c r="Y1144" s="1"/>
  <c r="C1140"/>
  <c r="C1136"/>
  <c r="C1132"/>
  <c r="C1128"/>
  <c r="C1124"/>
  <c r="Y1124" s="1"/>
  <c r="C1120"/>
  <c r="C1116"/>
  <c r="Y1116" s="1"/>
  <c r="C1112"/>
  <c r="Y1112" s="1"/>
  <c r="C1108"/>
  <c r="Y1108" s="1"/>
  <c r="C1104"/>
  <c r="Y1104" s="1"/>
  <c r="C1100"/>
  <c r="C1096"/>
  <c r="Y1096" s="1"/>
  <c r="C1092"/>
  <c r="Y1092" s="1"/>
  <c r="C1088"/>
  <c r="C1084"/>
  <c r="C1080"/>
  <c r="C1076"/>
  <c r="C1072"/>
  <c r="C1068"/>
  <c r="C1064"/>
  <c r="C1060"/>
  <c r="Y1060" s="1"/>
  <c r="C1056"/>
  <c r="Y1056" s="1"/>
  <c r="C1052"/>
  <c r="Y1052" s="1"/>
  <c r="C1048"/>
  <c r="Y1048" s="1"/>
  <c r="C1044"/>
  <c r="C1040"/>
  <c r="Y1040" s="1"/>
  <c r="C1036"/>
  <c r="C1032"/>
  <c r="C1028"/>
  <c r="Y1028" s="1"/>
  <c r="C1024"/>
  <c r="Y1024" s="1"/>
  <c r="C1020"/>
  <c r="Y1020" s="1"/>
  <c r="C1016"/>
  <c r="Y1016" s="1"/>
  <c r="C1012"/>
  <c r="Y1012" s="1"/>
  <c r="C1008"/>
  <c r="Y1008" s="1"/>
  <c r="C1004"/>
  <c r="C1000"/>
  <c r="Y1000" s="1"/>
  <c r="C996"/>
  <c r="Y996" s="1"/>
  <c r="C992"/>
  <c r="C988"/>
  <c r="C984"/>
  <c r="C980"/>
  <c r="Y980" s="1"/>
  <c r="C976"/>
  <c r="Y976" s="1"/>
  <c r="C972"/>
  <c r="C968"/>
  <c r="Y968" s="1"/>
  <c r="C964"/>
  <c r="Y964" s="1"/>
  <c r="C960"/>
  <c r="Y960" s="1"/>
  <c r="C956"/>
  <c r="Y956" s="1"/>
  <c r="C952"/>
  <c r="Y952" s="1"/>
  <c r="C948"/>
  <c r="C944"/>
  <c r="C940"/>
  <c r="C936"/>
  <c r="C932"/>
  <c r="Y932" s="1"/>
  <c r="C928"/>
  <c r="C924"/>
  <c r="Y924" s="1"/>
  <c r="C920"/>
  <c r="C916"/>
  <c r="Y916" s="1"/>
  <c r="C912"/>
  <c r="Y912" s="1"/>
  <c r="C908"/>
  <c r="C904"/>
  <c r="Y904" s="1"/>
  <c r="C900"/>
  <c r="C896"/>
  <c r="Y896" s="1"/>
  <c r="C892"/>
  <c r="C888"/>
  <c r="Y888" s="1"/>
  <c r="C884"/>
  <c r="Y884" s="1"/>
  <c r="C880"/>
  <c r="Y880" s="1"/>
  <c r="C876"/>
  <c r="C872"/>
  <c r="C868"/>
  <c r="Y868" s="1"/>
  <c r="C864"/>
  <c r="Y864" s="1"/>
  <c r="C860"/>
  <c r="Y860" s="1"/>
  <c r="C856"/>
  <c r="Y856" s="1"/>
  <c r="C852"/>
  <c r="C848"/>
  <c r="C844"/>
  <c r="C840"/>
  <c r="C836"/>
  <c r="Y836" s="1"/>
  <c r="C832"/>
  <c r="Y832" s="1"/>
  <c r="C828"/>
  <c r="Y828" s="1"/>
  <c r="C824"/>
  <c r="Y824" s="1"/>
  <c r="C820"/>
  <c r="Y820" s="1"/>
  <c r="C816"/>
  <c r="Y816" s="1"/>
  <c r="C812"/>
  <c r="C808"/>
  <c r="Y808" s="1"/>
  <c r="C804"/>
  <c r="Y804" s="1"/>
  <c r="C800"/>
  <c r="C796"/>
  <c r="C792"/>
  <c r="C788"/>
  <c r="C784"/>
  <c r="C780"/>
  <c r="C776"/>
  <c r="Y776" s="1"/>
  <c r="C772"/>
  <c r="Y772" s="1"/>
  <c r="C768"/>
  <c r="Y768" s="1"/>
  <c r="C764"/>
  <c r="C760"/>
  <c r="Y760" s="1"/>
  <c r="C756"/>
  <c r="C752"/>
  <c r="C748"/>
  <c r="C744"/>
  <c r="C740"/>
  <c r="Y740" s="1"/>
  <c r="C736"/>
  <c r="Y736" s="1"/>
  <c r="C732"/>
  <c r="Y732" s="1"/>
  <c r="C728"/>
  <c r="C724"/>
  <c r="Y724" s="1"/>
  <c r="C720"/>
  <c r="Y720" s="1"/>
  <c r="C716"/>
  <c r="C712"/>
  <c r="Y712" s="1"/>
  <c r="C708"/>
  <c r="Y708" s="1"/>
  <c r="C704"/>
  <c r="C700"/>
  <c r="Y700" s="1"/>
  <c r="C696"/>
  <c r="C692"/>
  <c r="Y692" s="1"/>
  <c r="C688"/>
  <c r="Y688" s="1"/>
  <c r="C684"/>
  <c r="C680"/>
  <c r="Y680" s="1"/>
  <c r="C676"/>
  <c r="Y676" s="1"/>
  <c r="C672"/>
  <c r="Y672" s="1"/>
  <c r="C668"/>
  <c r="C664"/>
  <c r="Y664" s="1"/>
  <c r="C660"/>
  <c r="C656"/>
  <c r="C652"/>
  <c r="C648"/>
  <c r="C644"/>
  <c r="C640"/>
  <c r="C636"/>
  <c r="Y636" s="1"/>
  <c r="C632"/>
  <c r="Y632" s="1"/>
  <c r="C628"/>
  <c r="Y628" s="1"/>
  <c r="C624"/>
  <c r="Y624" s="1"/>
  <c r="C620"/>
  <c r="C616"/>
  <c r="Y616" s="1"/>
  <c r="C612"/>
  <c r="Y612" s="1"/>
  <c r="C608"/>
  <c r="C604"/>
  <c r="C600"/>
  <c r="C596"/>
  <c r="Y596" s="1"/>
  <c r="C592"/>
  <c r="Y592" s="1"/>
  <c r="C588"/>
  <c r="C584"/>
  <c r="C580"/>
  <c r="Y580" s="1"/>
  <c r="C576"/>
  <c r="Y576" s="1"/>
  <c r="C572"/>
  <c r="Y572" s="1"/>
  <c r="C568"/>
  <c r="Y568" s="1"/>
  <c r="C564"/>
  <c r="C560"/>
  <c r="Y560" s="1"/>
  <c r="C556"/>
  <c r="C552"/>
  <c r="Y552" s="1"/>
  <c r="B550"/>
  <c r="C548"/>
  <c r="Y548" s="1"/>
  <c r="B546"/>
  <c r="C544"/>
  <c r="Y544" s="1"/>
  <c r="B542"/>
  <c r="C540"/>
  <c r="Y540" s="1"/>
  <c r="B538"/>
  <c r="C536"/>
  <c r="Y536" s="1"/>
  <c r="B534"/>
  <c r="C532"/>
  <c r="B530"/>
  <c r="C528"/>
  <c r="B526"/>
  <c r="C524"/>
  <c r="B522"/>
  <c r="C520"/>
  <c r="B518"/>
  <c r="C516"/>
  <c r="Y516" s="1"/>
  <c r="B514"/>
  <c r="C512"/>
  <c r="Y512" s="1"/>
  <c r="B510"/>
  <c r="C508"/>
  <c r="B506"/>
  <c r="C504"/>
  <c r="B502"/>
  <c r="C500"/>
  <c r="Y500" s="1"/>
  <c r="B498"/>
  <c r="C496"/>
  <c r="Y496" s="1"/>
  <c r="B494"/>
  <c r="C492"/>
  <c r="Y492" s="1"/>
  <c r="B490"/>
  <c r="C488"/>
  <c r="Y488" s="1"/>
  <c r="B486"/>
  <c r="C484"/>
  <c r="Y484" s="1"/>
  <c r="B482"/>
  <c r="C480"/>
  <c r="B478"/>
  <c r="C476"/>
  <c r="B474"/>
  <c r="C472"/>
  <c r="B470"/>
  <c r="C468"/>
  <c r="Y468" s="1"/>
  <c r="B466"/>
  <c r="C464"/>
  <c r="Y464" s="1"/>
  <c r="B462"/>
  <c r="C460"/>
  <c r="B458"/>
  <c r="C456"/>
  <c r="B454"/>
  <c r="C452"/>
  <c r="Y452" s="1"/>
  <c r="B450"/>
  <c r="C448"/>
  <c r="Y448" s="1"/>
  <c r="B446"/>
  <c r="C444"/>
  <c r="Y444" s="1"/>
  <c r="B442"/>
  <c r="C440"/>
  <c r="Y440" s="1"/>
  <c r="B438"/>
  <c r="C436"/>
  <c r="Y436" s="1"/>
  <c r="B434"/>
  <c r="C432"/>
  <c r="B430"/>
  <c r="C428"/>
  <c r="B426"/>
  <c r="C424"/>
  <c r="B422"/>
  <c r="C420"/>
  <c r="Y420" s="1"/>
  <c r="B418"/>
  <c r="C416"/>
  <c r="Y416" s="1"/>
  <c r="B414"/>
  <c r="C412"/>
  <c r="Y412" s="1"/>
  <c r="B410"/>
  <c r="C408"/>
  <c r="B406"/>
  <c r="C404"/>
  <c r="Y404" s="1"/>
  <c r="B402"/>
  <c r="C400"/>
  <c r="Y400" s="1"/>
  <c r="B398"/>
  <c r="C396"/>
  <c r="Y396" s="1"/>
  <c r="B394"/>
  <c r="C392"/>
  <c r="Y392" s="1"/>
  <c r="B390"/>
  <c r="C388"/>
  <c r="B386"/>
  <c r="C384"/>
  <c r="B382"/>
  <c r="C380"/>
  <c r="B378"/>
  <c r="C376"/>
  <c r="B374"/>
  <c r="C372"/>
  <c r="Y372" s="1"/>
  <c r="B370"/>
  <c r="C368"/>
  <c r="Y368" s="1"/>
  <c r="B366"/>
  <c r="C364"/>
  <c r="Y364" s="1"/>
  <c r="B362"/>
  <c r="C360"/>
  <c r="Y360" s="1"/>
  <c r="B358"/>
  <c r="C356"/>
  <c r="Y356" s="1"/>
  <c r="B354"/>
  <c r="C352"/>
  <c r="Y352" s="1"/>
  <c r="B350"/>
  <c r="C348"/>
  <c r="Y348" s="1"/>
  <c r="B346"/>
  <c r="C344"/>
  <c r="Y344" s="1"/>
  <c r="B342"/>
  <c r="C340"/>
  <c r="B338"/>
  <c r="C336"/>
  <c r="B334"/>
  <c r="C332"/>
  <c r="B330"/>
  <c r="C328"/>
  <c r="B326"/>
  <c r="C324"/>
  <c r="Y324" s="1"/>
  <c r="B322"/>
  <c r="C320"/>
  <c r="Y320" s="1"/>
  <c r="B318"/>
  <c r="C316"/>
  <c r="B314"/>
  <c r="C312"/>
  <c r="B310"/>
  <c r="C308"/>
  <c r="Y308" s="1"/>
  <c r="B306"/>
  <c r="C304"/>
  <c r="Y304" s="1"/>
  <c r="B302"/>
  <c r="C300"/>
  <c r="Y300" s="1"/>
  <c r="B298"/>
  <c r="C296"/>
  <c r="Y296" s="1"/>
  <c r="B294"/>
  <c r="C292"/>
  <c r="Y292" s="1"/>
  <c r="B290"/>
  <c r="C288"/>
  <c r="B286"/>
  <c r="C284"/>
  <c r="B282"/>
  <c r="C280"/>
  <c r="B278"/>
  <c r="C276"/>
  <c r="Y276" s="1"/>
  <c r="B274"/>
  <c r="C272"/>
  <c r="Y272" s="1"/>
  <c r="B270"/>
  <c r="C268"/>
  <c r="B266"/>
  <c r="C264"/>
  <c r="B262"/>
  <c r="C260"/>
  <c r="Y260" s="1"/>
  <c r="B258"/>
  <c r="C256"/>
  <c r="Y256" s="1"/>
  <c r="B254"/>
  <c r="C252"/>
  <c r="Y252" s="1"/>
  <c r="B250"/>
  <c r="C248"/>
  <c r="Y248" s="1"/>
  <c r="B246"/>
  <c r="C244"/>
  <c r="Y244" s="1"/>
  <c r="B242"/>
  <c r="C240"/>
  <c r="B238"/>
  <c r="C236"/>
  <c r="B234"/>
  <c r="C232"/>
  <c r="B230"/>
  <c r="C228"/>
  <c r="Y228" s="1"/>
  <c r="B226"/>
  <c r="C224"/>
  <c r="Y224" s="1"/>
  <c r="B222"/>
  <c r="C220"/>
  <c r="Y220" s="1"/>
  <c r="B218"/>
  <c r="C216"/>
  <c r="B214"/>
  <c r="C212"/>
  <c r="Y212" s="1"/>
  <c r="B210"/>
  <c r="C208"/>
  <c r="Y208" s="1"/>
  <c r="B206"/>
  <c r="C204"/>
  <c r="Y204" s="1"/>
  <c r="B202"/>
  <c r="C200"/>
  <c r="Y200" s="1"/>
  <c r="B198"/>
  <c r="C196"/>
  <c r="B194"/>
  <c r="C192"/>
  <c r="B190"/>
  <c r="C188"/>
  <c r="B186"/>
  <c r="C184"/>
  <c r="B182"/>
  <c r="C180"/>
  <c r="Y180" s="1"/>
  <c r="B178"/>
  <c r="C176"/>
  <c r="Y176" s="1"/>
  <c r="B174"/>
  <c r="C172"/>
  <c r="Y172" s="1"/>
  <c r="B170"/>
  <c r="C168"/>
  <c r="Y168" s="1"/>
  <c r="B166"/>
  <c r="C164"/>
  <c r="Y164" s="1"/>
  <c r="B162"/>
  <c r="C160"/>
  <c r="Y160" s="1"/>
  <c r="B158"/>
  <c r="C156"/>
  <c r="Y156" s="1"/>
  <c r="B154"/>
  <c r="C152"/>
  <c r="Y152" s="1"/>
  <c r="B150"/>
  <c r="C148"/>
  <c r="B146"/>
  <c r="C144"/>
  <c r="B142"/>
  <c r="C140"/>
  <c r="B138"/>
  <c r="C136"/>
  <c r="B134"/>
  <c r="C132"/>
  <c r="Y132" s="1"/>
  <c r="B130"/>
  <c r="C128"/>
  <c r="Y128" s="1"/>
  <c r="B126"/>
  <c r="C124"/>
  <c r="B122"/>
  <c r="C120"/>
  <c r="B118"/>
  <c r="C116"/>
  <c r="Y116" s="1"/>
  <c r="B114"/>
  <c r="C112"/>
  <c r="Y112" s="1"/>
  <c r="B110"/>
  <c r="C108"/>
  <c r="Y108" s="1"/>
  <c r="B106"/>
  <c r="C104"/>
  <c r="Y104" s="1"/>
  <c r="B102"/>
  <c r="C100"/>
  <c r="Y100" s="1"/>
  <c r="B98"/>
  <c r="C96"/>
  <c r="B94"/>
  <c r="C92"/>
  <c r="B90"/>
  <c r="C88"/>
  <c r="B86"/>
  <c r="C84"/>
  <c r="Y84" s="1"/>
  <c r="B82"/>
  <c r="C80"/>
  <c r="Y80" s="1"/>
  <c r="B78"/>
  <c r="C76"/>
  <c r="B74"/>
  <c r="C72"/>
  <c r="B70"/>
  <c r="C68"/>
  <c r="Y68" s="1"/>
  <c r="B66"/>
  <c r="C64"/>
  <c r="Y64" s="1"/>
  <c r="B62"/>
  <c r="C60"/>
  <c r="Y60" s="1"/>
  <c r="B58"/>
  <c r="C56"/>
  <c r="Y56" s="1"/>
  <c r="B54"/>
  <c r="C52"/>
  <c r="Y52" s="1"/>
  <c r="B50"/>
  <c r="C48"/>
  <c r="B46"/>
  <c r="C44"/>
  <c r="B42"/>
  <c r="C40"/>
  <c r="B38"/>
  <c r="C36"/>
  <c r="Y36" s="1"/>
  <c r="B34"/>
  <c r="C32"/>
  <c r="Y32" s="1"/>
  <c r="B30"/>
  <c r="C28"/>
  <c r="Y28" s="1"/>
  <c r="B26"/>
  <c r="C24"/>
  <c r="B22"/>
  <c r="C20"/>
  <c r="Y20" s="1"/>
  <c r="B18"/>
  <c r="C16"/>
  <c r="Y16" s="1"/>
  <c r="B14"/>
  <c r="C12"/>
  <c r="Y12" s="1"/>
  <c r="B10"/>
  <c r="C8"/>
  <c r="Y8" s="1"/>
  <c r="B6"/>
  <c r="C4"/>
  <c r="A3"/>
  <c r="X3" s="1"/>
  <c r="B3"/>
  <c r="C3"/>
  <c r="Y3" s="1"/>
  <c r="A4"/>
  <c r="M4" s="1"/>
  <c r="B4"/>
  <c r="A5"/>
  <c r="M5" s="1"/>
  <c r="B5"/>
  <c r="C5"/>
  <c r="A6"/>
  <c r="M6" s="1"/>
  <c r="C6"/>
  <c r="A7"/>
  <c r="B7"/>
  <c r="C7"/>
  <c r="A8"/>
  <c r="X8" s="1"/>
  <c r="B8"/>
  <c r="A9"/>
  <c r="B9"/>
  <c r="C9"/>
  <c r="A10"/>
  <c r="X10" s="1"/>
  <c r="C10"/>
  <c r="N10" s="1"/>
  <c r="A11"/>
  <c r="B11"/>
  <c r="C11"/>
  <c r="N11" s="1"/>
  <c r="A12"/>
  <c r="B12"/>
  <c r="A13"/>
  <c r="B13"/>
  <c r="C13"/>
  <c r="N13" s="1"/>
  <c r="A14"/>
  <c r="C14"/>
  <c r="A15"/>
  <c r="X15" s="1"/>
  <c r="B15"/>
  <c r="C15"/>
  <c r="Y15" s="1"/>
  <c r="A16"/>
  <c r="B16"/>
  <c r="A17"/>
  <c r="M17" s="1"/>
  <c r="B17"/>
  <c r="C17"/>
  <c r="N17" s="1"/>
  <c r="A18"/>
  <c r="X18" s="1"/>
  <c r="C18"/>
  <c r="N18" s="1"/>
  <c r="A19"/>
  <c r="X19" s="1"/>
  <c r="B19"/>
  <c r="C19"/>
  <c r="Y19" s="1"/>
  <c r="A20"/>
  <c r="X20" s="1"/>
  <c r="B20"/>
  <c r="A21"/>
  <c r="B21"/>
  <c r="C21"/>
  <c r="Y21" s="1"/>
  <c r="A22"/>
  <c r="C22"/>
  <c r="A23"/>
  <c r="B23"/>
  <c r="C23"/>
  <c r="Y23" s="1"/>
  <c r="A24"/>
  <c r="B24"/>
  <c r="A25"/>
  <c r="B25"/>
  <c r="C25"/>
  <c r="A26"/>
  <c r="C26"/>
  <c r="A27"/>
  <c r="B27"/>
  <c r="C27"/>
  <c r="Y27" s="1"/>
  <c r="A28"/>
  <c r="X28" s="1"/>
  <c r="B28"/>
  <c r="A29"/>
  <c r="M29" s="1"/>
  <c r="B29"/>
  <c r="C29"/>
  <c r="N29" s="1"/>
  <c r="A30"/>
  <c r="X30" s="1"/>
  <c r="C30"/>
  <c r="A31"/>
  <c r="B31"/>
  <c r="C31"/>
  <c r="A32"/>
  <c r="X32" s="1"/>
  <c r="B32"/>
  <c r="A33"/>
  <c r="M33" s="1"/>
  <c r="B33"/>
  <c r="C33"/>
  <c r="Y33" s="1"/>
  <c r="A34"/>
  <c r="M34" s="1"/>
  <c r="C34"/>
  <c r="A35"/>
  <c r="X35" s="1"/>
  <c r="B35"/>
  <c r="C35"/>
  <c r="A36"/>
  <c r="B36"/>
  <c r="A37"/>
  <c r="B37"/>
  <c r="C37"/>
  <c r="N37" s="1"/>
  <c r="A38"/>
  <c r="X38" s="1"/>
  <c r="C38"/>
  <c r="A39"/>
  <c r="X39" s="1"/>
  <c r="B39"/>
  <c r="C39"/>
  <c r="A40"/>
  <c r="B40"/>
  <c r="A41"/>
  <c r="B41"/>
  <c r="C41"/>
  <c r="A42"/>
  <c r="X42" s="1"/>
  <c r="C42"/>
  <c r="A43"/>
  <c r="X43" s="1"/>
  <c r="B43"/>
  <c r="C43"/>
  <c r="Y43" s="1"/>
  <c r="A44"/>
  <c r="B44"/>
  <c r="A45"/>
  <c r="B45"/>
  <c r="C45"/>
  <c r="A46"/>
  <c r="C46"/>
  <c r="Y46" s="1"/>
  <c r="A47"/>
  <c r="X47" s="1"/>
  <c r="B47"/>
  <c r="C47"/>
  <c r="Y47" s="1"/>
  <c r="A48"/>
  <c r="X48" s="1"/>
  <c r="B48"/>
  <c r="A49"/>
  <c r="M49" s="1"/>
  <c r="B49"/>
  <c r="C49"/>
  <c r="A50"/>
  <c r="C50"/>
  <c r="Y50" s="1"/>
  <c r="A51"/>
  <c r="X51" s="1"/>
  <c r="B51"/>
  <c r="C51"/>
  <c r="A52"/>
  <c r="X52" s="1"/>
  <c r="B52"/>
  <c r="A53"/>
  <c r="B53"/>
  <c r="C53"/>
  <c r="A54"/>
  <c r="X54" s="1"/>
  <c r="C54"/>
  <c r="A55"/>
  <c r="B55"/>
  <c r="C55"/>
  <c r="A56"/>
  <c r="B56"/>
  <c r="A57"/>
  <c r="X57" s="1"/>
  <c r="B57"/>
  <c r="C57"/>
  <c r="A58"/>
  <c r="X58" s="1"/>
  <c r="C58"/>
  <c r="A59"/>
  <c r="B59"/>
  <c r="C59"/>
  <c r="Y59" s="1"/>
  <c r="A60"/>
  <c r="B60"/>
  <c r="A61"/>
  <c r="X61" s="1"/>
  <c r="B61"/>
  <c r="C61"/>
  <c r="A62"/>
  <c r="C62"/>
  <c r="Y62" s="1"/>
  <c r="A63"/>
  <c r="X63" s="1"/>
  <c r="B63"/>
  <c r="C63"/>
  <c r="Y63" s="1"/>
  <c r="A64"/>
  <c r="B64"/>
  <c r="A65"/>
  <c r="M65" s="1"/>
  <c r="B65"/>
  <c r="C65"/>
  <c r="N65" s="1"/>
  <c r="A66"/>
  <c r="X66" s="1"/>
  <c r="C66"/>
  <c r="N66" s="1"/>
  <c r="A67"/>
  <c r="X67" s="1"/>
  <c r="B67"/>
  <c r="C67"/>
  <c r="A68"/>
  <c r="B68"/>
  <c r="A69"/>
  <c r="B69"/>
  <c r="C69"/>
  <c r="Y69" s="1"/>
  <c r="A70"/>
  <c r="X70" s="1"/>
  <c r="C70"/>
  <c r="A71"/>
  <c r="B71"/>
  <c r="C71"/>
  <c r="Y71" s="1"/>
  <c r="A72"/>
  <c r="B72"/>
  <c r="A73"/>
  <c r="B73"/>
  <c r="C73"/>
  <c r="A74"/>
  <c r="C74"/>
  <c r="A75"/>
  <c r="B75"/>
  <c r="C75"/>
  <c r="Y75" s="1"/>
  <c r="A76"/>
  <c r="M76" s="1"/>
  <c r="B76"/>
  <c r="A77"/>
  <c r="M77" s="1"/>
  <c r="B77"/>
  <c r="C77"/>
  <c r="A78"/>
  <c r="C78"/>
  <c r="A79"/>
  <c r="X79" s="1"/>
  <c r="B79"/>
  <c r="C79"/>
  <c r="Y79" s="1"/>
  <c r="A80"/>
  <c r="X80" s="1"/>
  <c r="B80"/>
  <c r="A81"/>
  <c r="B81"/>
  <c r="C81"/>
  <c r="Y81" s="1"/>
  <c r="A82"/>
  <c r="X82" s="1"/>
  <c r="C82"/>
  <c r="A83"/>
  <c r="X83" s="1"/>
  <c r="B83"/>
  <c r="C83"/>
  <c r="A84"/>
  <c r="X84" s="1"/>
  <c r="B84"/>
  <c r="A85"/>
  <c r="B85"/>
  <c r="C85"/>
  <c r="N85" s="1"/>
  <c r="A86"/>
  <c r="M86" s="1"/>
  <c r="C86"/>
  <c r="Y86" s="1"/>
  <c r="A87"/>
  <c r="B87"/>
  <c r="C87"/>
  <c r="A88"/>
  <c r="B88"/>
  <c r="A89"/>
  <c r="B89"/>
  <c r="C89"/>
  <c r="A90"/>
  <c r="X90" s="1"/>
  <c r="C90"/>
  <c r="A91"/>
  <c r="X91" s="1"/>
  <c r="B91"/>
  <c r="C91"/>
  <c r="Y91" s="1"/>
  <c r="A92"/>
  <c r="B92"/>
  <c r="A93"/>
  <c r="B93"/>
  <c r="C93"/>
  <c r="N93" s="1"/>
  <c r="A94"/>
  <c r="C94"/>
  <c r="Y94" s="1"/>
  <c r="A95"/>
  <c r="M95" s="1"/>
  <c r="B95"/>
  <c r="C95"/>
  <c r="Y95" s="1"/>
  <c r="A96"/>
  <c r="B96"/>
  <c r="A97"/>
  <c r="B97"/>
  <c r="C97"/>
  <c r="A98"/>
  <c r="X98" s="1"/>
  <c r="C98"/>
  <c r="Y98" s="1"/>
  <c r="A99"/>
  <c r="B99"/>
  <c r="C99"/>
  <c r="Y99" s="1"/>
  <c r="A100"/>
  <c r="M100" s="1"/>
  <c r="B100"/>
  <c r="A101"/>
  <c r="X101" s="1"/>
  <c r="B101"/>
  <c r="C101"/>
  <c r="A102"/>
  <c r="X102" s="1"/>
  <c r="C102"/>
  <c r="A103"/>
  <c r="B103"/>
  <c r="C103"/>
  <c r="A104"/>
  <c r="M104" s="1"/>
  <c r="B104"/>
  <c r="A105"/>
  <c r="B105"/>
  <c r="C105"/>
  <c r="N105" s="1"/>
  <c r="A106"/>
  <c r="X106" s="1"/>
  <c r="C106"/>
  <c r="A107"/>
  <c r="B107"/>
  <c r="C107"/>
  <c r="Y107" s="1"/>
  <c r="A108"/>
  <c r="B108"/>
  <c r="A109"/>
  <c r="B109"/>
  <c r="C109"/>
  <c r="N109" s="1"/>
  <c r="A110"/>
  <c r="C110"/>
  <c r="Y110" s="1"/>
  <c r="A111"/>
  <c r="M111" s="1"/>
  <c r="B111"/>
  <c r="C111"/>
  <c r="Y111" s="1"/>
  <c r="A112"/>
  <c r="B112"/>
  <c r="A113"/>
  <c r="X113" s="1"/>
  <c r="B113"/>
  <c r="C113"/>
  <c r="A114"/>
  <c r="C114"/>
  <c r="Y114" s="1"/>
  <c r="A115"/>
  <c r="X115" s="1"/>
  <c r="B115"/>
  <c r="C115"/>
  <c r="Y115" s="1"/>
  <c r="A116"/>
  <c r="B116"/>
  <c r="A117"/>
  <c r="B117"/>
  <c r="C117"/>
  <c r="N117" s="1"/>
  <c r="A118"/>
  <c r="C118"/>
  <c r="N118" s="1"/>
  <c r="A119"/>
  <c r="X119" s="1"/>
  <c r="B119"/>
  <c r="C119"/>
  <c r="A120"/>
  <c r="M120" s="1"/>
  <c r="B120"/>
  <c r="A121"/>
  <c r="B121"/>
  <c r="C121"/>
  <c r="A122"/>
  <c r="C122"/>
  <c r="A123"/>
  <c r="B123"/>
  <c r="C123"/>
  <c r="Y123" s="1"/>
  <c r="A124"/>
  <c r="B124"/>
  <c r="A125"/>
  <c r="M125" s="1"/>
  <c r="B125"/>
  <c r="C125"/>
  <c r="A126"/>
  <c r="C126"/>
  <c r="A127"/>
  <c r="X127" s="1"/>
  <c r="B127"/>
  <c r="C127"/>
  <c r="A128"/>
  <c r="B128"/>
  <c r="A129"/>
  <c r="B129"/>
  <c r="C129"/>
  <c r="Y129" s="1"/>
  <c r="A130"/>
  <c r="X130" s="1"/>
  <c r="C130"/>
  <c r="A131"/>
  <c r="X131" s="1"/>
  <c r="B131"/>
  <c r="C131"/>
  <c r="A132"/>
  <c r="B132"/>
  <c r="A133"/>
  <c r="M133" s="1"/>
  <c r="B133"/>
  <c r="C133"/>
  <c r="Y133" s="1"/>
  <c r="A134"/>
  <c r="X134" s="1"/>
  <c r="C134"/>
  <c r="Y134" s="1"/>
  <c r="A135"/>
  <c r="X135" s="1"/>
  <c r="B135"/>
  <c r="C135"/>
  <c r="Y135" s="1"/>
  <c r="A136"/>
  <c r="B136"/>
  <c r="A137"/>
  <c r="M137" s="1"/>
  <c r="B137"/>
  <c r="C137"/>
  <c r="Y137" s="1"/>
  <c r="A138"/>
  <c r="X138" s="1"/>
  <c r="C138"/>
  <c r="A139"/>
  <c r="B139"/>
  <c r="C139"/>
  <c r="Y139" s="1"/>
  <c r="A140"/>
  <c r="B140"/>
  <c r="A141"/>
  <c r="B141"/>
  <c r="C141"/>
  <c r="Y141" s="1"/>
  <c r="A142"/>
  <c r="C142"/>
  <c r="A143"/>
  <c r="X143" s="1"/>
  <c r="B143"/>
  <c r="C143"/>
  <c r="A144"/>
  <c r="X144" s="1"/>
  <c r="B144"/>
  <c r="A145"/>
  <c r="B145"/>
  <c r="C145"/>
  <c r="A146"/>
  <c r="C146"/>
  <c r="N146" s="1"/>
  <c r="A147"/>
  <c r="B147"/>
  <c r="C147"/>
  <c r="A148"/>
  <c r="B148"/>
  <c r="A149"/>
  <c r="X149" s="1"/>
  <c r="B149"/>
  <c r="C149"/>
  <c r="A150"/>
  <c r="C150"/>
  <c r="A151"/>
  <c r="B151"/>
  <c r="C151"/>
  <c r="Y151" s="1"/>
  <c r="A152"/>
  <c r="B152"/>
  <c r="A153"/>
  <c r="M153" s="1"/>
  <c r="B153"/>
  <c r="C153"/>
  <c r="N153" s="1"/>
  <c r="A154"/>
  <c r="X154" s="1"/>
  <c r="C154"/>
  <c r="A155"/>
  <c r="X155" s="1"/>
  <c r="B155"/>
  <c r="C155"/>
  <c r="N155" s="1"/>
  <c r="A156"/>
  <c r="X156" s="1"/>
  <c r="B156"/>
  <c r="A157"/>
  <c r="B157"/>
  <c r="C157"/>
  <c r="N157" s="1"/>
  <c r="A158"/>
  <c r="C158"/>
  <c r="Y158" s="1"/>
  <c r="A159"/>
  <c r="X159" s="1"/>
  <c r="B159"/>
  <c r="C159"/>
  <c r="Y159" s="1"/>
  <c r="A160"/>
  <c r="B160"/>
  <c r="A161"/>
  <c r="B161"/>
  <c r="C161"/>
  <c r="A162"/>
  <c r="X162" s="1"/>
  <c r="C162"/>
  <c r="Y162" s="1"/>
  <c r="A163"/>
  <c r="X163" s="1"/>
  <c r="B163"/>
  <c r="C163"/>
  <c r="Y163" s="1"/>
  <c r="A164"/>
  <c r="B164"/>
  <c r="A165"/>
  <c r="B165"/>
  <c r="C165"/>
  <c r="A166"/>
  <c r="C166"/>
  <c r="Y166" s="1"/>
  <c r="A167"/>
  <c r="X167" s="1"/>
  <c r="B167"/>
  <c r="C167"/>
  <c r="A168"/>
  <c r="M168" s="1"/>
  <c r="B168"/>
  <c r="A169"/>
  <c r="B169"/>
  <c r="C169"/>
  <c r="A170"/>
  <c r="C170"/>
  <c r="A171"/>
  <c r="X171" s="1"/>
  <c r="B171"/>
  <c r="C171"/>
  <c r="Y171" s="1"/>
  <c r="A172"/>
  <c r="B172"/>
  <c r="A173"/>
  <c r="B173"/>
  <c r="C173"/>
  <c r="A174"/>
  <c r="C174"/>
  <c r="A175"/>
  <c r="X175" s="1"/>
  <c r="B175"/>
  <c r="C175"/>
  <c r="Y175" s="1"/>
  <c r="A176"/>
  <c r="M176" s="1"/>
  <c r="B176"/>
  <c r="A177"/>
  <c r="M177" s="1"/>
  <c r="B177"/>
  <c r="C177"/>
  <c r="N177" s="1"/>
  <c r="A178"/>
  <c r="X178" s="1"/>
  <c r="C178"/>
  <c r="A179"/>
  <c r="X179" s="1"/>
  <c r="B179"/>
  <c r="C179"/>
  <c r="Y179" s="1"/>
  <c r="A180"/>
  <c r="B180"/>
  <c r="A181"/>
  <c r="B181"/>
  <c r="C181"/>
  <c r="Y181" s="1"/>
  <c r="A182"/>
  <c r="X182" s="1"/>
  <c r="C182"/>
  <c r="A183"/>
  <c r="X183" s="1"/>
  <c r="B183"/>
  <c r="C183"/>
  <c r="A184"/>
  <c r="B184"/>
  <c r="A185"/>
  <c r="B185"/>
  <c r="C185"/>
  <c r="A186"/>
  <c r="X186" s="1"/>
  <c r="C186"/>
  <c r="A187"/>
  <c r="B187"/>
  <c r="C187"/>
  <c r="Y187" s="1"/>
  <c r="A188"/>
  <c r="B188"/>
  <c r="A189"/>
  <c r="B189"/>
  <c r="C189"/>
  <c r="A190"/>
  <c r="C190"/>
  <c r="A191"/>
  <c r="X191" s="1"/>
  <c r="B191"/>
  <c r="C191"/>
  <c r="Y191" s="1"/>
  <c r="A192"/>
  <c r="B192"/>
  <c r="A193"/>
  <c r="B193"/>
  <c r="C193"/>
  <c r="A194"/>
  <c r="X194" s="1"/>
  <c r="C194"/>
  <c r="A195"/>
  <c r="B195"/>
  <c r="C195"/>
  <c r="Y195" s="1"/>
  <c r="A196"/>
  <c r="X196" s="1"/>
  <c r="B196"/>
  <c r="A197"/>
  <c r="X197" s="1"/>
  <c r="B197"/>
  <c r="C197"/>
  <c r="A198"/>
  <c r="C198"/>
  <c r="A199"/>
  <c r="B199"/>
  <c r="C199"/>
  <c r="A200"/>
  <c r="B200"/>
  <c r="A201"/>
  <c r="X201" s="1"/>
  <c r="B201"/>
  <c r="C201"/>
  <c r="N201" s="1"/>
  <c r="A202"/>
  <c r="X202" s="1"/>
  <c r="C202"/>
  <c r="A203"/>
  <c r="B203"/>
  <c r="C203"/>
  <c r="Y203" s="1"/>
  <c r="A204"/>
  <c r="B204"/>
  <c r="A205"/>
  <c r="X205" s="1"/>
  <c r="B205"/>
  <c r="C205"/>
  <c r="A206"/>
  <c r="X206" s="1"/>
  <c r="C206"/>
  <c r="Y206" s="1"/>
  <c r="A207"/>
  <c r="X207" s="1"/>
  <c r="B207"/>
  <c r="C207"/>
  <c r="Y207" s="1"/>
  <c r="A208"/>
  <c r="B208"/>
  <c r="A209"/>
  <c r="B209"/>
  <c r="C209"/>
  <c r="A210"/>
  <c r="C210"/>
  <c r="Y210" s="1"/>
  <c r="A211"/>
  <c r="X211" s="1"/>
  <c r="B211"/>
  <c r="C211"/>
  <c r="Y211" s="1"/>
  <c r="A212"/>
  <c r="B212"/>
  <c r="A213"/>
  <c r="B213"/>
  <c r="C213"/>
  <c r="A214"/>
  <c r="C214"/>
  <c r="Y214" s="1"/>
  <c r="A215"/>
  <c r="X215" s="1"/>
  <c r="B215"/>
  <c r="C215"/>
  <c r="A216"/>
  <c r="X216" s="1"/>
  <c r="B216"/>
  <c r="A217"/>
  <c r="B217"/>
  <c r="C217"/>
  <c r="A218"/>
  <c r="C218"/>
  <c r="Y218" s="1"/>
  <c r="A219"/>
  <c r="B219"/>
  <c r="C219"/>
  <c r="Y219" s="1"/>
  <c r="A220"/>
  <c r="X220" s="1"/>
  <c r="B220"/>
  <c r="A221"/>
  <c r="B221"/>
  <c r="C221"/>
  <c r="A222"/>
  <c r="C222"/>
  <c r="A223"/>
  <c r="X223" s="1"/>
  <c r="B223"/>
  <c r="C223"/>
  <c r="A224"/>
  <c r="M224" s="1"/>
  <c r="B224"/>
  <c r="A225"/>
  <c r="M225" s="1"/>
  <c r="B225"/>
  <c r="C225"/>
  <c r="Y225" s="1"/>
  <c r="A226"/>
  <c r="X226" s="1"/>
  <c r="C226"/>
  <c r="A227"/>
  <c r="X227" s="1"/>
  <c r="B227"/>
  <c r="C227"/>
  <c r="A228"/>
  <c r="B228"/>
  <c r="A229"/>
  <c r="B229"/>
  <c r="C229"/>
  <c r="Y229" s="1"/>
  <c r="A230"/>
  <c r="X230" s="1"/>
  <c r="C230"/>
  <c r="A231"/>
  <c r="B231"/>
  <c r="C231"/>
  <c r="A232"/>
  <c r="B232"/>
  <c r="A233"/>
  <c r="B233"/>
  <c r="C233"/>
  <c r="A234"/>
  <c r="X234" s="1"/>
  <c r="C234"/>
  <c r="N234" s="1"/>
  <c r="A235"/>
  <c r="B235"/>
  <c r="C235"/>
  <c r="Y235" s="1"/>
  <c r="A236"/>
  <c r="B236"/>
  <c r="A237"/>
  <c r="B237"/>
  <c r="C237"/>
  <c r="A238"/>
  <c r="C238"/>
  <c r="N238" s="1"/>
  <c r="A239"/>
  <c r="X239" s="1"/>
  <c r="B239"/>
  <c r="C239"/>
  <c r="Y239" s="1"/>
  <c r="A240"/>
  <c r="M240" s="1"/>
  <c r="B240"/>
  <c r="A241"/>
  <c r="B241"/>
  <c r="C241"/>
  <c r="A242"/>
  <c r="C242"/>
  <c r="A243"/>
  <c r="X243" s="1"/>
  <c r="B243"/>
  <c r="C243"/>
  <c r="Y243" s="1"/>
  <c r="A244"/>
  <c r="X244" s="1"/>
  <c r="B244"/>
  <c r="A245"/>
  <c r="B245"/>
  <c r="C245"/>
  <c r="A246"/>
  <c r="X246" s="1"/>
  <c r="C246"/>
  <c r="A247"/>
  <c r="B247"/>
  <c r="C247"/>
  <c r="A248"/>
  <c r="B248"/>
  <c r="A249"/>
  <c r="X249" s="1"/>
  <c r="B249"/>
  <c r="C249"/>
  <c r="N249" s="1"/>
  <c r="A250"/>
  <c r="X250" s="1"/>
  <c r="C250"/>
  <c r="A251"/>
  <c r="B251"/>
  <c r="C251"/>
  <c r="Y251" s="1"/>
  <c r="A252"/>
  <c r="B252"/>
  <c r="A253"/>
  <c r="B253"/>
  <c r="C253"/>
  <c r="A254"/>
  <c r="C254"/>
  <c r="Y254" s="1"/>
  <c r="A255"/>
  <c r="X255" s="1"/>
  <c r="B255"/>
  <c r="C255"/>
  <c r="Y255" s="1"/>
  <c r="A256"/>
  <c r="B256"/>
  <c r="A257"/>
  <c r="X257" s="1"/>
  <c r="B257"/>
  <c r="C257"/>
  <c r="A258"/>
  <c r="X258" s="1"/>
  <c r="C258"/>
  <c r="N258" s="1"/>
  <c r="A259"/>
  <c r="X259" s="1"/>
  <c r="B259"/>
  <c r="C259"/>
  <c r="Y259" s="1"/>
  <c r="A260"/>
  <c r="B260"/>
  <c r="A261"/>
  <c r="B261"/>
  <c r="C261"/>
  <c r="A262"/>
  <c r="C262"/>
  <c r="A263"/>
  <c r="X263" s="1"/>
  <c r="B263"/>
  <c r="C263"/>
  <c r="Y263" s="1"/>
  <c r="A264"/>
  <c r="X264" s="1"/>
  <c r="B264"/>
  <c r="A265"/>
  <c r="B265"/>
  <c r="C265"/>
  <c r="A266"/>
  <c r="C266"/>
  <c r="Y266" s="1"/>
  <c r="A267"/>
  <c r="B267"/>
  <c r="C267"/>
  <c r="Y267" s="1"/>
  <c r="A268"/>
  <c r="X268" s="1"/>
  <c r="B268"/>
  <c r="A269"/>
  <c r="B269"/>
  <c r="C269"/>
  <c r="A270"/>
  <c r="C270"/>
  <c r="A271"/>
  <c r="X271" s="1"/>
  <c r="B271"/>
  <c r="C271"/>
  <c r="Y271" s="1"/>
  <c r="A272"/>
  <c r="M272" s="1"/>
  <c r="B272"/>
  <c r="A273"/>
  <c r="M273" s="1"/>
  <c r="B273"/>
  <c r="C273"/>
  <c r="N273" s="1"/>
  <c r="A274"/>
  <c r="X274" s="1"/>
  <c r="C274"/>
  <c r="A275"/>
  <c r="X275" s="1"/>
  <c r="B275"/>
  <c r="C275"/>
  <c r="A276"/>
  <c r="B276"/>
  <c r="A277"/>
  <c r="B277"/>
  <c r="C277"/>
  <c r="Y277" s="1"/>
  <c r="A278"/>
  <c r="X278" s="1"/>
  <c r="C278"/>
  <c r="A279"/>
  <c r="X279" s="1"/>
  <c r="B279"/>
  <c r="C279"/>
  <c r="Y279" s="1"/>
  <c r="A280"/>
  <c r="B280"/>
  <c r="A281"/>
  <c r="B281"/>
  <c r="C281"/>
  <c r="Y281" s="1"/>
  <c r="A282"/>
  <c r="C282"/>
  <c r="N282" s="1"/>
  <c r="A283"/>
  <c r="X283" s="1"/>
  <c r="B283"/>
  <c r="C283"/>
  <c r="Y283" s="1"/>
  <c r="A284"/>
  <c r="B284"/>
  <c r="A285"/>
  <c r="B285"/>
  <c r="C285"/>
  <c r="N285" s="1"/>
  <c r="A286"/>
  <c r="C286"/>
  <c r="N286" s="1"/>
  <c r="A287"/>
  <c r="X287" s="1"/>
  <c r="B287"/>
  <c r="C287"/>
  <c r="Y287" s="1"/>
  <c r="A288"/>
  <c r="X288" s="1"/>
  <c r="B288"/>
  <c r="A289"/>
  <c r="B289"/>
  <c r="C289"/>
  <c r="A290"/>
  <c r="X290" s="1"/>
  <c r="C290"/>
  <c r="A291"/>
  <c r="B291"/>
  <c r="C291"/>
  <c r="A292"/>
  <c r="M292" s="1"/>
  <c r="B292"/>
  <c r="A293"/>
  <c r="M293" s="1"/>
  <c r="B293"/>
  <c r="C293"/>
  <c r="A294"/>
  <c r="X294" s="1"/>
  <c r="C294"/>
  <c r="A295"/>
  <c r="B295"/>
  <c r="C295"/>
  <c r="A296"/>
  <c r="B296"/>
  <c r="A297"/>
  <c r="X297" s="1"/>
  <c r="B297"/>
  <c r="C297"/>
  <c r="N297" s="1"/>
  <c r="A298"/>
  <c r="X298" s="1"/>
  <c r="C298"/>
  <c r="A299"/>
  <c r="X299" s="1"/>
  <c r="B299"/>
  <c r="C299"/>
  <c r="Y299" s="1"/>
  <c r="A300"/>
  <c r="B300"/>
  <c r="A301"/>
  <c r="B301"/>
  <c r="C301"/>
  <c r="Y301" s="1"/>
  <c r="A302"/>
  <c r="C302"/>
  <c r="Y302" s="1"/>
  <c r="A303"/>
  <c r="X303" s="1"/>
  <c r="B303"/>
  <c r="C303"/>
  <c r="Y303" s="1"/>
  <c r="A304"/>
  <c r="B304"/>
  <c r="A305"/>
  <c r="M305" s="1"/>
  <c r="B305"/>
  <c r="C305"/>
  <c r="A306"/>
  <c r="X306" s="1"/>
  <c r="C306"/>
  <c r="N306" s="1"/>
  <c r="A307"/>
  <c r="X307" s="1"/>
  <c r="B307"/>
  <c r="C307"/>
  <c r="Y307" s="1"/>
  <c r="A308"/>
  <c r="B308"/>
  <c r="A309"/>
  <c r="B309"/>
  <c r="C309"/>
  <c r="A310"/>
  <c r="C310"/>
  <c r="A311"/>
  <c r="X311" s="1"/>
  <c r="B311"/>
  <c r="C311"/>
  <c r="N311" s="1"/>
  <c r="A312"/>
  <c r="X312" s="1"/>
  <c r="B312"/>
  <c r="A313"/>
  <c r="B313"/>
  <c r="C313"/>
  <c r="A314"/>
  <c r="C314"/>
  <c r="N314" s="1"/>
  <c r="A315"/>
  <c r="B315"/>
  <c r="C315"/>
  <c r="Y315" s="1"/>
  <c r="A316"/>
  <c r="M316" s="1"/>
  <c r="B316"/>
  <c r="A317"/>
  <c r="M317" s="1"/>
  <c r="B317"/>
  <c r="C317"/>
  <c r="A318"/>
  <c r="C318"/>
  <c r="A319"/>
  <c r="X319" s="1"/>
  <c r="B319"/>
  <c r="C319"/>
  <c r="A320"/>
  <c r="B320"/>
  <c r="A321"/>
  <c r="B321"/>
  <c r="C321"/>
  <c r="A322"/>
  <c r="X322" s="1"/>
  <c r="C322"/>
  <c r="A323"/>
  <c r="X323" s="1"/>
  <c r="B323"/>
  <c r="C323"/>
  <c r="A324"/>
  <c r="X324" s="1"/>
  <c r="B324"/>
  <c r="A325"/>
  <c r="B325"/>
  <c r="C325"/>
  <c r="N325" s="1"/>
  <c r="A326"/>
  <c r="X326" s="1"/>
  <c r="C326"/>
  <c r="Y326" s="1"/>
  <c r="A327"/>
  <c r="X327" s="1"/>
  <c r="B327"/>
  <c r="C327"/>
  <c r="Y327" s="1"/>
  <c r="A328"/>
  <c r="B328"/>
  <c r="A329"/>
  <c r="M329" s="1"/>
  <c r="B329"/>
  <c r="C329"/>
  <c r="N329" s="1"/>
  <c r="A330"/>
  <c r="X330" s="1"/>
  <c r="C330"/>
  <c r="N330" s="1"/>
  <c r="A331"/>
  <c r="B331"/>
  <c r="C331"/>
  <c r="Y331" s="1"/>
  <c r="A332"/>
  <c r="B332"/>
  <c r="A333"/>
  <c r="B333"/>
  <c r="C333"/>
  <c r="Y333" s="1"/>
  <c r="A334"/>
  <c r="C334"/>
  <c r="A335"/>
  <c r="X335" s="1"/>
  <c r="B335"/>
  <c r="C335"/>
  <c r="Y335" s="1"/>
  <c r="A336"/>
  <c r="M336" s="1"/>
  <c r="B336"/>
  <c r="A337"/>
  <c r="B337"/>
  <c r="C337"/>
  <c r="A338"/>
  <c r="C338"/>
  <c r="N338" s="1"/>
  <c r="A339"/>
  <c r="X339" s="1"/>
  <c r="B339"/>
  <c r="C339"/>
  <c r="Y339" s="1"/>
  <c r="A340"/>
  <c r="B340"/>
  <c r="A341"/>
  <c r="X341" s="1"/>
  <c r="B341"/>
  <c r="C341"/>
  <c r="A342"/>
  <c r="C342"/>
  <c r="A343"/>
  <c r="B343"/>
  <c r="C343"/>
  <c r="A344"/>
  <c r="B344"/>
  <c r="A345"/>
  <c r="B345"/>
  <c r="C345"/>
  <c r="N345" s="1"/>
  <c r="A346"/>
  <c r="X346" s="1"/>
  <c r="C346"/>
  <c r="A347"/>
  <c r="X347" s="1"/>
  <c r="B347"/>
  <c r="C347"/>
  <c r="Y347" s="1"/>
  <c r="A348"/>
  <c r="X348" s="1"/>
  <c r="B348"/>
  <c r="A349"/>
  <c r="X349" s="1"/>
  <c r="B349"/>
  <c r="C349"/>
  <c r="N349" s="1"/>
  <c r="A350"/>
  <c r="C350"/>
  <c r="Y350" s="1"/>
  <c r="A351"/>
  <c r="X351" s="1"/>
  <c r="B351"/>
  <c r="C351"/>
  <c r="Y351" s="1"/>
  <c r="A352"/>
  <c r="B352"/>
  <c r="A353"/>
  <c r="B353"/>
  <c r="C353"/>
  <c r="A354"/>
  <c r="X354" s="1"/>
  <c r="C354"/>
  <c r="Y354" s="1"/>
  <c r="A355"/>
  <c r="X355" s="1"/>
  <c r="B355"/>
  <c r="C355"/>
  <c r="Y355" s="1"/>
  <c r="A356"/>
  <c r="B356"/>
  <c r="A357"/>
  <c r="B357"/>
  <c r="C357"/>
  <c r="N357" s="1"/>
  <c r="A358"/>
  <c r="X358" s="1"/>
  <c r="C358"/>
  <c r="Y358" s="1"/>
  <c r="A359"/>
  <c r="B359"/>
  <c r="C359"/>
  <c r="A360"/>
  <c r="M360" s="1"/>
  <c r="B360"/>
  <c r="A361"/>
  <c r="B361"/>
  <c r="C361"/>
  <c r="A362"/>
  <c r="C362"/>
  <c r="A363"/>
  <c r="B363"/>
  <c r="C363"/>
  <c r="Y363" s="1"/>
  <c r="A364"/>
  <c r="X364" s="1"/>
  <c r="B364"/>
  <c r="A365"/>
  <c r="B365"/>
  <c r="C365"/>
  <c r="A366"/>
  <c r="C366"/>
  <c r="A367"/>
  <c r="M367" s="1"/>
  <c r="B367"/>
  <c r="C367"/>
  <c r="Y367" s="1"/>
  <c r="A368"/>
  <c r="B368"/>
  <c r="A369"/>
  <c r="M369" s="1"/>
  <c r="B369"/>
  <c r="C369"/>
  <c r="N369" s="1"/>
  <c r="A370"/>
  <c r="X370" s="1"/>
  <c r="C370"/>
  <c r="A371"/>
  <c r="B371"/>
  <c r="C371"/>
  <c r="A372"/>
  <c r="B372"/>
  <c r="A373"/>
  <c r="B373"/>
  <c r="C373"/>
  <c r="N373" s="1"/>
  <c r="A374"/>
  <c r="C374"/>
  <c r="Y374" s="1"/>
  <c r="A375"/>
  <c r="X375" s="1"/>
  <c r="B375"/>
  <c r="C375"/>
  <c r="A376"/>
  <c r="B376"/>
  <c r="A377"/>
  <c r="B377"/>
  <c r="C377"/>
  <c r="A378"/>
  <c r="X378" s="1"/>
  <c r="C378"/>
  <c r="N378" s="1"/>
  <c r="A379"/>
  <c r="B379"/>
  <c r="C379"/>
  <c r="Y379" s="1"/>
  <c r="A380"/>
  <c r="B380"/>
  <c r="A381"/>
  <c r="B381"/>
  <c r="C381"/>
  <c r="N381" s="1"/>
  <c r="A382"/>
  <c r="C382"/>
  <c r="N382" s="1"/>
  <c r="A383"/>
  <c r="X383" s="1"/>
  <c r="B383"/>
  <c r="C383"/>
  <c r="Y383" s="1"/>
  <c r="A384"/>
  <c r="M384" s="1"/>
  <c r="B384"/>
  <c r="A385"/>
  <c r="B385"/>
  <c r="C385"/>
  <c r="A386"/>
  <c r="X386" s="1"/>
  <c r="C386"/>
  <c r="A387"/>
  <c r="B387"/>
  <c r="C387"/>
  <c r="A388"/>
  <c r="B388"/>
  <c r="A389"/>
  <c r="X389" s="1"/>
  <c r="B389"/>
  <c r="C389"/>
  <c r="A390"/>
  <c r="X390" s="1"/>
  <c r="C390"/>
  <c r="A391"/>
  <c r="B391"/>
  <c r="C391"/>
  <c r="A392"/>
  <c r="B392"/>
  <c r="A393"/>
  <c r="X393" s="1"/>
  <c r="B393"/>
  <c r="C393"/>
  <c r="N393" s="1"/>
  <c r="A394"/>
  <c r="X394" s="1"/>
  <c r="C394"/>
  <c r="A395"/>
  <c r="B395"/>
  <c r="C395"/>
  <c r="Y395" s="1"/>
  <c r="A396"/>
  <c r="X396" s="1"/>
  <c r="B396"/>
  <c r="A397"/>
  <c r="B397"/>
  <c r="C397"/>
  <c r="Y397" s="1"/>
  <c r="A398"/>
  <c r="C398"/>
  <c r="Y398" s="1"/>
  <c r="A399"/>
  <c r="X399" s="1"/>
  <c r="B399"/>
  <c r="C399"/>
  <c r="Y399" s="1"/>
  <c r="A400"/>
  <c r="B400"/>
  <c r="A401"/>
  <c r="M401" s="1"/>
  <c r="B401"/>
  <c r="C401"/>
  <c r="Y401" s="1"/>
  <c r="A402"/>
  <c r="X402" s="1"/>
  <c r="C402"/>
  <c r="A403"/>
  <c r="X403" s="1"/>
  <c r="B403"/>
  <c r="C403"/>
  <c r="A404"/>
  <c r="B404"/>
  <c r="A405"/>
  <c r="B405"/>
  <c r="C405"/>
  <c r="Y405" s="1"/>
  <c r="A406"/>
  <c r="C406"/>
  <c r="Y406" s="1"/>
  <c r="A407"/>
  <c r="X407" s="1"/>
  <c r="B407"/>
  <c r="C407"/>
  <c r="Y407" s="1"/>
  <c r="A408"/>
  <c r="X408" s="1"/>
  <c r="B408"/>
  <c r="A409"/>
  <c r="B409"/>
  <c r="C409"/>
  <c r="A410"/>
  <c r="C410"/>
  <c r="Y410" s="1"/>
  <c r="A411"/>
  <c r="X411" s="1"/>
  <c r="B411"/>
  <c r="C411"/>
  <c r="Y411" s="1"/>
  <c r="A412"/>
  <c r="M412" s="1"/>
  <c r="B412"/>
  <c r="A413"/>
  <c r="M413" s="1"/>
  <c r="B413"/>
  <c r="C413"/>
  <c r="A414"/>
  <c r="C414"/>
  <c r="A415"/>
  <c r="X415" s="1"/>
  <c r="B415"/>
  <c r="C415"/>
  <c r="A416"/>
  <c r="B416"/>
  <c r="A417"/>
  <c r="M417" s="1"/>
  <c r="B417"/>
  <c r="C417"/>
  <c r="A418"/>
  <c r="X418" s="1"/>
  <c r="C418"/>
  <c r="A419"/>
  <c r="X419" s="1"/>
  <c r="B419"/>
  <c r="C419"/>
  <c r="A420"/>
  <c r="B420"/>
  <c r="A421"/>
  <c r="B421"/>
  <c r="C421"/>
  <c r="N421" s="1"/>
  <c r="A422"/>
  <c r="X422" s="1"/>
  <c r="C422"/>
  <c r="Y422" s="1"/>
  <c r="A423"/>
  <c r="X423" s="1"/>
  <c r="B423"/>
  <c r="C423"/>
  <c r="A424"/>
  <c r="B424"/>
  <c r="A425"/>
  <c r="B425"/>
  <c r="C425"/>
  <c r="N425" s="1"/>
  <c r="A426"/>
  <c r="X426" s="1"/>
  <c r="C426"/>
  <c r="N426" s="1"/>
  <c r="A427"/>
  <c r="X427" s="1"/>
  <c r="B427"/>
  <c r="C427"/>
  <c r="Y427" s="1"/>
  <c r="A428"/>
  <c r="B428"/>
  <c r="A429"/>
  <c r="B429"/>
  <c r="C429"/>
  <c r="A430"/>
  <c r="C430"/>
  <c r="A431"/>
  <c r="X431" s="1"/>
  <c r="B431"/>
  <c r="C431"/>
  <c r="Y431" s="1"/>
  <c r="A432"/>
  <c r="M432" s="1"/>
  <c r="B432"/>
  <c r="A433"/>
  <c r="B433"/>
  <c r="C433"/>
  <c r="A434"/>
  <c r="C434"/>
  <c r="A435"/>
  <c r="X435" s="1"/>
  <c r="B435"/>
  <c r="C435"/>
  <c r="Y435" s="1"/>
  <c r="A436"/>
  <c r="B436"/>
  <c r="A437"/>
  <c r="X437" s="1"/>
  <c r="B437"/>
  <c r="C437"/>
  <c r="A438"/>
  <c r="X438" s="1"/>
  <c r="C438"/>
  <c r="A439"/>
  <c r="B439"/>
  <c r="C439"/>
  <c r="A440"/>
  <c r="B440"/>
  <c r="A441"/>
  <c r="X441" s="1"/>
  <c r="B441"/>
  <c r="C441"/>
  <c r="A442"/>
  <c r="X442" s="1"/>
  <c r="C442"/>
  <c r="A443"/>
  <c r="B443"/>
  <c r="C443"/>
  <c r="Y443" s="1"/>
  <c r="A444"/>
  <c r="M444" s="1"/>
  <c r="B444"/>
  <c r="A445"/>
  <c r="B445"/>
  <c r="C445"/>
  <c r="Y445" s="1"/>
  <c r="A446"/>
  <c r="C446"/>
  <c r="N446" s="1"/>
  <c r="A447"/>
  <c r="M447" s="1"/>
  <c r="B447"/>
  <c r="C447"/>
  <c r="Y447" s="1"/>
  <c r="A448"/>
  <c r="B448"/>
  <c r="A449"/>
  <c r="B449"/>
  <c r="C449"/>
  <c r="A450"/>
  <c r="X450" s="1"/>
  <c r="C450"/>
  <c r="Y450" s="1"/>
  <c r="A451"/>
  <c r="X451" s="1"/>
  <c r="B451"/>
  <c r="C451"/>
  <c r="A452"/>
  <c r="B452"/>
  <c r="A453"/>
  <c r="B453"/>
  <c r="C453"/>
  <c r="N453" s="1"/>
  <c r="A454"/>
  <c r="M454" s="1"/>
  <c r="C454"/>
  <c r="N454" s="1"/>
  <c r="A455"/>
  <c r="B455"/>
  <c r="C455"/>
  <c r="Y455" s="1"/>
  <c r="A456"/>
  <c r="X456" s="1"/>
  <c r="B456"/>
  <c r="A457"/>
  <c r="B457"/>
  <c r="C457"/>
  <c r="A458"/>
  <c r="C458"/>
  <c r="Y458" s="1"/>
  <c r="A459"/>
  <c r="B459"/>
  <c r="C459"/>
  <c r="Y459" s="1"/>
  <c r="A460"/>
  <c r="X460" s="1"/>
  <c r="B460"/>
  <c r="A461"/>
  <c r="M461" s="1"/>
  <c r="B461"/>
  <c r="C461"/>
  <c r="A462"/>
  <c r="X462" s="1"/>
  <c r="C462"/>
  <c r="A463"/>
  <c r="X463" s="1"/>
  <c r="B463"/>
  <c r="C463"/>
  <c r="Y463" s="1"/>
  <c r="A464"/>
  <c r="X464" s="1"/>
  <c r="B464"/>
  <c r="A465"/>
  <c r="B465"/>
  <c r="C465"/>
  <c r="Y465" s="1"/>
  <c r="A466"/>
  <c r="X466" s="1"/>
  <c r="C466"/>
  <c r="A467"/>
  <c r="B467"/>
  <c r="C467"/>
  <c r="A468"/>
  <c r="M468" s="1"/>
  <c r="B468"/>
  <c r="A469"/>
  <c r="M469" s="1"/>
  <c r="B469"/>
  <c r="C469"/>
  <c r="N469" s="1"/>
  <c r="A470"/>
  <c r="X470" s="1"/>
  <c r="C470"/>
  <c r="A471"/>
  <c r="X471" s="1"/>
  <c r="B471"/>
  <c r="C471"/>
  <c r="A472"/>
  <c r="B472"/>
  <c r="A473"/>
  <c r="B473"/>
  <c r="C473"/>
  <c r="A474"/>
  <c r="X474" s="1"/>
  <c r="C474"/>
  <c r="A475"/>
  <c r="X475" s="1"/>
  <c r="B475"/>
  <c r="C475"/>
  <c r="Y475" s="1"/>
  <c r="A476"/>
  <c r="B476"/>
  <c r="A477"/>
  <c r="B477"/>
  <c r="C477"/>
  <c r="A478"/>
  <c r="C478"/>
  <c r="A479"/>
  <c r="X479" s="1"/>
  <c r="B479"/>
  <c r="C479"/>
  <c r="Y479" s="1"/>
  <c r="A480"/>
  <c r="X480" s="1"/>
  <c r="B480"/>
  <c r="A481"/>
  <c r="B481"/>
  <c r="C481"/>
  <c r="A482"/>
  <c r="X482" s="1"/>
  <c r="C482"/>
  <c r="N482" s="1"/>
  <c r="A483"/>
  <c r="B483"/>
  <c r="C483"/>
  <c r="A484"/>
  <c r="B484"/>
  <c r="A485"/>
  <c r="X485" s="1"/>
  <c r="B485"/>
  <c r="C485"/>
  <c r="A486"/>
  <c r="X486" s="1"/>
  <c r="C486"/>
  <c r="A487"/>
  <c r="B487"/>
  <c r="C487"/>
  <c r="A488"/>
  <c r="B488"/>
  <c r="A489"/>
  <c r="X489" s="1"/>
  <c r="B489"/>
  <c r="C489"/>
  <c r="N489" s="1"/>
  <c r="A490"/>
  <c r="C490"/>
  <c r="A491"/>
  <c r="B491"/>
  <c r="C491"/>
  <c r="Y491" s="1"/>
  <c r="A492"/>
  <c r="B492"/>
  <c r="A493"/>
  <c r="X493" s="1"/>
  <c r="B493"/>
  <c r="C493"/>
  <c r="A494"/>
  <c r="C494"/>
  <c r="A495"/>
  <c r="X495" s="1"/>
  <c r="B495"/>
  <c r="C495"/>
  <c r="Y495" s="1"/>
  <c r="A496"/>
  <c r="B496"/>
  <c r="A497"/>
  <c r="B497"/>
  <c r="C497"/>
  <c r="A498"/>
  <c r="X498" s="1"/>
  <c r="C498"/>
  <c r="A499"/>
  <c r="B499"/>
  <c r="C499"/>
  <c r="A500"/>
  <c r="B500"/>
  <c r="A501"/>
  <c r="B501"/>
  <c r="C501"/>
  <c r="A502"/>
  <c r="C502"/>
  <c r="A503"/>
  <c r="B503"/>
  <c r="C503"/>
  <c r="A504"/>
  <c r="X504" s="1"/>
  <c r="B504"/>
  <c r="A505"/>
  <c r="B505"/>
  <c r="C505"/>
  <c r="A506"/>
  <c r="C506"/>
  <c r="A507"/>
  <c r="B507"/>
  <c r="C507"/>
  <c r="Y507" s="1"/>
  <c r="A508"/>
  <c r="X508" s="1"/>
  <c r="B508"/>
  <c r="A509"/>
  <c r="M509" s="1"/>
  <c r="B509"/>
  <c r="C509"/>
  <c r="A510"/>
  <c r="C510"/>
  <c r="A511"/>
  <c r="X511" s="1"/>
  <c r="B511"/>
  <c r="C511"/>
  <c r="A512"/>
  <c r="B512"/>
  <c r="A513"/>
  <c r="M513" s="1"/>
  <c r="B513"/>
  <c r="C513"/>
  <c r="A514"/>
  <c r="X514" s="1"/>
  <c r="C514"/>
  <c r="A515"/>
  <c r="X515" s="1"/>
  <c r="B515"/>
  <c r="C515"/>
  <c r="A516"/>
  <c r="X516" s="1"/>
  <c r="B516"/>
  <c r="A517"/>
  <c r="B517"/>
  <c r="C517"/>
  <c r="Y517" s="1"/>
  <c r="A518"/>
  <c r="M518" s="1"/>
  <c r="C518"/>
  <c r="Y518" s="1"/>
  <c r="A519"/>
  <c r="X519" s="1"/>
  <c r="B519"/>
  <c r="C519"/>
  <c r="Y519" s="1"/>
  <c r="A520"/>
  <c r="B520"/>
  <c r="A521"/>
  <c r="B521"/>
  <c r="C521"/>
  <c r="N521" s="1"/>
  <c r="A522"/>
  <c r="X522" s="1"/>
  <c r="C522"/>
  <c r="N522" s="1"/>
  <c r="A523"/>
  <c r="B523"/>
  <c r="C523"/>
  <c r="Y523" s="1"/>
  <c r="A524"/>
  <c r="B524"/>
  <c r="A525"/>
  <c r="B525"/>
  <c r="C525"/>
  <c r="A526"/>
  <c r="C526"/>
  <c r="Y526" s="1"/>
  <c r="A527"/>
  <c r="X527" s="1"/>
  <c r="B527"/>
  <c r="C527"/>
  <c r="Y527" s="1"/>
  <c r="A528"/>
  <c r="X528" s="1"/>
  <c r="B528"/>
  <c r="A529"/>
  <c r="B529"/>
  <c r="C529"/>
  <c r="A530"/>
  <c r="C530"/>
  <c r="Y530" s="1"/>
  <c r="A531"/>
  <c r="B531"/>
  <c r="C531"/>
  <c r="A532"/>
  <c r="X532" s="1"/>
  <c r="B532"/>
  <c r="A533"/>
  <c r="X533" s="1"/>
  <c r="B533"/>
  <c r="C533"/>
  <c r="A534"/>
  <c r="X534" s="1"/>
  <c r="C534"/>
  <c r="A535"/>
  <c r="B535"/>
  <c r="C535"/>
  <c r="Y535" s="1"/>
  <c r="A536"/>
  <c r="M536" s="1"/>
  <c r="B536"/>
  <c r="A537"/>
  <c r="B537"/>
  <c r="C537"/>
  <c r="N537" s="1"/>
  <c r="A538"/>
  <c r="X538" s="1"/>
  <c r="C538"/>
  <c r="A539"/>
  <c r="X539" s="1"/>
  <c r="B539"/>
  <c r="C539"/>
  <c r="Y539" s="1"/>
  <c r="A540"/>
  <c r="B540"/>
  <c r="A541"/>
  <c r="B541"/>
  <c r="C541"/>
  <c r="A542"/>
  <c r="X542" s="1"/>
  <c r="C542"/>
  <c r="N542" s="1"/>
  <c r="A543"/>
  <c r="X543" s="1"/>
  <c r="B543"/>
  <c r="C543"/>
  <c r="Y543" s="1"/>
  <c r="A544"/>
  <c r="B544"/>
  <c r="A545"/>
  <c r="X545" s="1"/>
  <c r="B545"/>
  <c r="C545"/>
  <c r="Y545" s="1"/>
  <c r="A546"/>
  <c r="X546" s="1"/>
  <c r="C546"/>
  <c r="N546" s="1"/>
  <c r="A547"/>
  <c r="B547"/>
  <c r="C547"/>
  <c r="Y547" s="1"/>
  <c r="A548"/>
  <c r="B548"/>
  <c r="A549"/>
  <c r="B549"/>
  <c r="C549"/>
  <c r="Y549" s="1"/>
  <c r="A550"/>
  <c r="C550"/>
  <c r="A551"/>
  <c r="B551"/>
  <c r="C551"/>
  <c r="A552"/>
  <c r="X552" s="1"/>
  <c r="B552"/>
  <c r="A553"/>
  <c r="B553"/>
  <c r="C553"/>
  <c r="A554"/>
  <c r="B554"/>
  <c r="C554"/>
  <c r="A555"/>
  <c r="B555"/>
  <c r="C555"/>
  <c r="A556"/>
  <c r="X556" s="1"/>
  <c r="B556"/>
  <c r="A557"/>
  <c r="X557" s="1"/>
  <c r="B557"/>
  <c r="C557"/>
  <c r="A558"/>
  <c r="B558"/>
  <c r="C558"/>
  <c r="A559"/>
  <c r="B559"/>
  <c r="C559"/>
  <c r="A560"/>
  <c r="X560" s="1"/>
  <c r="B560"/>
  <c r="A561"/>
  <c r="B561"/>
  <c r="C561"/>
  <c r="A562"/>
  <c r="M562" s="1"/>
  <c r="B562"/>
  <c r="C562"/>
  <c r="A563"/>
  <c r="X563" s="1"/>
  <c r="B563"/>
  <c r="C563"/>
  <c r="A564"/>
  <c r="X564" s="1"/>
  <c r="B564"/>
  <c r="A565"/>
  <c r="X565" s="1"/>
  <c r="B565"/>
  <c r="C565"/>
  <c r="Y565" s="1"/>
  <c r="A566"/>
  <c r="B566"/>
  <c r="C566"/>
  <c r="A567"/>
  <c r="M567" s="1"/>
  <c r="B567"/>
  <c r="C567"/>
  <c r="A568"/>
  <c r="M568" s="1"/>
  <c r="B568"/>
  <c r="A569"/>
  <c r="M569" s="1"/>
  <c r="B569"/>
  <c r="C569"/>
  <c r="N569" s="1"/>
  <c r="A570"/>
  <c r="X570" s="1"/>
  <c r="B570"/>
  <c r="C570"/>
  <c r="Y570" s="1"/>
  <c r="A571"/>
  <c r="B571"/>
  <c r="C571"/>
  <c r="Y571" s="1"/>
  <c r="A572"/>
  <c r="B572"/>
  <c r="A573"/>
  <c r="X573" s="1"/>
  <c r="B573"/>
  <c r="C573"/>
  <c r="Y573" s="1"/>
  <c r="A574"/>
  <c r="M574" s="1"/>
  <c r="B574"/>
  <c r="C574"/>
  <c r="A575"/>
  <c r="B575"/>
  <c r="C575"/>
  <c r="Y575" s="1"/>
  <c r="A576"/>
  <c r="X576" s="1"/>
  <c r="B576"/>
  <c r="A577"/>
  <c r="B577"/>
  <c r="C577"/>
  <c r="Y577" s="1"/>
  <c r="A578"/>
  <c r="B578"/>
  <c r="C578"/>
  <c r="Y578" s="1"/>
  <c r="A579"/>
  <c r="B579"/>
  <c r="C579"/>
  <c r="A580"/>
  <c r="B580"/>
  <c r="A581"/>
  <c r="B581"/>
  <c r="C581"/>
  <c r="Y581" s="1"/>
  <c r="A582"/>
  <c r="X582" s="1"/>
  <c r="B582"/>
  <c r="C582"/>
  <c r="Y582" s="1"/>
  <c r="A583"/>
  <c r="B583"/>
  <c r="C583"/>
  <c r="A584"/>
  <c r="B584"/>
  <c r="A585"/>
  <c r="M585" s="1"/>
  <c r="B585"/>
  <c r="C585"/>
  <c r="A586"/>
  <c r="X586" s="1"/>
  <c r="B586"/>
  <c r="C586"/>
  <c r="Y586" s="1"/>
  <c r="A587"/>
  <c r="M587" s="1"/>
  <c r="B587"/>
  <c r="C587"/>
  <c r="A588"/>
  <c r="X588" s="1"/>
  <c r="B588"/>
  <c r="A589"/>
  <c r="B589"/>
  <c r="C589"/>
  <c r="A590"/>
  <c r="B590"/>
  <c r="C590"/>
  <c r="Y590" s="1"/>
  <c r="A591"/>
  <c r="X591" s="1"/>
  <c r="B591"/>
  <c r="C591"/>
  <c r="Y591" s="1"/>
  <c r="A592"/>
  <c r="B592"/>
  <c r="A593"/>
  <c r="B593"/>
  <c r="C593"/>
  <c r="A594"/>
  <c r="B594"/>
  <c r="C594"/>
  <c r="Y594" s="1"/>
  <c r="A595"/>
  <c r="X595" s="1"/>
  <c r="B595"/>
  <c r="C595"/>
  <c r="N595" s="1"/>
  <c r="A596"/>
  <c r="M596" s="1"/>
  <c r="B596"/>
  <c r="A597"/>
  <c r="X597" s="1"/>
  <c r="B597"/>
  <c r="C597"/>
  <c r="A598"/>
  <c r="B598"/>
  <c r="C598"/>
  <c r="Y598" s="1"/>
  <c r="A599"/>
  <c r="X599" s="1"/>
  <c r="B599"/>
  <c r="C599"/>
  <c r="Y599" s="1"/>
  <c r="A600"/>
  <c r="B600"/>
  <c r="A601"/>
  <c r="B601"/>
  <c r="C601"/>
  <c r="A602"/>
  <c r="X602" s="1"/>
  <c r="B602"/>
  <c r="C602"/>
  <c r="A603"/>
  <c r="M603" s="1"/>
  <c r="B603"/>
  <c r="C603"/>
  <c r="Y603" s="1"/>
  <c r="A604"/>
  <c r="B604"/>
  <c r="A605"/>
  <c r="X605" s="1"/>
  <c r="B605"/>
  <c r="C605"/>
  <c r="Y605" s="1"/>
  <c r="A606"/>
  <c r="B606"/>
  <c r="C606"/>
  <c r="A607"/>
  <c r="B607"/>
  <c r="C607"/>
  <c r="Y607" s="1"/>
  <c r="A608"/>
  <c r="B608"/>
  <c r="A609"/>
  <c r="B609"/>
  <c r="C609"/>
  <c r="A610"/>
  <c r="X610" s="1"/>
  <c r="B610"/>
  <c r="C610"/>
  <c r="Y610" s="1"/>
  <c r="A611"/>
  <c r="B611"/>
  <c r="C611"/>
  <c r="A612"/>
  <c r="X612" s="1"/>
  <c r="B612"/>
  <c r="A613"/>
  <c r="B613"/>
  <c r="C613"/>
  <c r="Y613" s="1"/>
  <c r="A614"/>
  <c r="B614"/>
  <c r="C614"/>
  <c r="A615"/>
  <c r="B615"/>
  <c r="C615"/>
  <c r="Y615" s="1"/>
  <c r="A616"/>
  <c r="B616"/>
  <c r="A617"/>
  <c r="X617" s="1"/>
  <c r="B617"/>
  <c r="C617"/>
  <c r="Y617" s="1"/>
  <c r="A618"/>
  <c r="X618" s="1"/>
  <c r="B618"/>
  <c r="C618"/>
  <c r="A619"/>
  <c r="B619"/>
  <c r="C619"/>
  <c r="A620"/>
  <c r="B620"/>
  <c r="A621"/>
  <c r="X621" s="1"/>
  <c r="B621"/>
  <c r="C621"/>
  <c r="N621" s="1"/>
  <c r="A622"/>
  <c r="M622" s="1"/>
  <c r="B622"/>
  <c r="C622"/>
  <c r="A623"/>
  <c r="X623" s="1"/>
  <c r="B623"/>
  <c r="C623"/>
  <c r="A624"/>
  <c r="M624" s="1"/>
  <c r="B624"/>
  <c r="A625"/>
  <c r="B625"/>
  <c r="C625"/>
  <c r="A626"/>
  <c r="B626"/>
  <c r="C626"/>
  <c r="Y626" s="1"/>
  <c r="A627"/>
  <c r="B627"/>
  <c r="C627"/>
  <c r="A628"/>
  <c r="X628" s="1"/>
  <c r="B628"/>
  <c r="A629"/>
  <c r="B629"/>
  <c r="C629"/>
  <c r="Y629" s="1"/>
  <c r="A630"/>
  <c r="B630"/>
  <c r="C630"/>
  <c r="Y630" s="1"/>
  <c r="A631"/>
  <c r="X631" s="1"/>
  <c r="B631"/>
  <c r="C631"/>
  <c r="A632"/>
  <c r="B632"/>
  <c r="A633"/>
  <c r="B633"/>
  <c r="C633"/>
  <c r="A634"/>
  <c r="X634" s="1"/>
  <c r="B634"/>
  <c r="C634"/>
  <c r="A635"/>
  <c r="B635"/>
  <c r="C635"/>
  <c r="A636"/>
  <c r="X636" s="1"/>
  <c r="B636"/>
  <c r="A637"/>
  <c r="X637" s="1"/>
  <c r="B637"/>
  <c r="C637"/>
  <c r="A638"/>
  <c r="B638"/>
  <c r="C638"/>
  <c r="A639"/>
  <c r="B639"/>
  <c r="C639"/>
  <c r="Y639" s="1"/>
  <c r="A640"/>
  <c r="B640"/>
  <c r="A641"/>
  <c r="B641"/>
  <c r="C641"/>
  <c r="Y641" s="1"/>
  <c r="A642"/>
  <c r="B642"/>
  <c r="C642"/>
  <c r="Y642" s="1"/>
  <c r="A643"/>
  <c r="X643" s="1"/>
  <c r="B643"/>
  <c r="C643"/>
  <c r="Y643" s="1"/>
  <c r="A644"/>
  <c r="X644" s="1"/>
  <c r="B644"/>
  <c r="A645"/>
  <c r="X645" s="1"/>
  <c r="B645"/>
  <c r="C645"/>
  <c r="A646"/>
  <c r="B646"/>
  <c r="C646"/>
  <c r="N646" s="1"/>
  <c r="A647"/>
  <c r="B647"/>
  <c r="C647"/>
  <c r="Y647" s="1"/>
  <c r="A648"/>
  <c r="B648"/>
  <c r="A649"/>
  <c r="B649"/>
  <c r="C649"/>
  <c r="A650"/>
  <c r="B650"/>
  <c r="C650"/>
  <c r="A651"/>
  <c r="X651" s="1"/>
  <c r="B651"/>
  <c r="C651"/>
  <c r="Y651" s="1"/>
  <c r="A652"/>
  <c r="X652" s="1"/>
  <c r="B652"/>
  <c r="A653"/>
  <c r="X653" s="1"/>
  <c r="B653"/>
  <c r="C653"/>
  <c r="Y653" s="1"/>
  <c r="A654"/>
  <c r="B654"/>
  <c r="C654"/>
  <c r="A655"/>
  <c r="B655"/>
  <c r="C655"/>
  <c r="Y655" s="1"/>
  <c r="A656"/>
  <c r="M656" s="1"/>
  <c r="B656"/>
  <c r="A657"/>
  <c r="M657" s="1"/>
  <c r="B657"/>
  <c r="C657"/>
  <c r="A658"/>
  <c r="X658" s="1"/>
  <c r="B658"/>
  <c r="C658"/>
  <c r="A659"/>
  <c r="M659" s="1"/>
  <c r="B659"/>
  <c r="C659"/>
  <c r="A660"/>
  <c r="X660" s="1"/>
  <c r="B660"/>
  <c r="A661"/>
  <c r="B661"/>
  <c r="C661"/>
  <c r="Y661" s="1"/>
  <c r="A662"/>
  <c r="B662"/>
  <c r="C662"/>
  <c r="A663"/>
  <c r="M663" s="1"/>
  <c r="B663"/>
  <c r="C663"/>
  <c r="A664"/>
  <c r="B664"/>
  <c r="A665"/>
  <c r="X665" s="1"/>
  <c r="B665"/>
  <c r="C665"/>
  <c r="N665" s="1"/>
  <c r="A666"/>
  <c r="X666" s="1"/>
  <c r="B666"/>
  <c r="C666"/>
  <c r="N666" s="1"/>
  <c r="A667"/>
  <c r="B667"/>
  <c r="C667"/>
  <c r="A668"/>
  <c r="B668"/>
  <c r="A669"/>
  <c r="X669" s="1"/>
  <c r="B669"/>
  <c r="C669"/>
  <c r="Y669" s="1"/>
  <c r="A670"/>
  <c r="X670" s="1"/>
  <c r="B670"/>
  <c r="C670"/>
  <c r="A671"/>
  <c r="X671" s="1"/>
  <c r="B671"/>
  <c r="C671"/>
  <c r="Y671" s="1"/>
  <c r="A672"/>
  <c r="X672" s="1"/>
  <c r="B672"/>
  <c r="A673"/>
  <c r="B673"/>
  <c r="C673"/>
  <c r="A674"/>
  <c r="B674"/>
  <c r="C674"/>
  <c r="Y674" s="1"/>
  <c r="A675"/>
  <c r="B675"/>
  <c r="C675"/>
  <c r="A676"/>
  <c r="B676"/>
  <c r="A677"/>
  <c r="B677"/>
  <c r="C677"/>
  <c r="Y677" s="1"/>
  <c r="A678"/>
  <c r="X678" s="1"/>
  <c r="B678"/>
  <c r="C678"/>
  <c r="N678" s="1"/>
  <c r="A679"/>
  <c r="X679" s="1"/>
  <c r="B679"/>
  <c r="C679"/>
  <c r="A680"/>
  <c r="B680"/>
  <c r="A681"/>
  <c r="B681"/>
  <c r="C681"/>
  <c r="A682"/>
  <c r="X682" s="1"/>
  <c r="B682"/>
  <c r="C682"/>
  <c r="A683"/>
  <c r="B683"/>
  <c r="C683"/>
  <c r="A684"/>
  <c r="X684" s="1"/>
  <c r="B684"/>
  <c r="A685"/>
  <c r="B685"/>
  <c r="C685"/>
  <c r="N685" s="1"/>
  <c r="A686"/>
  <c r="B686"/>
  <c r="C686"/>
  <c r="A687"/>
  <c r="B687"/>
  <c r="C687"/>
  <c r="Y687" s="1"/>
  <c r="A688"/>
  <c r="B688"/>
  <c r="A689"/>
  <c r="B689"/>
  <c r="C689"/>
  <c r="N689" s="1"/>
  <c r="A690"/>
  <c r="M690" s="1"/>
  <c r="B690"/>
  <c r="C690"/>
  <c r="A691"/>
  <c r="M691" s="1"/>
  <c r="B691"/>
  <c r="C691"/>
  <c r="N691" s="1"/>
  <c r="A692"/>
  <c r="X692" s="1"/>
  <c r="B692"/>
  <c r="A693"/>
  <c r="M693" s="1"/>
  <c r="B693"/>
  <c r="C693"/>
  <c r="A694"/>
  <c r="B694"/>
  <c r="C694"/>
  <c r="Y694" s="1"/>
  <c r="A695"/>
  <c r="M695" s="1"/>
  <c r="B695"/>
  <c r="C695"/>
  <c r="Y695" s="1"/>
  <c r="A696"/>
  <c r="X696" s="1"/>
  <c r="B696"/>
  <c r="A697"/>
  <c r="B697"/>
  <c r="C697"/>
  <c r="A698"/>
  <c r="X698" s="1"/>
  <c r="B698"/>
  <c r="C698"/>
  <c r="Y698" s="1"/>
  <c r="A699"/>
  <c r="B699"/>
  <c r="C699"/>
  <c r="N699" s="1"/>
  <c r="A700"/>
  <c r="X700" s="1"/>
  <c r="B700"/>
  <c r="A701"/>
  <c r="X701" s="1"/>
  <c r="B701"/>
  <c r="C701"/>
  <c r="Y701" s="1"/>
  <c r="A702"/>
  <c r="B702"/>
  <c r="C702"/>
  <c r="Y702" s="1"/>
  <c r="A703"/>
  <c r="X703" s="1"/>
  <c r="B703"/>
  <c r="C703"/>
  <c r="Y703" s="1"/>
  <c r="A704"/>
  <c r="M704" s="1"/>
  <c r="B704"/>
  <c r="A705"/>
  <c r="B705"/>
  <c r="C705"/>
  <c r="A706"/>
  <c r="X706" s="1"/>
  <c r="B706"/>
  <c r="C706"/>
  <c r="Y706" s="1"/>
  <c r="A707"/>
  <c r="X707" s="1"/>
  <c r="B707"/>
  <c r="C707"/>
  <c r="A708"/>
  <c r="X708" s="1"/>
  <c r="B708"/>
  <c r="A709"/>
  <c r="B709"/>
  <c r="C709"/>
  <c r="Y709" s="1"/>
  <c r="A710"/>
  <c r="B710"/>
  <c r="C710"/>
  <c r="A711"/>
  <c r="B711"/>
  <c r="C711"/>
  <c r="A712"/>
  <c r="B712"/>
  <c r="A713"/>
  <c r="M713" s="1"/>
  <c r="B713"/>
  <c r="C713"/>
  <c r="Y713" s="1"/>
  <c r="A714"/>
  <c r="M714" s="1"/>
  <c r="B714"/>
  <c r="C714"/>
  <c r="Y714" s="1"/>
  <c r="A715"/>
  <c r="B715"/>
  <c r="C715"/>
  <c r="Y715" s="1"/>
  <c r="A716"/>
  <c r="B716"/>
  <c r="A717"/>
  <c r="B717"/>
  <c r="C717"/>
  <c r="N717" s="1"/>
  <c r="A718"/>
  <c r="X718" s="1"/>
  <c r="B718"/>
  <c r="C718"/>
  <c r="A719"/>
  <c r="X719" s="1"/>
  <c r="B719"/>
  <c r="C719"/>
  <c r="A720"/>
  <c r="B720"/>
  <c r="A721"/>
  <c r="B721"/>
  <c r="C721"/>
  <c r="Y721" s="1"/>
  <c r="A722"/>
  <c r="X722" s="1"/>
  <c r="B722"/>
  <c r="C722"/>
  <c r="Y722" s="1"/>
  <c r="A723"/>
  <c r="B723"/>
  <c r="C723"/>
  <c r="A724"/>
  <c r="X724" s="1"/>
  <c r="B724"/>
  <c r="A725"/>
  <c r="B725"/>
  <c r="C725"/>
  <c r="A726"/>
  <c r="B726"/>
  <c r="C726"/>
  <c r="N726" s="1"/>
  <c r="A727"/>
  <c r="X727" s="1"/>
  <c r="B727"/>
  <c r="C727"/>
  <c r="Y727" s="1"/>
  <c r="A728"/>
  <c r="B728"/>
  <c r="A729"/>
  <c r="X729" s="1"/>
  <c r="B729"/>
  <c r="C729"/>
  <c r="A730"/>
  <c r="X730" s="1"/>
  <c r="B730"/>
  <c r="C730"/>
  <c r="A731"/>
  <c r="X731" s="1"/>
  <c r="B731"/>
  <c r="C731"/>
  <c r="A732"/>
  <c r="B732"/>
  <c r="A733"/>
  <c r="X733" s="1"/>
  <c r="B733"/>
  <c r="C733"/>
  <c r="Y733" s="1"/>
  <c r="A734"/>
  <c r="B734"/>
  <c r="C734"/>
  <c r="N734" s="1"/>
  <c r="A735"/>
  <c r="B735"/>
  <c r="C735"/>
  <c r="Y735" s="1"/>
  <c r="A736"/>
  <c r="B736"/>
  <c r="A737"/>
  <c r="B737"/>
  <c r="C737"/>
  <c r="A738"/>
  <c r="B738"/>
  <c r="C738"/>
  <c r="Y738" s="1"/>
  <c r="A739"/>
  <c r="M739" s="1"/>
  <c r="B739"/>
  <c r="C739"/>
  <c r="N739" s="1"/>
  <c r="A740"/>
  <c r="X740" s="1"/>
  <c r="B740"/>
  <c r="A741"/>
  <c r="X741" s="1"/>
  <c r="B741"/>
  <c r="C741"/>
  <c r="Y741" s="1"/>
  <c r="A742"/>
  <c r="X742" s="1"/>
  <c r="B742"/>
  <c r="C742"/>
  <c r="A743"/>
  <c r="X743" s="1"/>
  <c r="B743"/>
  <c r="C743"/>
  <c r="Y743" s="1"/>
  <c r="A744"/>
  <c r="X744" s="1"/>
  <c r="B744"/>
  <c r="A745"/>
  <c r="B745"/>
  <c r="C745"/>
  <c r="A746"/>
  <c r="B746"/>
  <c r="C746"/>
  <c r="A747"/>
  <c r="B747"/>
  <c r="C747"/>
  <c r="Y747" s="1"/>
  <c r="A748"/>
  <c r="X748" s="1"/>
  <c r="B748"/>
  <c r="A749"/>
  <c r="X749" s="1"/>
  <c r="B749"/>
  <c r="C749"/>
  <c r="Y749" s="1"/>
  <c r="A750"/>
  <c r="B750"/>
  <c r="C750"/>
  <c r="N750" s="1"/>
  <c r="A751"/>
  <c r="X751" s="1"/>
  <c r="B751"/>
  <c r="C751"/>
  <c r="A752"/>
  <c r="B752"/>
  <c r="A753"/>
  <c r="M753" s="1"/>
  <c r="B753"/>
  <c r="C753"/>
  <c r="A754"/>
  <c r="X754" s="1"/>
  <c r="B754"/>
  <c r="C754"/>
  <c r="A755"/>
  <c r="B755"/>
  <c r="C755"/>
  <c r="A756"/>
  <c r="X756" s="1"/>
  <c r="B756"/>
  <c r="A757"/>
  <c r="B757"/>
  <c r="C757"/>
  <c r="A758"/>
  <c r="B758"/>
  <c r="C758"/>
  <c r="A759"/>
  <c r="X759" s="1"/>
  <c r="B759"/>
  <c r="C759"/>
  <c r="A760"/>
  <c r="B760"/>
  <c r="A761"/>
  <c r="M761" s="1"/>
  <c r="B761"/>
  <c r="C761"/>
  <c r="Y761" s="1"/>
  <c r="A762"/>
  <c r="X762" s="1"/>
  <c r="B762"/>
  <c r="C762"/>
  <c r="Y762" s="1"/>
  <c r="A763"/>
  <c r="B763"/>
  <c r="C763"/>
  <c r="A764"/>
  <c r="B764"/>
  <c r="A765"/>
  <c r="X765" s="1"/>
  <c r="B765"/>
  <c r="C765"/>
  <c r="Y765" s="1"/>
  <c r="A766"/>
  <c r="X766" s="1"/>
  <c r="B766"/>
  <c r="C766"/>
  <c r="A767"/>
  <c r="B767"/>
  <c r="C767"/>
  <c r="Y767" s="1"/>
  <c r="A768"/>
  <c r="B768"/>
  <c r="A769"/>
  <c r="B769"/>
  <c r="C769"/>
  <c r="Y769" s="1"/>
  <c r="A770"/>
  <c r="X770" s="1"/>
  <c r="B770"/>
  <c r="C770"/>
  <c r="Y770" s="1"/>
  <c r="A771"/>
  <c r="B771"/>
  <c r="C771"/>
  <c r="A772"/>
  <c r="B772"/>
  <c r="A773"/>
  <c r="B773"/>
  <c r="C773"/>
  <c r="Y773" s="1"/>
  <c r="A774"/>
  <c r="M774" s="1"/>
  <c r="B774"/>
  <c r="C774"/>
  <c r="A775"/>
  <c r="X775" s="1"/>
  <c r="B775"/>
  <c r="C775"/>
  <c r="A776"/>
  <c r="B776"/>
  <c r="A777"/>
  <c r="B777"/>
  <c r="C777"/>
  <c r="A778"/>
  <c r="B778"/>
  <c r="C778"/>
  <c r="A779"/>
  <c r="B779"/>
  <c r="C779"/>
  <c r="A780"/>
  <c r="X780" s="1"/>
  <c r="B780"/>
  <c r="A781"/>
  <c r="B781"/>
  <c r="C781"/>
  <c r="Y781" s="1"/>
  <c r="A782"/>
  <c r="B782"/>
  <c r="C782"/>
  <c r="A783"/>
  <c r="X783" s="1"/>
  <c r="B783"/>
  <c r="C783"/>
  <c r="Y783" s="1"/>
  <c r="A784"/>
  <c r="B784"/>
  <c r="A785"/>
  <c r="B785"/>
  <c r="C785"/>
  <c r="N785" s="1"/>
  <c r="A786"/>
  <c r="B786"/>
  <c r="C786"/>
  <c r="Y786" s="1"/>
  <c r="A787"/>
  <c r="B787"/>
  <c r="C787"/>
  <c r="N787" s="1"/>
  <c r="A788"/>
  <c r="X788" s="1"/>
  <c r="B788"/>
  <c r="A789"/>
  <c r="X789" s="1"/>
  <c r="B789"/>
  <c r="C789"/>
  <c r="A790"/>
  <c r="B790"/>
  <c r="C790"/>
  <c r="Y790" s="1"/>
  <c r="A791"/>
  <c r="X791" s="1"/>
  <c r="B791"/>
  <c r="C791"/>
  <c r="Y791" s="1"/>
  <c r="A792"/>
  <c r="M792" s="1"/>
  <c r="B792"/>
  <c r="A793"/>
  <c r="B793"/>
  <c r="C793"/>
  <c r="A794"/>
  <c r="X794" s="1"/>
  <c r="B794"/>
  <c r="C794"/>
  <c r="Y794" s="1"/>
  <c r="A795"/>
  <c r="X795" s="1"/>
  <c r="B795"/>
  <c r="C795"/>
  <c r="Y795" s="1"/>
  <c r="A796"/>
  <c r="X796" s="1"/>
  <c r="B796"/>
  <c r="A797"/>
  <c r="X797" s="1"/>
  <c r="B797"/>
  <c r="C797"/>
  <c r="Y797" s="1"/>
  <c r="A798"/>
  <c r="B798"/>
  <c r="C798"/>
  <c r="Y798" s="1"/>
  <c r="A799"/>
  <c r="X799" s="1"/>
  <c r="B799"/>
  <c r="C799"/>
  <c r="Y799" s="1"/>
  <c r="A800"/>
  <c r="M800" s="1"/>
  <c r="B800"/>
  <c r="A801"/>
  <c r="X801" s="1"/>
  <c r="B801"/>
  <c r="C801"/>
  <c r="A802"/>
  <c r="B802"/>
  <c r="C802"/>
  <c r="Y802" s="1"/>
  <c r="A803"/>
  <c r="X803" s="1"/>
  <c r="B803"/>
  <c r="C803"/>
  <c r="N803" s="1"/>
  <c r="A804"/>
  <c r="X804" s="1"/>
  <c r="B804"/>
  <c r="A805"/>
  <c r="B805"/>
  <c r="C805"/>
  <c r="Y805" s="1"/>
  <c r="A806"/>
  <c r="B806"/>
  <c r="C806"/>
  <c r="A807"/>
  <c r="B807"/>
  <c r="C807"/>
  <c r="A808"/>
  <c r="M808" s="1"/>
  <c r="B808"/>
  <c r="A809"/>
  <c r="X809" s="1"/>
  <c r="B809"/>
  <c r="C809"/>
  <c r="A810"/>
  <c r="X810" s="1"/>
  <c r="B810"/>
  <c r="C810"/>
  <c r="A811"/>
  <c r="B811"/>
  <c r="C811"/>
  <c r="Y811" s="1"/>
  <c r="A812"/>
  <c r="X812" s="1"/>
  <c r="B812"/>
  <c r="A813"/>
  <c r="X813" s="1"/>
  <c r="B813"/>
  <c r="C813"/>
  <c r="Y813" s="1"/>
  <c r="A814"/>
  <c r="B814"/>
  <c r="C814"/>
  <c r="A815"/>
  <c r="X815" s="1"/>
  <c r="B815"/>
  <c r="C815"/>
  <c r="A816"/>
  <c r="X816" s="1"/>
  <c r="B816"/>
  <c r="A817"/>
  <c r="X817" s="1"/>
  <c r="B817"/>
  <c r="C817"/>
  <c r="N817" s="1"/>
  <c r="A818"/>
  <c r="M818" s="1"/>
  <c r="B818"/>
  <c r="C818"/>
  <c r="Y818" s="1"/>
  <c r="A819"/>
  <c r="B819"/>
  <c r="C819"/>
  <c r="A820"/>
  <c r="X820" s="1"/>
  <c r="B820"/>
  <c r="A821"/>
  <c r="X821" s="1"/>
  <c r="B821"/>
  <c r="C821"/>
  <c r="A822"/>
  <c r="B822"/>
  <c r="C822"/>
  <c r="A823"/>
  <c r="X823" s="1"/>
  <c r="B823"/>
  <c r="C823"/>
  <c r="N823" s="1"/>
  <c r="A824"/>
  <c r="B824"/>
  <c r="A825"/>
  <c r="M825" s="1"/>
  <c r="B825"/>
  <c r="C825"/>
  <c r="N825" s="1"/>
  <c r="A826"/>
  <c r="X826" s="1"/>
  <c r="B826"/>
  <c r="C826"/>
  <c r="Y826" s="1"/>
  <c r="A827"/>
  <c r="X827" s="1"/>
  <c r="B827"/>
  <c r="C827"/>
  <c r="A828"/>
  <c r="X828" s="1"/>
  <c r="B828"/>
  <c r="A829"/>
  <c r="X829" s="1"/>
  <c r="B829"/>
  <c r="C829"/>
  <c r="A830"/>
  <c r="B830"/>
  <c r="C830"/>
  <c r="N830" s="1"/>
  <c r="A831"/>
  <c r="M831" s="1"/>
  <c r="B831"/>
  <c r="C831"/>
  <c r="Y831" s="1"/>
  <c r="A832"/>
  <c r="B832"/>
  <c r="A833"/>
  <c r="B833"/>
  <c r="C833"/>
  <c r="Y833" s="1"/>
  <c r="A834"/>
  <c r="B834"/>
  <c r="C834"/>
  <c r="A835"/>
  <c r="B835"/>
  <c r="C835"/>
  <c r="A836"/>
  <c r="X836" s="1"/>
  <c r="B836"/>
  <c r="A837"/>
  <c r="B837"/>
  <c r="C837"/>
  <c r="A838"/>
  <c r="X838" s="1"/>
  <c r="B838"/>
  <c r="C838"/>
  <c r="A839"/>
  <c r="B839"/>
  <c r="C839"/>
  <c r="A840"/>
  <c r="M840" s="1"/>
  <c r="B840"/>
  <c r="A841"/>
  <c r="B841"/>
  <c r="C841"/>
  <c r="A842"/>
  <c r="B842"/>
  <c r="C842"/>
  <c r="A843"/>
  <c r="M843" s="1"/>
  <c r="B843"/>
  <c r="C843"/>
  <c r="N843" s="1"/>
  <c r="A844"/>
  <c r="X844" s="1"/>
  <c r="B844"/>
  <c r="A845"/>
  <c r="X845" s="1"/>
  <c r="B845"/>
  <c r="C845"/>
  <c r="Y845" s="1"/>
  <c r="A846"/>
  <c r="B846"/>
  <c r="C846"/>
  <c r="A847"/>
  <c r="B847"/>
  <c r="C847"/>
  <c r="Y847" s="1"/>
  <c r="A848"/>
  <c r="M848" s="1"/>
  <c r="B848"/>
  <c r="A849"/>
  <c r="B849"/>
  <c r="C849"/>
  <c r="A850"/>
  <c r="X850" s="1"/>
  <c r="B850"/>
  <c r="C850"/>
  <c r="A851"/>
  <c r="B851"/>
  <c r="C851"/>
  <c r="A852"/>
  <c r="X852" s="1"/>
  <c r="B852"/>
  <c r="A853"/>
  <c r="X853" s="1"/>
  <c r="B853"/>
  <c r="C853"/>
  <c r="Y853" s="1"/>
  <c r="A854"/>
  <c r="B854"/>
  <c r="C854"/>
  <c r="A855"/>
  <c r="B855"/>
  <c r="C855"/>
  <c r="A856"/>
  <c r="M856" s="1"/>
  <c r="B856"/>
  <c r="A857"/>
  <c r="M857" s="1"/>
  <c r="B857"/>
  <c r="C857"/>
  <c r="N857" s="1"/>
  <c r="A858"/>
  <c r="X858" s="1"/>
  <c r="B858"/>
  <c r="C858"/>
  <c r="Y858" s="1"/>
  <c r="A859"/>
  <c r="B859"/>
  <c r="C859"/>
  <c r="A860"/>
  <c r="B860"/>
  <c r="A861"/>
  <c r="X861" s="1"/>
  <c r="B861"/>
  <c r="C861"/>
  <c r="N861" s="1"/>
  <c r="A862"/>
  <c r="B862"/>
  <c r="C862"/>
  <c r="A863"/>
  <c r="B863"/>
  <c r="C863"/>
  <c r="Y863" s="1"/>
  <c r="A864"/>
  <c r="B864"/>
  <c r="A865"/>
  <c r="B865"/>
  <c r="C865"/>
  <c r="Y865" s="1"/>
  <c r="A866"/>
  <c r="X866" s="1"/>
  <c r="B866"/>
  <c r="C866"/>
  <c r="A867"/>
  <c r="B867"/>
  <c r="C867"/>
  <c r="A868"/>
  <c r="B868"/>
  <c r="A869"/>
  <c r="B869"/>
  <c r="C869"/>
  <c r="A870"/>
  <c r="M870" s="1"/>
  <c r="B870"/>
  <c r="C870"/>
  <c r="Y870" s="1"/>
  <c r="A871"/>
  <c r="X871" s="1"/>
  <c r="B871"/>
  <c r="C871"/>
  <c r="Y871" s="1"/>
  <c r="A872"/>
  <c r="B872"/>
  <c r="A873"/>
  <c r="B873"/>
  <c r="C873"/>
  <c r="A874"/>
  <c r="B874"/>
  <c r="C874"/>
  <c r="A875"/>
  <c r="X875" s="1"/>
  <c r="B875"/>
  <c r="C875"/>
  <c r="A876"/>
  <c r="X876" s="1"/>
  <c r="B876"/>
  <c r="A877"/>
  <c r="B877"/>
  <c r="C877"/>
  <c r="A878"/>
  <c r="M878" s="1"/>
  <c r="B878"/>
  <c r="C878"/>
  <c r="A879"/>
  <c r="X879" s="1"/>
  <c r="B879"/>
  <c r="C879"/>
  <c r="Y879" s="1"/>
  <c r="A880"/>
  <c r="B880"/>
  <c r="A881"/>
  <c r="B881"/>
  <c r="C881"/>
  <c r="A882"/>
  <c r="B882"/>
  <c r="C882"/>
  <c r="Y882" s="1"/>
  <c r="A883"/>
  <c r="X883" s="1"/>
  <c r="B883"/>
  <c r="C883"/>
  <c r="Y883" s="1"/>
  <c r="A884"/>
  <c r="X884" s="1"/>
  <c r="B884"/>
  <c r="A885"/>
  <c r="X885" s="1"/>
  <c r="B885"/>
  <c r="C885"/>
  <c r="A886"/>
  <c r="B886"/>
  <c r="C886"/>
  <c r="Y886" s="1"/>
  <c r="A887"/>
  <c r="X887" s="1"/>
  <c r="B887"/>
  <c r="C887"/>
  <c r="Y887" s="1"/>
  <c r="A888"/>
  <c r="X888" s="1"/>
  <c r="B888"/>
  <c r="A889"/>
  <c r="B889"/>
  <c r="C889"/>
  <c r="A890"/>
  <c r="X890" s="1"/>
  <c r="B890"/>
  <c r="C890"/>
  <c r="A891"/>
  <c r="X891" s="1"/>
  <c r="B891"/>
  <c r="C891"/>
  <c r="A892"/>
  <c r="X892" s="1"/>
  <c r="B892"/>
  <c r="A893"/>
  <c r="X893" s="1"/>
  <c r="B893"/>
  <c r="C893"/>
  <c r="Y893" s="1"/>
  <c r="A894"/>
  <c r="B894"/>
  <c r="C894"/>
  <c r="N894" s="1"/>
  <c r="A895"/>
  <c r="B895"/>
  <c r="C895"/>
  <c r="Y895" s="1"/>
  <c r="A896"/>
  <c r="B896"/>
  <c r="A897"/>
  <c r="X897" s="1"/>
  <c r="B897"/>
  <c r="C897"/>
  <c r="A898"/>
  <c r="B898"/>
  <c r="C898"/>
  <c r="A899"/>
  <c r="X899" s="1"/>
  <c r="B899"/>
  <c r="C899"/>
  <c r="A900"/>
  <c r="X900" s="1"/>
  <c r="B900"/>
  <c r="A901"/>
  <c r="X901" s="1"/>
  <c r="B901"/>
  <c r="C901"/>
  <c r="A902"/>
  <c r="B902"/>
  <c r="C902"/>
  <c r="A903"/>
  <c r="B903"/>
  <c r="C903"/>
  <c r="Y903" s="1"/>
  <c r="A904"/>
  <c r="X904" s="1"/>
  <c r="B904"/>
  <c r="A905"/>
  <c r="X905" s="1"/>
  <c r="B905"/>
  <c r="C905"/>
  <c r="N905" s="1"/>
  <c r="A906"/>
  <c r="X906" s="1"/>
  <c r="B906"/>
  <c r="C906"/>
  <c r="A907"/>
  <c r="B907"/>
  <c r="C907"/>
  <c r="N907" s="1"/>
  <c r="A908"/>
  <c r="X908" s="1"/>
  <c r="B908"/>
  <c r="A909"/>
  <c r="B909"/>
  <c r="C909"/>
  <c r="A910"/>
  <c r="X910" s="1"/>
  <c r="B910"/>
  <c r="C910"/>
  <c r="A911"/>
  <c r="X911" s="1"/>
  <c r="B911"/>
  <c r="C911"/>
  <c r="A912"/>
  <c r="B912"/>
  <c r="A913"/>
  <c r="B913"/>
  <c r="C913"/>
  <c r="N913" s="1"/>
  <c r="A914"/>
  <c r="M914" s="1"/>
  <c r="B914"/>
  <c r="C914"/>
  <c r="Y914" s="1"/>
  <c r="A915"/>
  <c r="B915"/>
  <c r="C915"/>
  <c r="A916"/>
  <c r="X916" s="1"/>
  <c r="B916"/>
  <c r="A917"/>
  <c r="B917"/>
  <c r="C917"/>
  <c r="Y917" s="1"/>
  <c r="A918"/>
  <c r="M918" s="1"/>
  <c r="B918"/>
  <c r="C918"/>
  <c r="N918" s="1"/>
  <c r="A919"/>
  <c r="X919" s="1"/>
  <c r="B919"/>
  <c r="C919"/>
  <c r="N919" s="1"/>
  <c r="A920"/>
  <c r="B920"/>
  <c r="A921"/>
  <c r="B921"/>
  <c r="C921"/>
  <c r="Y921" s="1"/>
  <c r="A922"/>
  <c r="M922" s="1"/>
  <c r="B922"/>
  <c r="C922"/>
  <c r="Y922" s="1"/>
  <c r="A923"/>
  <c r="B923"/>
  <c r="C923"/>
  <c r="A924"/>
  <c r="X924" s="1"/>
  <c r="B924"/>
  <c r="A925"/>
  <c r="X925" s="1"/>
  <c r="B925"/>
  <c r="C925"/>
  <c r="Y925" s="1"/>
  <c r="A926"/>
  <c r="M926" s="1"/>
  <c r="B926"/>
  <c r="C926"/>
  <c r="N926" s="1"/>
  <c r="A927"/>
  <c r="X927" s="1"/>
  <c r="B927"/>
  <c r="C927"/>
  <c r="Y927" s="1"/>
  <c r="A928"/>
  <c r="B928"/>
  <c r="A929"/>
  <c r="B929"/>
  <c r="C929"/>
  <c r="Y929" s="1"/>
  <c r="A930"/>
  <c r="B930"/>
  <c r="C930"/>
  <c r="A931"/>
  <c r="X931" s="1"/>
  <c r="B931"/>
  <c r="C931"/>
  <c r="N931" s="1"/>
  <c r="A932"/>
  <c r="X932" s="1"/>
  <c r="B932"/>
  <c r="A933"/>
  <c r="X933" s="1"/>
  <c r="B933"/>
  <c r="C933"/>
  <c r="A934"/>
  <c r="B934"/>
  <c r="C934"/>
  <c r="A935"/>
  <c r="X935" s="1"/>
  <c r="B935"/>
  <c r="C935"/>
  <c r="A936"/>
  <c r="B936"/>
  <c r="A937"/>
  <c r="B937"/>
  <c r="C937"/>
  <c r="A938"/>
  <c r="B938"/>
  <c r="C938"/>
  <c r="Y938" s="1"/>
  <c r="A939"/>
  <c r="B939"/>
  <c r="C939"/>
  <c r="Y939" s="1"/>
  <c r="A940"/>
  <c r="X940" s="1"/>
  <c r="B940"/>
  <c r="A941"/>
  <c r="X941" s="1"/>
  <c r="B941"/>
  <c r="C941"/>
  <c r="A942"/>
  <c r="B942"/>
  <c r="C942"/>
  <c r="N942" s="1"/>
  <c r="A943"/>
  <c r="M943" s="1"/>
  <c r="B943"/>
  <c r="C943"/>
  <c r="Y943" s="1"/>
  <c r="A944"/>
  <c r="M944" s="1"/>
  <c r="B944"/>
  <c r="A945"/>
  <c r="X945" s="1"/>
  <c r="B945"/>
  <c r="C945"/>
  <c r="A946"/>
  <c r="X946" s="1"/>
  <c r="B946"/>
  <c r="C946"/>
  <c r="A947"/>
  <c r="X947" s="1"/>
  <c r="B947"/>
  <c r="C947"/>
  <c r="A948"/>
  <c r="X948" s="1"/>
  <c r="B948"/>
  <c r="A949"/>
  <c r="M949" s="1"/>
  <c r="B949"/>
  <c r="C949"/>
  <c r="Y949" s="1"/>
  <c r="A950"/>
  <c r="B950"/>
  <c r="C950"/>
  <c r="A951"/>
  <c r="X951" s="1"/>
  <c r="B951"/>
  <c r="C951"/>
  <c r="A952"/>
  <c r="B952"/>
  <c r="A953"/>
  <c r="X953" s="1"/>
  <c r="B953"/>
  <c r="C953"/>
  <c r="Y953" s="1"/>
  <c r="A954"/>
  <c r="X954" s="1"/>
  <c r="B954"/>
  <c r="C954"/>
  <c r="A955"/>
  <c r="B955"/>
  <c r="C955"/>
  <c r="N955" s="1"/>
  <c r="A956"/>
  <c r="M956" s="1"/>
  <c r="B956"/>
  <c r="A957"/>
  <c r="X957" s="1"/>
  <c r="B957"/>
  <c r="C957"/>
  <c r="Y957" s="1"/>
  <c r="A958"/>
  <c r="B958"/>
  <c r="C958"/>
  <c r="A959"/>
  <c r="X959" s="1"/>
  <c r="B959"/>
  <c r="C959"/>
  <c r="Y959" s="1"/>
  <c r="A960"/>
  <c r="B960"/>
  <c r="A961"/>
  <c r="M961" s="1"/>
  <c r="B961"/>
  <c r="C961"/>
  <c r="N961" s="1"/>
  <c r="A962"/>
  <c r="B962"/>
  <c r="C962"/>
  <c r="A963"/>
  <c r="B963"/>
  <c r="C963"/>
  <c r="A964"/>
  <c r="B964"/>
  <c r="A965"/>
  <c r="B965"/>
  <c r="C965"/>
  <c r="A966"/>
  <c r="X966" s="1"/>
  <c r="B966"/>
  <c r="C966"/>
  <c r="Y966" s="1"/>
  <c r="A967"/>
  <c r="X967" s="1"/>
  <c r="B967"/>
  <c r="C967"/>
  <c r="A968"/>
  <c r="B968"/>
  <c r="A969"/>
  <c r="B969"/>
  <c r="C969"/>
  <c r="A970"/>
  <c r="X970" s="1"/>
  <c r="B970"/>
  <c r="C970"/>
  <c r="A971"/>
  <c r="X971" s="1"/>
  <c r="B971"/>
  <c r="C971"/>
  <c r="A972"/>
  <c r="X972" s="1"/>
  <c r="B972"/>
  <c r="A973"/>
  <c r="B973"/>
  <c r="C973"/>
  <c r="A974"/>
  <c r="M974" s="1"/>
  <c r="B974"/>
  <c r="C974"/>
  <c r="A975"/>
  <c r="B975"/>
  <c r="C975"/>
  <c r="A976"/>
  <c r="B976"/>
  <c r="A977"/>
  <c r="B977"/>
  <c r="C977"/>
  <c r="A978"/>
  <c r="B978"/>
  <c r="C978"/>
  <c r="A979"/>
  <c r="M979" s="1"/>
  <c r="B979"/>
  <c r="C979"/>
  <c r="N979" s="1"/>
  <c r="A980"/>
  <c r="X980" s="1"/>
  <c r="B980"/>
  <c r="A981"/>
  <c r="B981"/>
  <c r="C981"/>
  <c r="A982"/>
  <c r="B982"/>
  <c r="C982"/>
  <c r="A983"/>
  <c r="X983" s="1"/>
  <c r="B983"/>
  <c r="C983"/>
  <c r="A984"/>
  <c r="X984" s="1"/>
  <c r="B984"/>
  <c r="A985"/>
  <c r="B985"/>
  <c r="C985"/>
  <c r="A986"/>
  <c r="X986" s="1"/>
  <c r="B986"/>
  <c r="C986"/>
  <c r="A987"/>
  <c r="B987"/>
  <c r="C987"/>
  <c r="N987" s="1"/>
  <c r="A988"/>
  <c r="B988"/>
  <c r="A989"/>
  <c r="X989" s="1"/>
  <c r="B989"/>
  <c r="C989"/>
  <c r="A990"/>
  <c r="B990"/>
  <c r="C990"/>
  <c r="N990" s="1"/>
  <c r="A991"/>
  <c r="B991"/>
  <c r="C991"/>
  <c r="Y991" s="1"/>
  <c r="A992"/>
  <c r="B992"/>
  <c r="A993"/>
  <c r="M993" s="1"/>
  <c r="B993"/>
  <c r="C993"/>
  <c r="A994"/>
  <c r="B994"/>
  <c r="C994"/>
  <c r="A995"/>
  <c r="B995"/>
  <c r="C995"/>
  <c r="A996"/>
  <c r="B996"/>
  <c r="A997"/>
  <c r="X997" s="1"/>
  <c r="B997"/>
  <c r="C997"/>
  <c r="A998"/>
  <c r="B998"/>
  <c r="C998"/>
  <c r="A999"/>
  <c r="B999"/>
  <c r="C999"/>
  <c r="Y999" s="1"/>
  <c r="A1000"/>
  <c r="B1000"/>
  <c r="A1001"/>
  <c r="M1001" s="1"/>
  <c r="B1001"/>
  <c r="C1001"/>
  <c r="Y1001" s="1"/>
  <c r="A1002"/>
  <c r="B1002"/>
  <c r="C1002"/>
  <c r="A1003"/>
  <c r="B1003"/>
  <c r="C1003"/>
  <c r="N1003" s="1"/>
  <c r="A1004"/>
  <c r="B1004"/>
  <c r="A1005"/>
  <c r="B1005"/>
  <c r="C1005"/>
  <c r="A1006"/>
  <c r="B1006"/>
  <c r="C1006"/>
  <c r="A1007"/>
  <c r="B1007"/>
  <c r="C1007"/>
  <c r="A1008"/>
  <c r="B1008"/>
  <c r="A1009"/>
  <c r="B1009"/>
  <c r="C1009"/>
  <c r="Y1009" s="1"/>
  <c r="A1010"/>
  <c r="B1010"/>
  <c r="C1010"/>
  <c r="A1011"/>
  <c r="B1011"/>
  <c r="C1011"/>
  <c r="A1012"/>
  <c r="X1012" s="1"/>
  <c r="B1012"/>
  <c r="A1013"/>
  <c r="B1013"/>
  <c r="C1013"/>
  <c r="Y1013" s="1"/>
  <c r="A1014"/>
  <c r="M1014" s="1"/>
  <c r="B1014"/>
  <c r="C1014"/>
  <c r="Y1014" s="1"/>
  <c r="A1015"/>
  <c r="X1015" s="1"/>
  <c r="B1015"/>
  <c r="C1015"/>
  <c r="Y1015" s="1"/>
  <c r="A1016"/>
  <c r="B1016"/>
  <c r="A1017"/>
  <c r="X1017" s="1"/>
  <c r="B1017"/>
  <c r="C1017"/>
  <c r="Y1017" s="1"/>
  <c r="A1018"/>
  <c r="X1018" s="1"/>
  <c r="B1018"/>
  <c r="C1018"/>
  <c r="Y1018" s="1"/>
  <c r="A1019"/>
  <c r="X1019" s="1"/>
  <c r="B1019"/>
  <c r="C1019"/>
  <c r="A1020"/>
  <c r="M1020" s="1"/>
  <c r="B1020"/>
  <c r="A1021"/>
  <c r="X1021" s="1"/>
  <c r="B1021"/>
  <c r="C1021"/>
  <c r="A1022"/>
  <c r="B1022"/>
  <c r="C1022"/>
  <c r="Y1022" s="1"/>
  <c r="A1023"/>
  <c r="B1023"/>
  <c r="C1023"/>
  <c r="Y1023" s="1"/>
  <c r="A1024"/>
  <c r="B1024"/>
  <c r="A1025"/>
  <c r="B1025"/>
  <c r="C1025"/>
  <c r="Y1025" s="1"/>
  <c r="A1026"/>
  <c r="X1026" s="1"/>
  <c r="B1026"/>
  <c r="C1026"/>
  <c r="N1026" s="1"/>
  <c r="A1027"/>
  <c r="M1027" s="1"/>
  <c r="B1027"/>
  <c r="C1027"/>
  <c r="N1027" s="1"/>
  <c r="A1028"/>
  <c r="X1028" s="1"/>
  <c r="B1028"/>
  <c r="A1029"/>
  <c r="B1029"/>
  <c r="C1029"/>
  <c r="A1030"/>
  <c r="B1030"/>
  <c r="C1030"/>
  <c r="A1031"/>
  <c r="X1031" s="1"/>
  <c r="B1031"/>
  <c r="C1031"/>
  <c r="A1032"/>
  <c r="M1032" s="1"/>
  <c r="B1032"/>
  <c r="A1033"/>
  <c r="B1033"/>
  <c r="C1033"/>
  <c r="A1034"/>
  <c r="B1034"/>
  <c r="C1034"/>
  <c r="A1035"/>
  <c r="B1035"/>
  <c r="C1035"/>
  <c r="Y1035" s="1"/>
  <c r="A1036"/>
  <c r="X1036" s="1"/>
  <c r="B1036"/>
  <c r="A1037"/>
  <c r="X1037" s="1"/>
  <c r="B1037"/>
  <c r="C1037"/>
  <c r="A1038"/>
  <c r="B1038"/>
  <c r="C1038"/>
  <c r="N1038" s="1"/>
  <c r="A1039"/>
  <c r="B1039"/>
  <c r="C1039"/>
  <c r="Y1039" s="1"/>
  <c r="A1040"/>
  <c r="M1040" s="1"/>
  <c r="B1040"/>
  <c r="A1041"/>
  <c r="M1041" s="1"/>
  <c r="B1041"/>
  <c r="C1041"/>
  <c r="A1042"/>
  <c r="X1042" s="1"/>
  <c r="B1042"/>
  <c r="C1042"/>
  <c r="A1043"/>
  <c r="B1043"/>
  <c r="C1043"/>
  <c r="A1044"/>
  <c r="X1044" s="1"/>
  <c r="B1044"/>
  <c r="A1045"/>
  <c r="B1045"/>
  <c r="C1045"/>
  <c r="Y1045" s="1"/>
  <c r="A1046"/>
  <c r="B1046"/>
  <c r="C1046"/>
  <c r="A1047"/>
  <c r="X1047" s="1"/>
  <c r="B1047"/>
  <c r="C1047"/>
  <c r="A1048"/>
  <c r="B1048"/>
  <c r="A1049"/>
  <c r="X1049" s="1"/>
  <c r="B1049"/>
  <c r="C1049"/>
  <c r="N1049" s="1"/>
  <c r="A1050"/>
  <c r="X1050" s="1"/>
  <c r="B1050"/>
  <c r="C1050"/>
  <c r="Y1050" s="1"/>
  <c r="A1051"/>
  <c r="B1051"/>
  <c r="C1051"/>
  <c r="N1051" s="1"/>
  <c r="A1052"/>
  <c r="B1052"/>
  <c r="A1053"/>
  <c r="X1053" s="1"/>
  <c r="B1053"/>
  <c r="C1053"/>
  <c r="A1054"/>
  <c r="B1054"/>
  <c r="C1054"/>
  <c r="A1055"/>
  <c r="X1055" s="1"/>
  <c r="B1055"/>
  <c r="C1055"/>
  <c r="Y1055" s="1"/>
  <c r="A1056"/>
  <c r="B1056"/>
  <c r="A1057"/>
  <c r="B1057"/>
  <c r="C1057"/>
  <c r="Y1057" s="1"/>
  <c r="A1058"/>
  <c r="X1058" s="1"/>
  <c r="B1058"/>
  <c r="C1058"/>
  <c r="A1059"/>
  <c r="B1059"/>
  <c r="C1059"/>
  <c r="A1060"/>
  <c r="B1060"/>
  <c r="A1061"/>
  <c r="B1061"/>
  <c r="C1061"/>
  <c r="A1062"/>
  <c r="X1062" s="1"/>
  <c r="B1062"/>
  <c r="C1062"/>
  <c r="N1062" s="1"/>
  <c r="A1063"/>
  <c r="B1063"/>
  <c r="C1063"/>
  <c r="A1064"/>
  <c r="B1064"/>
  <c r="A1065"/>
  <c r="M1065" s="1"/>
  <c r="B1065"/>
  <c r="C1065"/>
  <c r="N1065" s="1"/>
  <c r="A1066"/>
  <c r="X1066" s="1"/>
  <c r="B1066"/>
  <c r="C1066"/>
  <c r="A1067"/>
  <c r="M1067" s="1"/>
  <c r="B1067"/>
  <c r="C1067"/>
  <c r="A1068"/>
  <c r="X1068" s="1"/>
  <c r="B1068"/>
  <c r="A1069"/>
  <c r="B1069"/>
  <c r="C1069"/>
  <c r="A1070"/>
  <c r="B1070"/>
  <c r="C1070"/>
  <c r="Y1070" s="1"/>
  <c r="A1071"/>
  <c r="X1071" s="1"/>
  <c r="B1071"/>
  <c r="C1071"/>
  <c r="A1072"/>
  <c r="B1072"/>
  <c r="A1073"/>
  <c r="B1073"/>
  <c r="C1073"/>
  <c r="A1074"/>
  <c r="B1074"/>
  <c r="C1074"/>
  <c r="Y1074" s="1"/>
  <c r="A1075"/>
  <c r="B1075"/>
  <c r="C1075"/>
  <c r="Y1075" s="1"/>
  <c r="A1076"/>
  <c r="X1076" s="1"/>
  <c r="B1076"/>
  <c r="A1077"/>
  <c r="X1077" s="1"/>
  <c r="B1077"/>
  <c r="C1077"/>
  <c r="A1078"/>
  <c r="B1078"/>
  <c r="C1078"/>
  <c r="A1079"/>
  <c r="X1079" s="1"/>
  <c r="B1079"/>
  <c r="C1079"/>
  <c r="A1080"/>
  <c r="X1080" s="1"/>
  <c r="B1080"/>
  <c r="A1081"/>
  <c r="B1081"/>
  <c r="C1081"/>
  <c r="A1082"/>
  <c r="X1082" s="1"/>
  <c r="B1082"/>
  <c r="C1082"/>
  <c r="A1083"/>
  <c r="X1083" s="1"/>
  <c r="B1083"/>
  <c r="C1083"/>
  <c r="Y1083" s="1"/>
  <c r="A1084"/>
  <c r="B1084"/>
  <c r="A1085"/>
  <c r="X1085" s="1"/>
  <c r="B1085"/>
  <c r="C1085"/>
  <c r="Y1085" s="1"/>
  <c r="A1086"/>
  <c r="B1086"/>
  <c r="C1086"/>
  <c r="A1087"/>
  <c r="B1087"/>
  <c r="C1087"/>
  <c r="Y1087" s="1"/>
  <c r="A1088"/>
  <c r="X1088" s="1"/>
  <c r="B1088"/>
  <c r="A1089"/>
  <c r="M1089" s="1"/>
  <c r="B1089"/>
  <c r="C1089"/>
  <c r="A1090"/>
  <c r="B1090"/>
  <c r="C1090"/>
  <c r="N1090" s="1"/>
  <c r="A1091"/>
  <c r="X1091" s="1"/>
  <c r="B1091"/>
  <c r="C1091"/>
  <c r="Y1091" s="1"/>
  <c r="A1092"/>
  <c r="M1092" s="1"/>
  <c r="B1092"/>
  <c r="A1093"/>
  <c r="X1093" s="1"/>
  <c r="B1093"/>
  <c r="C1093"/>
  <c r="A1094"/>
  <c r="B1094"/>
  <c r="C1094"/>
  <c r="A1095"/>
  <c r="B1095"/>
  <c r="C1095"/>
  <c r="A1096"/>
  <c r="B1096"/>
  <c r="A1097"/>
  <c r="B1097"/>
  <c r="C1097"/>
  <c r="Y1097" s="1"/>
  <c r="A1098"/>
  <c r="X1098" s="1"/>
  <c r="B1098"/>
  <c r="C1098"/>
  <c r="Y1098" s="1"/>
  <c r="A1099"/>
  <c r="B1099"/>
  <c r="C1099"/>
  <c r="Y1099" s="1"/>
  <c r="A1100"/>
  <c r="B1100"/>
  <c r="A1101"/>
  <c r="X1101" s="1"/>
  <c r="B1101"/>
  <c r="C1101"/>
  <c r="A1102"/>
  <c r="M1102" s="1"/>
  <c r="B1102"/>
  <c r="C1102"/>
  <c r="A1103"/>
  <c r="X1103" s="1"/>
  <c r="B1103"/>
  <c r="C1103"/>
  <c r="A1104"/>
  <c r="B1104"/>
  <c r="A1105"/>
  <c r="X1105" s="1"/>
  <c r="B1105"/>
  <c r="C1105"/>
  <c r="A1106"/>
  <c r="B1106"/>
  <c r="C1106"/>
  <c r="Y1106" s="1"/>
  <c r="A1107"/>
  <c r="B1107"/>
  <c r="C1107"/>
  <c r="A1108"/>
  <c r="X1108" s="1"/>
  <c r="B1108"/>
  <c r="A1109"/>
  <c r="M1109" s="1"/>
  <c r="B1109"/>
  <c r="C1109"/>
  <c r="Y1109" s="1"/>
  <c r="A1110"/>
  <c r="B1110"/>
  <c r="C1110"/>
  <c r="Y1110" s="1"/>
  <c r="A1111"/>
  <c r="X1111" s="1"/>
  <c r="B1111"/>
  <c r="C1111"/>
  <c r="A1112"/>
  <c r="B1112"/>
  <c r="A1113"/>
  <c r="M1113" s="1"/>
  <c r="B1113"/>
  <c r="C1113"/>
  <c r="N1113" s="1"/>
  <c r="A1114"/>
  <c r="X1114" s="1"/>
  <c r="B1114"/>
  <c r="C1114"/>
  <c r="Y1114" s="1"/>
  <c r="A1115"/>
  <c r="B1115"/>
  <c r="C1115"/>
  <c r="A1116"/>
  <c r="B1116"/>
  <c r="A1117"/>
  <c r="X1117" s="1"/>
  <c r="B1117"/>
  <c r="C1117"/>
  <c r="N1117" s="1"/>
  <c r="A1118"/>
  <c r="B1118"/>
  <c r="C1118"/>
  <c r="N1118" s="1"/>
  <c r="A1119"/>
  <c r="B1119"/>
  <c r="C1119"/>
  <c r="Y1119" s="1"/>
  <c r="A1120"/>
  <c r="B1120"/>
  <c r="A1121"/>
  <c r="B1121"/>
  <c r="C1121"/>
  <c r="A1122"/>
  <c r="B1122"/>
  <c r="C1122"/>
  <c r="A1123"/>
  <c r="X1123" s="1"/>
  <c r="B1123"/>
  <c r="C1123"/>
  <c r="Y1123" s="1"/>
  <c r="A1124"/>
  <c r="X1124" s="1"/>
  <c r="B1124"/>
  <c r="A1125"/>
  <c r="B1125"/>
  <c r="C1125"/>
  <c r="A1126"/>
  <c r="B1126"/>
  <c r="C1126"/>
  <c r="N1126" s="1"/>
  <c r="A1127"/>
  <c r="B1127"/>
  <c r="C1127"/>
  <c r="Y1127" s="1"/>
  <c r="A1128"/>
  <c r="B1128"/>
  <c r="A1129"/>
  <c r="B1129"/>
  <c r="C1129"/>
  <c r="A1130"/>
  <c r="B1130"/>
  <c r="C1130"/>
  <c r="Y1130" s="1"/>
  <c r="A1131"/>
  <c r="B1131"/>
  <c r="C1131"/>
  <c r="N1131" s="1"/>
  <c r="A1132"/>
  <c r="B1132"/>
  <c r="A1133"/>
  <c r="X1133" s="1"/>
  <c r="B1133"/>
  <c r="C1133"/>
  <c r="A1134"/>
  <c r="B1134"/>
  <c r="C1134"/>
  <c r="A1135"/>
  <c r="B1135"/>
  <c r="C1135"/>
  <c r="A1136"/>
  <c r="B1136"/>
  <c r="A1137"/>
  <c r="M1137" s="1"/>
  <c r="B1137"/>
  <c r="C1137"/>
  <c r="A1138"/>
  <c r="M1138" s="1"/>
  <c r="B1138"/>
  <c r="C1138"/>
  <c r="A1139"/>
  <c r="B1139"/>
  <c r="C1139"/>
  <c r="A1140"/>
  <c r="X1140" s="1"/>
  <c r="B1140"/>
  <c r="A1141"/>
  <c r="B1141"/>
  <c r="C1141"/>
  <c r="Y1141" s="1"/>
  <c r="A1142"/>
  <c r="B1142"/>
  <c r="C1142"/>
  <c r="A1143"/>
  <c r="X1143" s="1"/>
  <c r="B1143"/>
  <c r="C1143"/>
  <c r="A1144"/>
  <c r="M1144" s="1"/>
  <c r="B1144"/>
  <c r="A1145"/>
  <c r="X1145" s="1"/>
  <c r="B1145"/>
  <c r="C1145"/>
  <c r="Y1145" s="1"/>
  <c r="A1146"/>
  <c r="X1146" s="1"/>
  <c r="B1146"/>
  <c r="C1146"/>
  <c r="A1147"/>
  <c r="B1147"/>
  <c r="C1147"/>
  <c r="A1148"/>
  <c r="M1148" s="1"/>
  <c r="B1148"/>
  <c r="A1149"/>
  <c r="X1149" s="1"/>
  <c r="B1149"/>
  <c r="C1149"/>
  <c r="A1150"/>
  <c r="B1150"/>
  <c r="C1150"/>
  <c r="A1151"/>
  <c r="B1151"/>
  <c r="C1151"/>
  <c r="Y1151" s="1"/>
  <c r="A1152"/>
  <c r="B1152"/>
  <c r="A1153"/>
  <c r="B1153"/>
  <c r="C1153"/>
  <c r="Y1153" s="1"/>
  <c r="A1154"/>
  <c r="B1154"/>
  <c r="C1154"/>
  <c r="A1155"/>
  <c r="B1155"/>
  <c r="C1155"/>
  <c r="A1156"/>
  <c r="B1156"/>
  <c r="A1157"/>
  <c r="X1157" s="1"/>
  <c r="B1157"/>
  <c r="C1157"/>
  <c r="A1158"/>
  <c r="X1158" s="1"/>
  <c r="B1158"/>
  <c r="C1158"/>
  <c r="Y1158" s="1"/>
  <c r="A1159"/>
  <c r="X1159" s="1"/>
  <c r="B1159"/>
  <c r="C1159"/>
  <c r="Y1159" s="1"/>
  <c r="A1160"/>
  <c r="B1160"/>
  <c r="A1161"/>
  <c r="B1161"/>
  <c r="C1161"/>
  <c r="A1162"/>
  <c r="B1162"/>
  <c r="C1162"/>
  <c r="A1163"/>
  <c r="B1163"/>
  <c r="C1163"/>
  <c r="A1164"/>
  <c r="B1164"/>
  <c r="A1165"/>
  <c r="B1165"/>
  <c r="C1165"/>
  <c r="A1166"/>
  <c r="B1166"/>
  <c r="C1166"/>
  <c r="A1167"/>
  <c r="B1167"/>
  <c r="C1167"/>
  <c r="Y1167" s="1"/>
  <c r="A1168"/>
  <c r="B1168"/>
  <c r="A1169"/>
  <c r="B1169"/>
  <c r="C1169"/>
  <c r="A1170"/>
  <c r="B1170"/>
  <c r="C1170"/>
  <c r="Y1170" s="1"/>
  <c r="A1171"/>
  <c r="X1171" s="1"/>
  <c r="B1171"/>
  <c r="C1171"/>
  <c r="Y1171" s="1"/>
  <c r="A1172"/>
  <c r="X1172" s="1"/>
  <c r="B1172"/>
  <c r="A1173"/>
  <c r="X1173" s="1"/>
  <c r="B1173"/>
  <c r="C1173"/>
  <c r="A1174"/>
  <c r="B1174"/>
  <c r="C1174"/>
  <c r="A1175"/>
  <c r="X1175" s="1"/>
  <c r="B1175"/>
  <c r="C1175"/>
  <c r="A1176"/>
  <c r="M1176" s="1"/>
  <c r="B1176"/>
  <c r="A1177"/>
  <c r="B1177"/>
  <c r="C1177"/>
  <c r="A1178"/>
  <c r="X1178" s="1"/>
  <c r="B1178"/>
  <c r="C1178"/>
  <c r="N1178" s="1"/>
  <c r="A1179"/>
  <c r="M1179" s="1"/>
  <c r="B1179"/>
  <c r="C1179"/>
  <c r="A1180"/>
  <c r="X1180" s="1"/>
  <c r="B1180"/>
  <c r="A1181"/>
  <c r="X1181" s="1"/>
  <c r="B1181"/>
  <c r="C1181"/>
  <c r="A1182"/>
  <c r="B1182"/>
  <c r="C1182"/>
  <c r="A1183"/>
  <c r="B1183"/>
  <c r="C1183"/>
  <c r="A1184"/>
  <c r="X1184" s="1"/>
  <c r="B1184"/>
  <c r="A1185"/>
  <c r="X1185" s="1"/>
  <c r="B1185"/>
  <c r="C1185"/>
  <c r="A1186"/>
  <c r="B1186"/>
  <c r="C1186"/>
  <c r="A1187"/>
  <c r="B1187"/>
  <c r="C1187"/>
  <c r="Y1187" s="1"/>
  <c r="A1188"/>
  <c r="M1188" s="1"/>
  <c r="B1188"/>
  <c r="A1189"/>
  <c r="B1189"/>
  <c r="C1189"/>
  <c r="A1190"/>
  <c r="B1190"/>
  <c r="C1190"/>
  <c r="A1191"/>
  <c r="B1191"/>
  <c r="C1191"/>
  <c r="Y1191" s="1"/>
  <c r="A1192"/>
  <c r="B1192"/>
  <c r="A1193"/>
  <c r="X1193" s="1"/>
  <c r="B1193"/>
  <c r="C1193"/>
  <c r="N1193" s="1"/>
  <c r="A1194"/>
  <c r="X1194" s="1"/>
  <c r="B1194"/>
  <c r="C1194"/>
  <c r="A1195"/>
  <c r="B1195"/>
  <c r="C1195"/>
  <c r="A1196"/>
  <c r="B1196"/>
  <c r="A1197"/>
  <c r="X1197" s="1"/>
  <c r="B1197"/>
  <c r="C1197"/>
  <c r="A1198"/>
  <c r="X1198" s="1"/>
  <c r="B1198"/>
  <c r="C1198"/>
  <c r="A1199"/>
  <c r="X1199" s="1"/>
  <c r="B1199"/>
  <c r="C1199"/>
  <c r="A1200"/>
  <c r="B1200"/>
  <c r="A1201"/>
  <c r="M1201" s="1"/>
  <c r="B1201"/>
  <c r="C1201"/>
  <c r="N1201" s="1"/>
  <c r="A1202"/>
  <c r="X1202" s="1"/>
  <c r="B1202"/>
  <c r="C1202"/>
  <c r="Y1202" s="1"/>
  <c r="A1203"/>
  <c r="B1203"/>
  <c r="C1203"/>
  <c r="A1204"/>
  <c r="M1204" s="1"/>
  <c r="B1204"/>
  <c r="A1205"/>
  <c r="B1205"/>
  <c r="C1205"/>
  <c r="A1206"/>
  <c r="X1206" s="1"/>
  <c r="B1206"/>
  <c r="C1206"/>
  <c r="N1206" s="1"/>
  <c r="A1207"/>
  <c r="X1207" s="1"/>
  <c r="B1207"/>
  <c r="C1207"/>
  <c r="A1208"/>
  <c r="B1208"/>
  <c r="A1209"/>
  <c r="B1209"/>
  <c r="C1209"/>
  <c r="Y1209" s="1"/>
  <c r="A1210"/>
  <c r="X1210" s="1"/>
  <c r="B1210"/>
  <c r="C1210"/>
  <c r="Y1210" s="1"/>
  <c r="A1211"/>
  <c r="B1211"/>
  <c r="C1211"/>
  <c r="A1212"/>
  <c r="X1212" s="1"/>
  <c r="B1212"/>
  <c r="A1213"/>
  <c r="B1213"/>
  <c r="C1213"/>
  <c r="N1213" s="1"/>
  <c r="A1214"/>
  <c r="M1214" s="1"/>
  <c r="B1214"/>
  <c r="C1214"/>
  <c r="N1214" s="1"/>
  <c r="A1215"/>
  <c r="X1215" s="1"/>
  <c r="B1215"/>
  <c r="C1215"/>
  <c r="A1216"/>
  <c r="B1216"/>
  <c r="A1217"/>
  <c r="B1217"/>
  <c r="C1217"/>
  <c r="Y1217" s="1"/>
  <c r="A1218"/>
  <c r="X1218" s="1"/>
  <c r="B1218"/>
  <c r="C1218"/>
  <c r="A1219"/>
  <c r="M1219" s="1"/>
  <c r="B1219"/>
  <c r="C1219"/>
  <c r="N1219" s="1"/>
  <c r="A1220"/>
  <c r="X1220" s="1"/>
  <c r="B1220"/>
  <c r="A1221"/>
  <c r="M1221" s="1"/>
  <c r="B1221"/>
  <c r="C1221"/>
  <c r="A1222"/>
  <c r="B1222"/>
  <c r="C1222"/>
  <c r="A1223"/>
  <c r="X1223" s="1"/>
  <c r="B1223"/>
  <c r="C1223"/>
  <c r="Y1223" s="1"/>
  <c r="A1224"/>
  <c r="B1224"/>
  <c r="A1225"/>
  <c r="B1225"/>
  <c r="C1225"/>
  <c r="A1226"/>
  <c r="B1226"/>
  <c r="C1226"/>
  <c r="A1227"/>
  <c r="X1227" s="1"/>
  <c r="B1227"/>
  <c r="C1227"/>
  <c r="Y1227" s="1"/>
  <c r="A1228"/>
  <c r="B1228"/>
  <c r="A1229"/>
  <c r="X1229" s="1"/>
  <c r="B1229"/>
  <c r="C1229"/>
  <c r="A1230"/>
  <c r="B1230"/>
  <c r="C1230"/>
  <c r="A1231"/>
  <c r="M1231" s="1"/>
  <c r="B1231"/>
  <c r="C1231"/>
  <c r="Y1231" s="1"/>
  <c r="A1232"/>
  <c r="B1232"/>
  <c r="A1233"/>
  <c r="B1233"/>
  <c r="C1233"/>
  <c r="A1234"/>
  <c r="M1234" s="1"/>
  <c r="B1234"/>
  <c r="C1234"/>
  <c r="A1235"/>
  <c r="B1235"/>
  <c r="C1235"/>
  <c r="A1236"/>
  <c r="X1236" s="1"/>
  <c r="B1236"/>
  <c r="A1237"/>
  <c r="M1237" s="1"/>
  <c r="B1237"/>
  <c r="C1237"/>
  <c r="Y1237" s="1"/>
  <c r="A1238"/>
  <c r="B1238"/>
  <c r="C1238"/>
  <c r="A1239"/>
  <c r="X1239" s="1"/>
  <c r="B1239"/>
  <c r="C1239"/>
  <c r="A1240"/>
  <c r="X1240" s="1"/>
  <c r="B1240"/>
  <c r="A1241"/>
  <c r="M1241" s="1"/>
  <c r="B1241"/>
  <c r="C1241"/>
  <c r="N1241" s="1"/>
  <c r="A1242"/>
  <c r="X1242" s="1"/>
  <c r="B1242"/>
  <c r="C1242"/>
  <c r="A1243"/>
  <c r="B1243"/>
  <c r="C1243"/>
  <c r="A1244"/>
  <c r="B1244"/>
  <c r="A1245"/>
  <c r="B1245"/>
  <c r="C1245"/>
  <c r="N1245" s="1"/>
  <c r="A1246"/>
  <c r="B1246"/>
  <c r="C1246"/>
  <c r="A1247"/>
  <c r="B1247"/>
  <c r="C1247"/>
  <c r="A1248"/>
  <c r="B1248"/>
  <c r="A1249"/>
  <c r="B1249"/>
  <c r="C1249"/>
  <c r="Y1249" s="1"/>
  <c r="A1250"/>
  <c r="B1250"/>
  <c r="C1250"/>
  <c r="A1251"/>
  <c r="B1251"/>
  <c r="C1251"/>
  <c r="A1252"/>
  <c r="B1252"/>
  <c r="A1253"/>
  <c r="X1253" s="1"/>
  <c r="B1253"/>
  <c r="C1253"/>
  <c r="A1254"/>
  <c r="M1254" s="1"/>
  <c r="B1254"/>
  <c r="C1254"/>
  <c r="Y1254" s="1"/>
  <c r="A1255"/>
  <c r="B1255"/>
  <c r="C1255"/>
  <c r="A1256"/>
  <c r="B1256"/>
  <c r="A1257"/>
  <c r="B1257"/>
  <c r="C1257"/>
  <c r="A1258"/>
  <c r="B1258"/>
  <c r="C1258"/>
  <c r="Y1258" s="1"/>
  <c r="A1259"/>
  <c r="X1259" s="1"/>
  <c r="B1259"/>
  <c r="C1259"/>
  <c r="A1260"/>
  <c r="B1260"/>
  <c r="A1261"/>
  <c r="B1261"/>
  <c r="C1261"/>
  <c r="A1262"/>
  <c r="M1262" s="1"/>
  <c r="B1262"/>
  <c r="C1262"/>
  <c r="A1263"/>
  <c r="B1263"/>
  <c r="C1263"/>
  <c r="Y1263" s="1"/>
  <c r="A1264"/>
  <c r="B1264"/>
  <c r="A1265"/>
  <c r="B1265"/>
  <c r="C1265"/>
  <c r="A1266"/>
  <c r="B1266"/>
  <c r="C1266"/>
  <c r="Y1266" s="1"/>
  <c r="A1267"/>
  <c r="M1267" s="1"/>
  <c r="B1267"/>
  <c r="C1267"/>
  <c r="Y1267" s="1"/>
  <c r="A1268"/>
  <c r="X1268" s="1"/>
  <c r="B1268"/>
  <c r="A1269"/>
  <c r="B1269"/>
  <c r="C1269"/>
  <c r="A1270"/>
  <c r="B1270"/>
  <c r="C1270"/>
  <c r="A1271"/>
  <c r="X1271" s="1"/>
  <c r="B1271"/>
  <c r="C1271"/>
  <c r="Y1271" s="1"/>
  <c r="A1272"/>
  <c r="M1272" s="1"/>
  <c r="B1272"/>
  <c r="A1273"/>
  <c r="B1273"/>
  <c r="C1273"/>
  <c r="A1274"/>
  <c r="X1274" s="1"/>
  <c r="B1274"/>
  <c r="C1274"/>
  <c r="Y1274" s="1"/>
  <c r="A1275"/>
  <c r="M1275" s="1"/>
  <c r="B1275"/>
  <c r="C1275"/>
  <c r="N1275" s="1"/>
  <c r="A1276"/>
  <c r="B1276"/>
  <c r="A1277"/>
  <c r="B1277"/>
  <c r="C1277"/>
  <c r="A1278"/>
  <c r="B1278"/>
  <c r="C1278"/>
  <c r="A1279"/>
  <c r="M1279" s="1"/>
  <c r="B1279"/>
  <c r="C1279"/>
  <c r="A1280"/>
  <c r="X1280" s="1"/>
  <c r="B1280"/>
  <c r="A1281"/>
  <c r="X1281" s="1"/>
  <c r="B1281"/>
  <c r="C1281"/>
  <c r="A1282"/>
  <c r="X1282" s="1"/>
  <c r="B1282"/>
  <c r="C1282"/>
  <c r="A1283"/>
  <c r="B1283"/>
  <c r="C1283"/>
  <c r="A1284"/>
  <c r="X1284" s="1"/>
  <c r="B1284"/>
  <c r="A1285"/>
  <c r="B1285"/>
  <c r="C1285"/>
  <c r="A1286"/>
  <c r="B1286"/>
  <c r="C1286"/>
  <c r="A1287"/>
  <c r="B1287"/>
  <c r="C1287"/>
  <c r="A1288"/>
  <c r="M1288" s="1"/>
  <c r="B1288"/>
  <c r="A1289"/>
  <c r="B1289"/>
  <c r="C1289"/>
  <c r="N1289" s="1"/>
  <c r="A1290"/>
  <c r="B1290"/>
  <c r="C1290"/>
  <c r="Y1290" s="1"/>
  <c r="A1291"/>
  <c r="B1291"/>
  <c r="C1291"/>
  <c r="A1292"/>
  <c r="B1292"/>
  <c r="A1293"/>
  <c r="B1293"/>
  <c r="C1293"/>
  <c r="A1294"/>
  <c r="X1294" s="1"/>
  <c r="B1294"/>
  <c r="C1294"/>
  <c r="A1295"/>
  <c r="M1295" s="1"/>
  <c r="B1295"/>
  <c r="C1295"/>
  <c r="A1296"/>
  <c r="B1296"/>
  <c r="A1297"/>
  <c r="X1297" s="1"/>
  <c r="B1297"/>
  <c r="C1297"/>
  <c r="N1297" s="1"/>
  <c r="A1298"/>
  <c r="X1298" s="1"/>
  <c r="B1298"/>
  <c r="C1298"/>
  <c r="Y1298" s="1"/>
  <c r="A1299"/>
  <c r="B1299"/>
  <c r="C1299"/>
  <c r="A1300"/>
  <c r="X1300" s="1"/>
  <c r="B1300"/>
  <c r="A1301"/>
  <c r="X1301" s="1"/>
  <c r="B1301"/>
  <c r="C1301"/>
  <c r="Y1301" s="1"/>
  <c r="A1302"/>
  <c r="X1302" s="1"/>
  <c r="B1302"/>
  <c r="C1302"/>
  <c r="A1303"/>
  <c r="X1303" s="1"/>
  <c r="B1303"/>
  <c r="C1303"/>
  <c r="A1304"/>
  <c r="B1304"/>
  <c r="A1305"/>
  <c r="B1305"/>
  <c r="C1305"/>
  <c r="Y1305" s="1"/>
  <c r="A1306"/>
  <c r="X1306" s="1"/>
  <c r="B1306"/>
  <c r="C1306"/>
  <c r="A1307"/>
  <c r="X1307" s="1"/>
  <c r="B1307"/>
  <c r="C1307"/>
  <c r="A1308"/>
  <c r="X1308" s="1"/>
  <c r="B1308"/>
  <c r="A1309"/>
  <c r="B1309"/>
  <c r="C1309"/>
  <c r="N1309" s="1"/>
  <c r="A1310"/>
  <c r="M1310" s="1"/>
  <c r="B1310"/>
  <c r="C1310"/>
  <c r="A1311"/>
  <c r="X1311" s="1"/>
  <c r="B1311"/>
  <c r="C1311"/>
  <c r="A1312"/>
  <c r="B1312"/>
  <c r="A1313"/>
  <c r="B1313"/>
  <c r="C1313"/>
  <c r="A1314"/>
  <c r="B1314"/>
  <c r="C1314"/>
  <c r="A1315"/>
  <c r="X1315" s="1"/>
  <c r="B1315"/>
  <c r="C1315"/>
  <c r="Y1315" s="1"/>
  <c r="A1316"/>
  <c r="X1316" s="1"/>
  <c r="B1316"/>
  <c r="A1317"/>
  <c r="B1317"/>
  <c r="C1317"/>
  <c r="A1318"/>
  <c r="B1318"/>
  <c r="C1318"/>
  <c r="Y1318" s="1"/>
  <c r="A1319"/>
  <c r="X1319" s="1"/>
  <c r="B1319"/>
  <c r="C1319"/>
  <c r="A1320"/>
  <c r="B1320"/>
  <c r="A1321"/>
  <c r="B1321"/>
  <c r="C1321"/>
  <c r="A1322"/>
  <c r="B1322"/>
  <c r="C1322"/>
  <c r="A1323"/>
  <c r="X1323" s="1"/>
  <c r="B1323"/>
  <c r="C1323"/>
  <c r="N1323" s="1"/>
  <c r="A1324"/>
  <c r="X1324" s="1"/>
  <c r="B1324"/>
  <c r="A1325"/>
  <c r="X1325" s="1"/>
  <c r="B1325"/>
  <c r="C1325"/>
  <c r="A1326"/>
  <c r="B1326"/>
  <c r="C1326"/>
  <c r="A1327"/>
  <c r="B1327"/>
  <c r="C1327"/>
  <c r="Y1327" s="1"/>
  <c r="A1328"/>
  <c r="X1328" s="1"/>
  <c r="B1328"/>
  <c r="A1329"/>
  <c r="M1329" s="1"/>
  <c r="B1329"/>
  <c r="C1329"/>
  <c r="A1330"/>
  <c r="M1330" s="1"/>
  <c r="B1330"/>
  <c r="C1330"/>
  <c r="A1331"/>
  <c r="B1331"/>
  <c r="C1331"/>
  <c r="Y1331" s="1"/>
  <c r="A1332"/>
  <c r="M1332" s="1"/>
  <c r="B1332"/>
  <c r="A1333"/>
  <c r="B1333"/>
  <c r="C1333"/>
  <c r="A1334"/>
  <c r="B1334"/>
  <c r="C1334"/>
  <c r="A1335"/>
  <c r="X1335" s="1"/>
  <c r="B1335"/>
  <c r="C1335"/>
  <c r="N1335" s="1"/>
  <c r="A1336"/>
  <c r="B1336"/>
  <c r="A1337"/>
  <c r="M1337" s="1"/>
  <c r="B1337"/>
  <c r="C1337"/>
  <c r="N1337" s="1"/>
  <c r="A1338"/>
  <c r="X1338" s="1"/>
  <c r="B1338"/>
  <c r="C1338"/>
  <c r="A1339"/>
  <c r="B1339"/>
  <c r="C1339"/>
  <c r="A1340"/>
  <c r="B1340"/>
  <c r="A1341"/>
  <c r="B1341"/>
  <c r="C1341"/>
  <c r="Y1341" s="1"/>
  <c r="A1342"/>
  <c r="X1342" s="1"/>
  <c r="B1342"/>
  <c r="C1342"/>
  <c r="A1343"/>
  <c r="X1343" s="1"/>
  <c r="B1343"/>
  <c r="C1343"/>
  <c r="A1344"/>
  <c r="X1344" s="1"/>
  <c r="B1344"/>
  <c r="A1345"/>
  <c r="B1345"/>
  <c r="C1345"/>
  <c r="N1345" s="1"/>
  <c r="A1346"/>
  <c r="B1346"/>
  <c r="C1346"/>
  <c r="A1347"/>
  <c r="B1347"/>
  <c r="C1347"/>
  <c r="A1348"/>
  <c r="B1348"/>
  <c r="A1349"/>
  <c r="X1349" s="1"/>
  <c r="B1349"/>
  <c r="C1349"/>
  <c r="N1349" s="1"/>
  <c r="A1350"/>
  <c r="X1350" s="1"/>
  <c r="B1350"/>
  <c r="C1350"/>
  <c r="Y1350" s="1"/>
  <c r="A1351"/>
  <c r="X1351" s="1"/>
  <c r="B1351"/>
  <c r="C1351"/>
  <c r="Y1351" s="1"/>
  <c r="A1352"/>
  <c r="B1352"/>
  <c r="A1353"/>
  <c r="B1353"/>
  <c r="C1353"/>
  <c r="A1354"/>
  <c r="X1354" s="1"/>
  <c r="B1354"/>
  <c r="C1354"/>
  <c r="Y1354" s="1"/>
  <c r="A1355"/>
  <c r="M1355" s="1"/>
  <c r="B1355"/>
  <c r="C1355"/>
  <c r="A1356"/>
  <c r="X1356" s="1"/>
  <c r="B1356"/>
  <c r="A1357"/>
  <c r="B1357"/>
  <c r="C1357"/>
  <c r="A1358"/>
  <c r="B1358"/>
  <c r="C1358"/>
  <c r="N1358" s="1"/>
  <c r="A1359"/>
  <c r="X1359" s="1"/>
  <c r="B1359"/>
  <c r="C1359"/>
  <c r="Y1359" s="1"/>
  <c r="A1360"/>
  <c r="B1360"/>
  <c r="A1361"/>
  <c r="B1361"/>
  <c r="C1361"/>
  <c r="A1362"/>
  <c r="M1362" s="1"/>
  <c r="B1362"/>
  <c r="C1362"/>
  <c r="A1363"/>
  <c r="M1363" s="1"/>
  <c r="B1363"/>
  <c r="C1363"/>
  <c r="A1364"/>
  <c r="X1364" s="1"/>
  <c r="B1364"/>
  <c r="A1365"/>
  <c r="B1365"/>
  <c r="C1365"/>
  <c r="A1366"/>
  <c r="B1366"/>
  <c r="C1366"/>
  <c r="A1367"/>
  <c r="X1367" s="1"/>
  <c r="B1367"/>
  <c r="C1367"/>
  <c r="Y1367" s="1"/>
  <c r="A1368"/>
  <c r="X1368" s="1"/>
  <c r="B1368"/>
  <c r="A1369"/>
  <c r="B1369"/>
  <c r="C1369"/>
  <c r="A1370"/>
  <c r="X1370" s="1"/>
  <c r="B1370"/>
  <c r="C1370"/>
  <c r="N1370" s="1"/>
  <c r="A1371"/>
  <c r="B1371"/>
  <c r="C1371"/>
  <c r="N1371" s="1"/>
  <c r="A1372"/>
  <c r="B1372"/>
  <c r="A1373"/>
  <c r="B1373"/>
  <c r="C1373"/>
  <c r="A1374"/>
  <c r="B1374"/>
  <c r="C1374"/>
  <c r="A1375"/>
  <c r="X1375" s="1"/>
  <c r="B1375"/>
  <c r="C1375"/>
  <c r="N1375" s="1"/>
  <c r="A1376"/>
  <c r="M1376" s="1"/>
  <c r="B1376"/>
  <c r="A1377"/>
  <c r="X1377" s="1"/>
  <c r="B1377"/>
  <c r="C1377"/>
  <c r="A1378"/>
  <c r="X1378" s="1"/>
  <c r="B1378"/>
  <c r="C1378"/>
  <c r="A1379"/>
  <c r="B1379"/>
  <c r="C1379"/>
  <c r="A1380"/>
  <c r="B1380"/>
  <c r="A1381"/>
  <c r="X1381" s="1"/>
  <c r="B1381"/>
  <c r="C1381"/>
  <c r="N1381" s="1"/>
  <c r="A1382"/>
  <c r="B1382"/>
  <c r="C1382"/>
  <c r="A1383"/>
  <c r="B1383"/>
  <c r="C1383"/>
  <c r="Y1383" s="1"/>
  <c r="A1384"/>
  <c r="M1384" s="1"/>
  <c r="B1384"/>
  <c r="A1385"/>
  <c r="M1385" s="1"/>
  <c r="B1385"/>
  <c r="C1385"/>
  <c r="A1386"/>
  <c r="X1386" s="1"/>
  <c r="B1386"/>
  <c r="C1386"/>
  <c r="Y1386" s="1"/>
  <c r="A1387"/>
  <c r="B1387"/>
  <c r="C1387"/>
  <c r="A1388"/>
  <c r="B1388"/>
  <c r="A1389"/>
  <c r="B1389"/>
  <c r="C1389"/>
  <c r="A1390"/>
  <c r="X1390" s="1"/>
  <c r="B1390"/>
  <c r="C1390"/>
  <c r="A1391"/>
  <c r="B1391"/>
  <c r="C1391"/>
  <c r="A1392"/>
  <c r="B1392"/>
  <c r="A1393"/>
  <c r="B1393"/>
  <c r="C1393"/>
  <c r="Y1393" s="1"/>
  <c r="A1394"/>
  <c r="B1394"/>
  <c r="C1394"/>
  <c r="Y1394" s="1"/>
  <c r="A1395"/>
  <c r="B1395"/>
  <c r="C1395"/>
  <c r="A1396"/>
  <c r="X1396" s="1"/>
  <c r="B1396"/>
  <c r="A1397"/>
  <c r="B1397"/>
  <c r="C1397"/>
  <c r="Y1397" s="1"/>
  <c r="A1398"/>
  <c r="M1398" s="1"/>
  <c r="B1398"/>
  <c r="C1398"/>
  <c r="Y1398" s="1"/>
  <c r="A1399"/>
  <c r="X1399" s="1"/>
  <c r="B1399"/>
  <c r="C1399"/>
  <c r="A1400"/>
  <c r="B1400"/>
  <c r="A1401"/>
  <c r="M1401" s="1"/>
  <c r="B1401"/>
  <c r="C1401"/>
  <c r="N1401" s="1"/>
  <c r="A1402"/>
  <c r="X1402" s="1"/>
  <c r="B1402"/>
  <c r="C1402"/>
  <c r="A1403"/>
  <c r="X1403" s="1"/>
  <c r="B1403"/>
  <c r="C1403"/>
  <c r="A1404"/>
  <c r="B1404"/>
  <c r="A1405"/>
  <c r="B1405"/>
  <c r="C1405"/>
  <c r="A1406"/>
  <c r="B1406"/>
  <c r="C1406"/>
  <c r="Y1406" s="1"/>
  <c r="A1407"/>
  <c r="X1407" s="1"/>
  <c r="B1407"/>
  <c r="C1407"/>
  <c r="A1408"/>
  <c r="B1408"/>
  <c r="A1409"/>
  <c r="B1409"/>
  <c r="C1409"/>
  <c r="A1410"/>
  <c r="B1410"/>
  <c r="C1410"/>
  <c r="A1411"/>
  <c r="X1411" s="1"/>
  <c r="B1411"/>
  <c r="C1411"/>
  <c r="Y1411" s="1"/>
  <c r="A1412"/>
  <c r="X1412" s="1"/>
  <c r="B1412"/>
  <c r="A1413"/>
  <c r="B1413"/>
  <c r="C1413"/>
  <c r="N1413" s="1"/>
  <c r="A1414"/>
  <c r="B1414"/>
  <c r="C1414"/>
  <c r="Y1414" s="1"/>
  <c r="A1415"/>
  <c r="B1415"/>
  <c r="C1415"/>
  <c r="A1416"/>
  <c r="X1416" s="1"/>
  <c r="B1416"/>
  <c r="A1417"/>
  <c r="B1417"/>
  <c r="C1417"/>
  <c r="A1418"/>
  <c r="B1418"/>
  <c r="C1418"/>
  <c r="A1419"/>
  <c r="X1419" s="1"/>
  <c r="B1419"/>
  <c r="C1419"/>
  <c r="Y1419" s="1"/>
  <c r="A1420"/>
  <c r="B1420"/>
  <c r="A1421"/>
  <c r="X1421" s="1"/>
  <c r="B1421"/>
  <c r="C1421"/>
  <c r="A1422"/>
  <c r="B1422"/>
  <c r="C1422"/>
  <c r="A1423"/>
  <c r="X1423" s="1"/>
  <c r="B1423"/>
  <c r="C1423"/>
  <c r="Y1423" s="1"/>
  <c r="A1424"/>
  <c r="B1424"/>
  <c r="A1425"/>
  <c r="M1425" s="1"/>
  <c r="B1425"/>
  <c r="C1425"/>
  <c r="A1426"/>
  <c r="M1426" s="1"/>
  <c r="B1426"/>
  <c r="C1426"/>
  <c r="A1427"/>
  <c r="B1427"/>
  <c r="C1427"/>
  <c r="A1428"/>
  <c r="M1428" s="1"/>
  <c r="B1428"/>
  <c r="A1429"/>
  <c r="M1429" s="1"/>
  <c r="B1429"/>
  <c r="C1429"/>
  <c r="Y1429" s="1"/>
  <c r="A1430"/>
  <c r="B1430"/>
  <c r="C1430"/>
  <c r="A1431"/>
  <c r="X1431" s="1"/>
  <c r="B1431"/>
  <c r="C1431"/>
  <c r="A1432"/>
  <c r="X1432" s="1"/>
  <c r="B1432"/>
  <c r="A1433"/>
  <c r="X1433" s="1"/>
  <c r="B1433"/>
  <c r="C1433"/>
  <c r="Y1433" s="1"/>
  <c r="A1434"/>
  <c r="X1434" s="1"/>
  <c r="B1434"/>
  <c r="C1434"/>
  <c r="A1435"/>
  <c r="B1435"/>
  <c r="C1435"/>
  <c r="A1436"/>
  <c r="X1436" s="1"/>
  <c r="B1436"/>
  <c r="A1437"/>
  <c r="B1437"/>
  <c r="C1437"/>
  <c r="A1438"/>
  <c r="M1438" s="1"/>
  <c r="B1438"/>
  <c r="C1438"/>
  <c r="A1439"/>
  <c r="X1439" s="1"/>
  <c r="B1439"/>
  <c r="C1439"/>
  <c r="A1440"/>
  <c r="X1440" s="1"/>
  <c r="B1440"/>
  <c r="A1441"/>
  <c r="B1441"/>
  <c r="C1441"/>
  <c r="N1441" s="1"/>
  <c r="A1442"/>
  <c r="B1442"/>
  <c r="C1442"/>
  <c r="N1442" s="1"/>
  <c r="A1443"/>
  <c r="B1443"/>
  <c r="C1443"/>
  <c r="A1444"/>
  <c r="X1444" s="1"/>
  <c r="B1444"/>
  <c r="A1445"/>
  <c r="X1445" s="1"/>
  <c r="B1445"/>
  <c r="C1445"/>
  <c r="A1446"/>
  <c r="X1446" s="1"/>
  <c r="B1446"/>
  <c r="C1446"/>
  <c r="N1446" s="1"/>
  <c r="A1447"/>
  <c r="X1447" s="1"/>
  <c r="B1447"/>
  <c r="C1447"/>
  <c r="N1447" s="1"/>
  <c r="A1448"/>
  <c r="B1448"/>
  <c r="A1449"/>
  <c r="B1449"/>
  <c r="C1449"/>
  <c r="N1449" s="1"/>
  <c r="A1450"/>
  <c r="X1450" s="1"/>
  <c r="B1450"/>
  <c r="C1450"/>
  <c r="A1451"/>
  <c r="M1451" s="1"/>
  <c r="B1451"/>
  <c r="C1451"/>
  <c r="A1452"/>
  <c r="X1452" s="1"/>
  <c r="B1452"/>
  <c r="A1453"/>
  <c r="B1453"/>
  <c r="C1453"/>
  <c r="A1454"/>
  <c r="B1454"/>
  <c r="C1454"/>
  <c r="N1454" s="1"/>
  <c r="A1455"/>
  <c r="M1455" s="1"/>
  <c r="B1455"/>
  <c r="C1455"/>
  <c r="Y1455" s="1"/>
  <c r="A1456"/>
  <c r="B1456"/>
  <c r="A1457"/>
  <c r="B1457"/>
  <c r="C1457"/>
  <c r="A1458"/>
  <c r="X1458" s="1"/>
  <c r="B1458"/>
  <c r="C1458"/>
  <c r="A1459"/>
  <c r="X1459" s="1"/>
  <c r="B1459"/>
  <c r="C1459"/>
  <c r="N1459" s="1"/>
  <c r="A1460"/>
  <c r="X1460" s="1"/>
  <c r="B1460"/>
  <c r="A1461"/>
  <c r="M1461" s="1"/>
  <c r="B1461"/>
  <c r="C1461"/>
  <c r="A1462"/>
  <c r="B1462"/>
  <c r="C1462"/>
  <c r="A1463"/>
  <c r="X1463" s="1"/>
  <c r="B1463"/>
  <c r="C1463"/>
  <c r="Y1463" s="1"/>
  <c r="A1464"/>
  <c r="M1464" s="1"/>
  <c r="B1464"/>
  <c r="A1465"/>
  <c r="B1465"/>
  <c r="C1465"/>
  <c r="A1466"/>
  <c r="B1466"/>
  <c r="C1466"/>
  <c r="A1467"/>
  <c r="B1467"/>
  <c r="C1467"/>
  <c r="Y1467" s="1"/>
  <c r="A1468"/>
  <c r="X1468" s="1"/>
  <c r="B1468"/>
  <c r="A1469"/>
  <c r="B1469"/>
  <c r="C1469"/>
  <c r="Y1469" s="1"/>
  <c r="A1470"/>
  <c r="B1470"/>
  <c r="C1470"/>
  <c r="A1471"/>
  <c r="X1471" s="1"/>
  <c r="B1471"/>
  <c r="C1471"/>
  <c r="A1472"/>
  <c r="M1472" s="1"/>
  <c r="B1472"/>
  <c r="A1473"/>
  <c r="M1473" s="1"/>
  <c r="B1473"/>
  <c r="C1473"/>
  <c r="A1474"/>
  <c r="B1474"/>
  <c r="C1474"/>
  <c r="A1475"/>
  <c r="B1475"/>
  <c r="C1475"/>
  <c r="A1476"/>
  <c r="X1476" s="1"/>
  <c r="B1476"/>
  <c r="A1477"/>
  <c r="B1477"/>
  <c r="C1477"/>
  <c r="A1478"/>
  <c r="B1478"/>
  <c r="C1478"/>
  <c r="A1479"/>
  <c r="B1479"/>
  <c r="C1479"/>
  <c r="A1480"/>
  <c r="B1480"/>
  <c r="A1481"/>
  <c r="B1481"/>
  <c r="C1481"/>
  <c r="A1482"/>
  <c r="X1482" s="1"/>
  <c r="B1482"/>
  <c r="C1482"/>
  <c r="Y1482" s="1"/>
  <c r="A1483"/>
  <c r="B1483"/>
  <c r="C1483"/>
  <c r="A1484"/>
  <c r="B1484"/>
  <c r="A1485"/>
  <c r="B1485"/>
  <c r="C1485"/>
  <c r="N1485" s="1"/>
  <c r="A1486"/>
  <c r="M1486" s="1"/>
  <c r="B1486"/>
  <c r="C1486"/>
  <c r="A1487"/>
  <c r="X1487" s="1"/>
  <c r="B1487"/>
  <c r="C1487"/>
  <c r="A1488"/>
  <c r="B1488"/>
  <c r="A1489"/>
  <c r="B1489"/>
  <c r="C1489"/>
  <c r="N1489" s="1"/>
  <c r="A1490"/>
  <c r="X1490" s="1"/>
  <c r="B1490"/>
  <c r="C1490"/>
  <c r="Y1490" s="1"/>
  <c r="A1491"/>
  <c r="B1491"/>
  <c r="C1491"/>
  <c r="A1492"/>
  <c r="X1492" s="1"/>
  <c r="B1492"/>
  <c r="A1493"/>
  <c r="M1493" s="1"/>
  <c r="B1493"/>
  <c r="C1493"/>
  <c r="Y1493" s="1"/>
  <c r="A1494"/>
  <c r="B1494"/>
  <c r="C1494"/>
  <c r="Y1494" s="1"/>
  <c r="A1495"/>
  <c r="X1495" s="1"/>
  <c r="B1495"/>
  <c r="C1495"/>
  <c r="Y1495" s="1"/>
  <c r="A1496"/>
  <c r="B1496"/>
  <c r="A1497"/>
  <c r="B1497"/>
  <c r="C1497"/>
  <c r="A1498"/>
  <c r="X1498" s="1"/>
  <c r="B1498"/>
  <c r="C1498"/>
  <c r="A1499"/>
  <c r="X1499" s="1"/>
  <c r="B1499"/>
  <c r="C1499"/>
  <c r="A1500"/>
  <c r="B1500"/>
  <c r="A1501"/>
  <c r="B1501"/>
  <c r="C1501"/>
  <c r="A1502"/>
  <c r="M1502" s="1"/>
  <c r="B1502"/>
  <c r="C1502"/>
  <c r="A1503"/>
  <c r="X1503" s="1"/>
  <c r="B1503"/>
  <c r="C1503"/>
  <c r="A1504"/>
  <c r="B1504"/>
  <c r="A1505"/>
  <c r="B1505"/>
  <c r="C1505"/>
  <c r="A1506"/>
  <c r="B1506"/>
  <c r="C1506"/>
  <c r="N1506" s="1"/>
  <c r="A1507"/>
  <c r="X1507" s="1"/>
  <c r="B1507"/>
  <c r="C1507"/>
  <c r="A1508"/>
  <c r="X1508" s="1"/>
  <c r="B1508"/>
  <c r="A1509"/>
  <c r="X1509" s="1"/>
  <c r="B1509"/>
  <c r="C1509"/>
  <c r="A1510"/>
  <c r="B1510"/>
  <c r="C1510"/>
  <c r="A1511"/>
  <c r="X1511" s="1"/>
  <c r="B1511"/>
  <c r="C1511"/>
  <c r="A1512"/>
  <c r="X1512" s="1"/>
  <c r="B1512"/>
  <c r="A1513"/>
  <c r="B1513"/>
  <c r="C1513"/>
  <c r="A1514"/>
  <c r="B1514"/>
  <c r="C1514"/>
  <c r="Y1514" s="1"/>
  <c r="A1515"/>
  <c r="B1515"/>
  <c r="C1515"/>
  <c r="N1515" s="1"/>
  <c r="A1516"/>
  <c r="B1516"/>
  <c r="A1517"/>
  <c r="B1517"/>
  <c r="C1517"/>
  <c r="A1518"/>
  <c r="B1518"/>
  <c r="C1518"/>
  <c r="A1519"/>
  <c r="M1519" s="1"/>
  <c r="B1519"/>
  <c r="C1519"/>
  <c r="A1520"/>
  <c r="X1520" s="1"/>
  <c r="B1520"/>
  <c r="A1521"/>
  <c r="X1521" s="1"/>
  <c r="B1521"/>
  <c r="C1521"/>
  <c r="A1522"/>
  <c r="B1522"/>
  <c r="C1522"/>
  <c r="A1523"/>
  <c r="B1523"/>
  <c r="C1523"/>
  <c r="Y1523" s="1"/>
  <c r="A1524"/>
  <c r="X1524" s="1"/>
  <c r="B1524"/>
  <c r="A1525"/>
  <c r="M1525" s="1"/>
  <c r="B1525"/>
  <c r="C1525"/>
  <c r="Y1525" s="1"/>
  <c r="A1526"/>
  <c r="B1526"/>
  <c r="C1526"/>
  <c r="A1527"/>
  <c r="X1527" s="1"/>
  <c r="B1527"/>
  <c r="C1527"/>
  <c r="A1528"/>
  <c r="B1528"/>
  <c r="A1529"/>
  <c r="M1529" s="1"/>
  <c r="B1529"/>
  <c r="C1529"/>
  <c r="N1529" s="1"/>
  <c r="A1530"/>
  <c r="X1530" s="1"/>
  <c r="B1530"/>
  <c r="C1530"/>
  <c r="Y1530" s="1"/>
  <c r="A1531"/>
  <c r="B1531"/>
  <c r="C1531"/>
  <c r="A1532"/>
  <c r="B1532"/>
  <c r="A1533"/>
  <c r="B1533"/>
  <c r="C1533"/>
  <c r="A1534"/>
  <c r="B1534"/>
  <c r="C1534"/>
  <c r="A1535"/>
  <c r="X1535" s="1"/>
  <c r="B1535"/>
  <c r="C1535"/>
  <c r="A1536"/>
  <c r="B1536"/>
  <c r="A1537"/>
  <c r="B1537"/>
  <c r="C1537"/>
  <c r="A1538"/>
  <c r="X1538" s="1"/>
  <c r="B1538"/>
  <c r="C1538"/>
  <c r="A1539"/>
  <c r="B1539"/>
  <c r="C1539"/>
  <c r="A1540"/>
  <c r="B1540"/>
  <c r="A1541"/>
  <c r="B1541"/>
  <c r="C1541"/>
  <c r="N1541" s="1"/>
  <c r="A1542"/>
  <c r="M1542" s="1"/>
  <c r="B1542"/>
  <c r="C1542"/>
  <c r="N1542" s="1"/>
  <c r="A1543"/>
  <c r="X1543" s="1"/>
  <c r="B1543"/>
  <c r="C1543"/>
  <c r="Y1543" s="1"/>
  <c r="A1544"/>
  <c r="B1544"/>
  <c r="A1545"/>
  <c r="B1545"/>
  <c r="C1545"/>
  <c r="A1546"/>
  <c r="X1546" s="1"/>
  <c r="B1546"/>
  <c r="C1546"/>
  <c r="Y1546" s="1"/>
  <c r="A1547"/>
  <c r="X1547" s="1"/>
  <c r="B1547"/>
  <c r="C1547"/>
  <c r="A1548"/>
  <c r="X1548" s="1"/>
  <c r="B1548"/>
  <c r="A1549"/>
  <c r="B1549"/>
  <c r="C1549"/>
  <c r="A1550"/>
  <c r="B1550"/>
  <c r="C1550"/>
  <c r="Y1550" s="1"/>
  <c r="A1551"/>
  <c r="X1551" s="1"/>
  <c r="B1551"/>
  <c r="C1551"/>
  <c r="Y1551" s="1"/>
  <c r="A1552"/>
  <c r="B1552"/>
  <c r="A1553"/>
  <c r="B1553"/>
  <c r="C1553"/>
  <c r="A1554"/>
  <c r="X1554" s="1"/>
  <c r="B1554"/>
  <c r="C1554"/>
  <c r="N1554" s="1"/>
  <c r="A1555"/>
  <c r="M1555" s="1"/>
  <c r="B1555"/>
  <c r="C1555"/>
  <c r="N1555" s="1"/>
  <c r="A1556"/>
  <c r="X1556" s="1"/>
  <c r="B1556"/>
  <c r="A1557"/>
  <c r="X1557" s="1"/>
  <c r="B1557"/>
  <c r="C1557"/>
  <c r="A1558"/>
  <c r="B1558"/>
  <c r="C1558"/>
  <c r="A1559"/>
  <c r="X1559" s="1"/>
  <c r="B1559"/>
  <c r="C1559"/>
  <c r="Y1559" s="1"/>
  <c r="A1560"/>
  <c r="M1560" s="1"/>
  <c r="B1560"/>
  <c r="A1561"/>
  <c r="B1561"/>
  <c r="C1561"/>
  <c r="A1562"/>
  <c r="X1562" s="1"/>
  <c r="B1562"/>
  <c r="C1562"/>
  <c r="A1563"/>
  <c r="B1563"/>
  <c r="C1563"/>
  <c r="Y1563" s="1"/>
  <c r="A1564"/>
  <c r="X1564" s="1"/>
  <c r="B1564"/>
  <c r="A1565"/>
  <c r="B1565"/>
  <c r="C1565"/>
  <c r="A1566"/>
  <c r="B1566"/>
  <c r="C1566"/>
  <c r="A1567"/>
  <c r="X1567" s="1"/>
  <c r="B1567"/>
  <c r="C1567"/>
  <c r="A1568"/>
  <c r="M1568" s="1"/>
  <c r="B1568"/>
  <c r="A1569"/>
  <c r="M1569" s="1"/>
  <c r="B1569"/>
  <c r="C1569"/>
  <c r="A1570"/>
  <c r="X1570" s="1"/>
  <c r="B1570"/>
  <c r="C1570"/>
  <c r="A1571"/>
  <c r="B1571"/>
  <c r="C1571"/>
  <c r="A1572"/>
  <c r="X1572" s="1"/>
  <c r="B1572"/>
  <c r="A1573"/>
  <c r="B1573"/>
  <c r="C1573"/>
  <c r="N1573" s="1"/>
  <c r="A1574"/>
  <c r="B1574"/>
  <c r="C1574"/>
  <c r="A1575"/>
  <c r="B1575"/>
  <c r="C1575"/>
  <c r="Y1575" s="1"/>
  <c r="A1576"/>
  <c r="B1576"/>
  <c r="A1577"/>
  <c r="X1577" s="1"/>
  <c r="B1577"/>
  <c r="C1577"/>
  <c r="Y1577" s="1"/>
  <c r="A1578"/>
  <c r="X1578" s="1"/>
  <c r="B1578"/>
  <c r="C1578"/>
  <c r="A1579"/>
  <c r="B1579"/>
  <c r="C1579"/>
  <c r="A1580"/>
  <c r="B1580"/>
  <c r="A1581"/>
  <c r="X1581" s="1"/>
  <c r="B1581"/>
  <c r="C1581"/>
  <c r="A1582"/>
  <c r="M1582" s="1"/>
  <c r="B1582"/>
  <c r="C1582"/>
  <c r="A1583"/>
  <c r="B1583"/>
  <c r="C1583"/>
  <c r="A1584"/>
  <c r="B1584"/>
  <c r="A1585"/>
  <c r="M1585" s="1"/>
  <c r="B1585"/>
  <c r="C1585"/>
  <c r="N1585" s="1"/>
  <c r="A1586"/>
  <c r="B1586"/>
  <c r="C1586"/>
  <c r="Y1586" s="1"/>
  <c r="A1587"/>
  <c r="B1587"/>
  <c r="C1587"/>
  <c r="A1588"/>
  <c r="X1588" s="1"/>
  <c r="B1588"/>
  <c r="A1589"/>
  <c r="B1589"/>
  <c r="C1589"/>
  <c r="Y1589" s="1"/>
  <c r="A1590"/>
  <c r="X1590" s="1"/>
  <c r="B1590"/>
  <c r="C1590"/>
  <c r="A1591"/>
  <c r="X1591" s="1"/>
  <c r="B1591"/>
  <c r="C1591"/>
  <c r="N1591" s="1"/>
  <c r="A1592"/>
  <c r="B1592"/>
  <c r="A1593"/>
  <c r="B1593"/>
  <c r="C1593"/>
  <c r="A1594"/>
  <c r="X1594" s="1"/>
  <c r="B1594"/>
  <c r="C1594"/>
  <c r="Y1594" s="1"/>
  <c r="A1595"/>
  <c r="X1595" s="1"/>
  <c r="B1595"/>
  <c r="C1595"/>
  <c r="A1596"/>
  <c r="X1596" s="1"/>
  <c r="B1596"/>
  <c r="A1597"/>
  <c r="B1597"/>
  <c r="C1597"/>
  <c r="Y1597" s="1"/>
  <c r="A1598"/>
  <c r="B1598"/>
  <c r="C1598"/>
  <c r="N1598" s="1"/>
  <c r="A1599"/>
  <c r="M1599" s="1"/>
  <c r="B1599"/>
  <c r="C1599"/>
  <c r="N1599" s="1"/>
  <c r="A1600"/>
  <c r="B1600"/>
  <c r="A1601"/>
  <c r="B1601"/>
  <c r="C1601"/>
  <c r="A1602"/>
  <c r="B1602"/>
  <c r="C1602"/>
  <c r="A1603"/>
  <c r="B1603"/>
  <c r="C1603"/>
  <c r="Y1603" s="1"/>
  <c r="A1604"/>
  <c r="X1604" s="1"/>
  <c r="B1604"/>
  <c r="A1605"/>
  <c r="X1605" s="1"/>
  <c r="B1605"/>
  <c r="C1605"/>
  <c r="A1606"/>
  <c r="B1606"/>
  <c r="C1606"/>
  <c r="Y1606" s="1"/>
  <c r="A1607"/>
  <c r="B1607"/>
  <c r="C1607"/>
  <c r="Y1607" s="1"/>
  <c r="A1608"/>
  <c r="M1608" s="1"/>
  <c r="B1608"/>
  <c r="A1609"/>
  <c r="B1609"/>
  <c r="C1609"/>
  <c r="A1610"/>
  <c r="B1610"/>
  <c r="C1610"/>
  <c r="A1611"/>
  <c r="B1611"/>
  <c r="C1611"/>
  <c r="Y1611" s="1"/>
  <c r="A1612"/>
  <c r="M1612" s="1"/>
  <c r="B1612"/>
  <c r="A1613"/>
  <c r="X1613" s="1"/>
  <c r="B1613"/>
  <c r="C1613"/>
  <c r="A1614"/>
  <c r="B1614"/>
  <c r="C1614"/>
  <c r="A1615"/>
  <c r="X1615" s="1"/>
  <c r="B1615"/>
  <c r="C1615"/>
  <c r="Y1615" s="1"/>
  <c r="A1616"/>
  <c r="M1616" s="1"/>
  <c r="B1616"/>
  <c r="A1617"/>
  <c r="X1617" s="1"/>
  <c r="B1617"/>
  <c r="C1617"/>
  <c r="A1618"/>
  <c r="B1618"/>
  <c r="C1618"/>
  <c r="Y1618" s="1"/>
  <c r="A1619"/>
  <c r="B1619"/>
  <c r="C1619"/>
  <c r="Y1619" s="1"/>
  <c r="A1620"/>
  <c r="X1620" s="1"/>
  <c r="B1620"/>
  <c r="A1621"/>
  <c r="B1621"/>
  <c r="C1621"/>
  <c r="Y1621" s="1"/>
  <c r="A1622"/>
  <c r="B1622"/>
  <c r="C1622"/>
  <c r="A1623"/>
  <c r="X1623" s="1"/>
  <c r="B1623"/>
  <c r="C1623"/>
  <c r="A1624"/>
  <c r="M1624" s="1"/>
  <c r="B1624"/>
  <c r="A1625"/>
  <c r="M1625" s="1"/>
  <c r="B1625"/>
  <c r="C1625"/>
  <c r="A1626"/>
  <c r="X1626" s="1"/>
  <c r="B1626"/>
  <c r="C1626"/>
  <c r="A1627"/>
  <c r="B1627"/>
  <c r="C1627"/>
  <c r="A1628"/>
  <c r="X1628" s="1"/>
  <c r="B1628"/>
  <c r="A1629"/>
  <c r="B1629"/>
  <c r="C1629"/>
  <c r="N1629" s="1"/>
  <c r="A1630"/>
  <c r="X1630" s="1"/>
  <c r="B1630"/>
  <c r="C1630"/>
  <c r="A1631"/>
  <c r="X1631" s="1"/>
  <c r="B1631"/>
  <c r="C1631"/>
  <c r="A1632"/>
  <c r="B1632"/>
  <c r="A1633"/>
  <c r="B1633"/>
  <c r="C1633"/>
  <c r="N1633" s="1"/>
  <c r="A1634"/>
  <c r="X1634" s="1"/>
  <c r="B1634"/>
  <c r="C1634"/>
  <c r="A1635"/>
  <c r="B1635"/>
  <c r="C1635"/>
  <c r="A1636"/>
  <c r="B1636"/>
  <c r="A1637"/>
  <c r="B1637"/>
  <c r="C1637"/>
  <c r="A1638"/>
  <c r="B1638"/>
  <c r="C1638"/>
  <c r="N1638" s="1"/>
  <c r="A1639"/>
  <c r="B1639"/>
  <c r="C1639"/>
  <c r="Y1639" s="1"/>
  <c r="A1640"/>
  <c r="B1640"/>
  <c r="A1641"/>
  <c r="B1641"/>
  <c r="C1641"/>
  <c r="A1642"/>
  <c r="B1642"/>
  <c r="C1642"/>
  <c r="A1643"/>
  <c r="X1643" s="1"/>
  <c r="B1643"/>
  <c r="C1643"/>
  <c r="A1644"/>
  <c r="B1644"/>
  <c r="A1645"/>
  <c r="B1645"/>
  <c r="C1645"/>
  <c r="A1646"/>
  <c r="B1646"/>
  <c r="C1646"/>
  <c r="N1646" s="1"/>
  <c r="A1647"/>
  <c r="M1647" s="1"/>
  <c r="B1647"/>
  <c r="C1647"/>
  <c r="N1647" s="1"/>
  <c r="A1648"/>
  <c r="B1648"/>
  <c r="A1649"/>
  <c r="B1649"/>
  <c r="C1649"/>
  <c r="A1650"/>
  <c r="B1650"/>
  <c r="C1650"/>
  <c r="A1651"/>
  <c r="M1651" s="1"/>
  <c r="B1651"/>
  <c r="C1651"/>
  <c r="N1651" s="1"/>
  <c r="D3"/>
  <c r="AL3" s="1"/>
  <c r="AM3" s="1"/>
  <c r="D4"/>
  <c r="AL4" s="1"/>
  <c r="AM4" s="1"/>
  <c r="D5"/>
  <c r="AL5" s="1"/>
  <c r="AM5" s="1"/>
  <c r="D6"/>
  <c r="AL6" s="1"/>
  <c r="AM6" s="1"/>
  <c r="D7"/>
  <c r="AL7" s="1"/>
  <c r="AM7" s="1"/>
  <c r="D8"/>
  <c r="AL8" s="1"/>
  <c r="AM8" s="1"/>
  <c r="D9"/>
  <c r="AL9" s="1"/>
  <c r="AM9" s="1"/>
  <c r="D10"/>
  <c r="AL10" s="1"/>
  <c r="AM10" s="1"/>
  <c r="D11"/>
  <c r="AL11" s="1"/>
  <c r="AM11" s="1"/>
  <c r="D12"/>
  <c r="D13"/>
  <c r="D14"/>
  <c r="AL14" s="1"/>
  <c r="AM14" s="1"/>
  <c r="D15"/>
  <c r="AL15" s="1"/>
  <c r="AM15" s="1"/>
  <c r="D16"/>
  <c r="AL16" s="1"/>
  <c r="AM16" s="1"/>
  <c r="D17"/>
  <c r="AL17" s="1"/>
  <c r="AM17" s="1"/>
  <c r="D18"/>
  <c r="AL18" s="1"/>
  <c r="AM18" s="1"/>
  <c r="D19"/>
  <c r="AL19" s="1"/>
  <c r="AM19" s="1"/>
  <c r="D20"/>
  <c r="AL20" s="1"/>
  <c r="AM20" s="1"/>
  <c r="D21"/>
  <c r="AL21" s="1"/>
  <c r="AM21" s="1"/>
  <c r="D22"/>
  <c r="AL22" s="1"/>
  <c r="AM22" s="1"/>
  <c r="D23"/>
  <c r="D24"/>
  <c r="AL24" s="1"/>
  <c r="AM24" s="1"/>
  <c r="D25"/>
  <c r="AL25" s="1"/>
  <c r="AM25" s="1"/>
  <c r="D26"/>
  <c r="AL26" s="1"/>
  <c r="AM26" s="1"/>
  <c r="D27"/>
  <c r="AL27" s="1"/>
  <c r="AM27" s="1"/>
  <c r="D28"/>
  <c r="AL28" s="1"/>
  <c r="AM28" s="1"/>
  <c r="D29"/>
  <c r="AL29" s="1"/>
  <c r="AM29" s="1"/>
  <c r="D30"/>
  <c r="AL30" s="1"/>
  <c r="AM30" s="1"/>
  <c r="D31"/>
  <c r="D32"/>
  <c r="AL32" s="1"/>
  <c r="AM32" s="1"/>
  <c r="D33"/>
  <c r="AL33" s="1"/>
  <c r="AM33" s="1"/>
  <c r="D34"/>
  <c r="AL34" s="1"/>
  <c r="AM34" s="1"/>
  <c r="D35"/>
  <c r="AL35" s="1"/>
  <c r="AM35" s="1"/>
  <c r="D36"/>
  <c r="AL36" s="1"/>
  <c r="AM36" s="1"/>
  <c r="D37"/>
  <c r="AL37" s="1"/>
  <c r="AM37" s="1"/>
  <c r="D38"/>
  <c r="AL38" s="1"/>
  <c r="AM38" s="1"/>
  <c r="D39"/>
  <c r="AL39" s="1"/>
  <c r="AM39" s="1"/>
  <c r="D40"/>
  <c r="AL40" s="1"/>
  <c r="AM40" s="1"/>
  <c r="D41"/>
  <c r="AL41" s="1"/>
  <c r="AM41" s="1"/>
  <c r="D42"/>
  <c r="AL42" s="1"/>
  <c r="AM42" s="1"/>
  <c r="D43"/>
  <c r="AL43" s="1"/>
  <c r="AM43" s="1"/>
  <c r="D44"/>
  <c r="D45"/>
  <c r="AL45" s="1"/>
  <c r="AM45" s="1"/>
  <c r="D46"/>
  <c r="D47"/>
  <c r="AL47" s="1"/>
  <c r="AM47" s="1"/>
  <c r="D48"/>
  <c r="AL48" s="1"/>
  <c r="AM48" s="1"/>
  <c r="D49"/>
  <c r="AL49" s="1"/>
  <c r="AM49" s="1"/>
  <c r="D50"/>
  <c r="AL50" s="1"/>
  <c r="AM50" s="1"/>
  <c r="D51"/>
  <c r="AL51" s="1"/>
  <c r="AM51" s="1"/>
  <c r="D52"/>
  <c r="AL52" s="1"/>
  <c r="AM52" s="1"/>
  <c r="D53"/>
  <c r="AL53" s="1"/>
  <c r="AM53" s="1"/>
  <c r="D54"/>
  <c r="AL54" s="1"/>
  <c r="AM54" s="1"/>
  <c r="D55"/>
  <c r="AL55" s="1"/>
  <c r="AM55" s="1"/>
  <c r="D56"/>
  <c r="AL56" s="1"/>
  <c r="AM56" s="1"/>
  <c r="D57"/>
  <c r="AL57" s="1"/>
  <c r="AM57" s="1"/>
  <c r="D58"/>
  <c r="AL58" s="1"/>
  <c r="AM58" s="1"/>
  <c r="D59"/>
  <c r="AL59" s="1"/>
  <c r="AM59" s="1"/>
  <c r="D60"/>
  <c r="AL60" s="1"/>
  <c r="AM60" s="1"/>
  <c r="D61"/>
  <c r="AL61" s="1"/>
  <c r="AM61" s="1"/>
  <c r="D62"/>
  <c r="AL62" s="1"/>
  <c r="AM62" s="1"/>
  <c r="D63"/>
  <c r="AL63" s="1"/>
  <c r="AM63" s="1"/>
  <c r="D64"/>
  <c r="AL64" s="1"/>
  <c r="AM64" s="1"/>
  <c r="D65"/>
  <c r="D66"/>
  <c r="AL66" s="1"/>
  <c r="AM66" s="1"/>
  <c r="D67"/>
  <c r="AL67" s="1"/>
  <c r="AM67" s="1"/>
  <c r="D68"/>
  <c r="D69"/>
  <c r="AL69" s="1"/>
  <c r="AM69" s="1"/>
  <c r="D70"/>
  <c r="AL70" s="1"/>
  <c r="AM70" s="1"/>
  <c r="D71"/>
  <c r="AL71" s="1"/>
  <c r="AM71" s="1"/>
  <c r="D72"/>
  <c r="AL72" s="1"/>
  <c r="AM72" s="1"/>
  <c r="D73"/>
  <c r="D74"/>
  <c r="AL74" s="1"/>
  <c r="AM74" s="1"/>
  <c r="D75"/>
  <c r="AL75" s="1"/>
  <c r="AM75" s="1"/>
  <c r="D76"/>
  <c r="AL76" s="1"/>
  <c r="AM76" s="1"/>
  <c r="D77"/>
  <c r="AL77" s="1"/>
  <c r="AM77" s="1"/>
  <c r="D78"/>
  <c r="AL78" s="1"/>
  <c r="AM78" s="1"/>
  <c r="D79"/>
  <c r="AL79" s="1"/>
  <c r="AM79" s="1"/>
  <c r="D80"/>
  <c r="AL80" s="1"/>
  <c r="AM80" s="1"/>
  <c r="D81"/>
  <c r="D82"/>
  <c r="AL82" s="1"/>
  <c r="AM82" s="1"/>
  <c r="D83"/>
  <c r="AL83" s="1"/>
  <c r="AM83" s="1"/>
  <c r="D84"/>
  <c r="AL84" s="1"/>
  <c r="AM84" s="1"/>
  <c r="D85"/>
  <c r="AL85" s="1"/>
  <c r="AM85" s="1"/>
  <c r="D86"/>
  <c r="AL86" s="1"/>
  <c r="AM86" s="1"/>
  <c r="D87"/>
  <c r="AL87" s="1"/>
  <c r="AM87" s="1"/>
  <c r="D88"/>
  <c r="AL88" s="1"/>
  <c r="AM88" s="1"/>
  <c r="D89"/>
  <c r="D90"/>
  <c r="AL90" s="1"/>
  <c r="AM90" s="1"/>
  <c r="D91"/>
  <c r="AL91" s="1"/>
  <c r="AM91" s="1"/>
  <c r="D92"/>
  <c r="AL92" s="1"/>
  <c r="AM92" s="1"/>
  <c r="D93"/>
  <c r="AL93" s="1"/>
  <c r="AM93" s="1"/>
  <c r="D94"/>
  <c r="AL94" s="1"/>
  <c r="AM94" s="1"/>
  <c r="D95"/>
  <c r="AL95" s="1"/>
  <c r="AM95" s="1"/>
  <c r="D96"/>
  <c r="AL96" s="1"/>
  <c r="AM96" s="1"/>
  <c r="D97"/>
  <c r="AL97" s="1"/>
  <c r="AM97" s="1"/>
  <c r="D98"/>
  <c r="AL98" s="1"/>
  <c r="AM98" s="1"/>
  <c r="D99"/>
  <c r="AL99" s="1"/>
  <c r="AM99" s="1"/>
  <c r="D100"/>
  <c r="AL100" s="1"/>
  <c r="AM100" s="1"/>
  <c r="D101"/>
  <c r="AL101" s="1"/>
  <c r="AM101" s="1"/>
  <c r="D102"/>
  <c r="AL102" s="1"/>
  <c r="AM102" s="1"/>
  <c r="D103"/>
  <c r="AL103" s="1"/>
  <c r="AM103" s="1"/>
  <c r="D104"/>
  <c r="AL104" s="1"/>
  <c r="AM104" s="1"/>
  <c r="D105"/>
  <c r="D106"/>
  <c r="AL106" s="1"/>
  <c r="AM106" s="1"/>
  <c r="D107"/>
  <c r="AL107" s="1"/>
  <c r="AM107" s="1"/>
  <c r="D108"/>
  <c r="AL108" s="1"/>
  <c r="AM108" s="1"/>
  <c r="D109"/>
  <c r="AL109" s="1"/>
  <c r="AM109" s="1"/>
  <c r="D110"/>
  <c r="AL110" s="1"/>
  <c r="AM110" s="1"/>
  <c r="D111"/>
  <c r="AL111" s="1"/>
  <c r="AM111" s="1"/>
  <c r="D112"/>
  <c r="AL112" s="1"/>
  <c r="AM112" s="1"/>
  <c r="D113"/>
  <c r="D114"/>
  <c r="AL114" s="1"/>
  <c r="AM114" s="1"/>
  <c r="D115"/>
  <c r="AL115" s="1"/>
  <c r="AM115" s="1"/>
  <c r="D116"/>
  <c r="D117"/>
  <c r="AL117" s="1"/>
  <c r="AM117" s="1"/>
  <c r="D118"/>
  <c r="AL118" s="1"/>
  <c r="AM118" s="1"/>
  <c r="D119"/>
  <c r="AL119" s="1"/>
  <c r="AM119" s="1"/>
  <c r="D120"/>
  <c r="AL120" s="1"/>
  <c r="AM120" s="1"/>
  <c r="D121"/>
  <c r="AL121" s="1"/>
  <c r="AM121" s="1"/>
  <c r="D122"/>
  <c r="AL122" s="1"/>
  <c r="AM122" s="1"/>
  <c r="D123"/>
  <c r="AL123" s="1"/>
  <c r="AM123" s="1"/>
  <c r="D124"/>
  <c r="AL124" s="1"/>
  <c r="AM124" s="1"/>
  <c r="D125"/>
  <c r="D126"/>
  <c r="AL126" s="1"/>
  <c r="AM126" s="1"/>
  <c r="D127"/>
  <c r="AL127" s="1"/>
  <c r="AM127" s="1"/>
  <c r="D128"/>
  <c r="AL128" s="1"/>
  <c r="AM128" s="1"/>
  <c r="D129"/>
  <c r="D130"/>
  <c r="AL130" s="1"/>
  <c r="AM130" s="1"/>
  <c r="D131"/>
  <c r="AL131" s="1"/>
  <c r="AM131" s="1"/>
  <c r="D132"/>
  <c r="AL132" s="1"/>
  <c r="AM132" s="1"/>
  <c r="D133"/>
  <c r="AL133" s="1"/>
  <c r="AM133" s="1"/>
  <c r="D134"/>
  <c r="AL134" s="1"/>
  <c r="AM134" s="1"/>
  <c r="D135"/>
  <c r="AL135" s="1"/>
  <c r="AM135" s="1"/>
  <c r="D136"/>
  <c r="AL136" s="1"/>
  <c r="AM136" s="1"/>
  <c r="D137"/>
  <c r="AL137" s="1"/>
  <c r="AM137" s="1"/>
  <c r="D138"/>
  <c r="AL138" s="1"/>
  <c r="AM138" s="1"/>
  <c r="D139"/>
  <c r="AL139" s="1"/>
  <c r="AM139" s="1"/>
  <c r="D140"/>
  <c r="D141"/>
  <c r="AL141" s="1"/>
  <c r="AM141" s="1"/>
  <c r="D142"/>
  <c r="AL142" s="1"/>
  <c r="AM142" s="1"/>
  <c r="D143"/>
  <c r="AL143" s="1"/>
  <c r="AM143" s="1"/>
  <c r="D144"/>
  <c r="AL144" s="1"/>
  <c r="AM144" s="1"/>
  <c r="D145"/>
  <c r="AL145" s="1"/>
  <c r="AM145" s="1"/>
  <c r="D146"/>
  <c r="AL146" s="1"/>
  <c r="AM146" s="1"/>
  <c r="D147"/>
  <c r="AL147" s="1"/>
  <c r="AM147" s="1"/>
  <c r="D148"/>
  <c r="AL148" s="1"/>
  <c r="AM148" s="1"/>
  <c r="D149"/>
  <c r="AL149" s="1"/>
  <c r="AM149" s="1"/>
  <c r="D150"/>
  <c r="AL150" s="1"/>
  <c r="AM150" s="1"/>
  <c r="D151"/>
  <c r="AL151" s="1"/>
  <c r="AM151" s="1"/>
  <c r="D152"/>
  <c r="AL152" s="1"/>
  <c r="AM152" s="1"/>
  <c r="D153"/>
  <c r="AL153" s="1"/>
  <c r="AM153" s="1"/>
  <c r="D154"/>
  <c r="D155"/>
  <c r="AL155" s="1"/>
  <c r="AM155" s="1"/>
  <c r="D156"/>
  <c r="AL156" s="1"/>
  <c r="AM156" s="1"/>
  <c r="D157"/>
  <c r="AL157" s="1"/>
  <c r="AM157" s="1"/>
  <c r="D158"/>
  <c r="AL158" s="1"/>
  <c r="AM158" s="1"/>
  <c r="D159"/>
  <c r="AL159" s="1"/>
  <c r="AM159" s="1"/>
  <c r="D160"/>
  <c r="AL160" s="1"/>
  <c r="AM160" s="1"/>
  <c r="D161"/>
  <c r="AL161" s="1"/>
  <c r="AM161" s="1"/>
  <c r="D162"/>
  <c r="AL162" s="1"/>
  <c r="AM162" s="1"/>
  <c r="D163"/>
  <c r="AL163" s="1"/>
  <c r="AM163" s="1"/>
  <c r="D164"/>
  <c r="D165"/>
  <c r="AL165" s="1"/>
  <c r="AM165" s="1"/>
  <c r="D166"/>
  <c r="AL166" s="1"/>
  <c r="AM166" s="1"/>
  <c r="D167"/>
  <c r="AL167" s="1"/>
  <c r="AM167" s="1"/>
  <c r="D168"/>
  <c r="AL168" s="1"/>
  <c r="AM168" s="1"/>
  <c r="D169"/>
  <c r="AL169" s="1"/>
  <c r="AM169" s="1"/>
  <c r="D170"/>
  <c r="AL170" s="1"/>
  <c r="AM170" s="1"/>
  <c r="D171"/>
  <c r="AL171" s="1"/>
  <c r="AM171" s="1"/>
  <c r="D172"/>
  <c r="AL172" s="1"/>
  <c r="AM172" s="1"/>
  <c r="D173"/>
  <c r="D174"/>
  <c r="AL174" s="1"/>
  <c r="AM174" s="1"/>
  <c r="D175"/>
  <c r="AL175" s="1"/>
  <c r="AM175" s="1"/>
  <c r="D176"/>
  <c r="AL176" s="1"/>
  <c r="AM176" s="1"/>
  <c r="D177"/>
  <c r="AL177" s="1"/>
  <c r="AM177" s="1"/>
  <c r="D178"/>
  <c r="AL178" s="1"/>
  <c r="AM178" s="1"/>
  <c r="D179"/>
  <c r="AL179" s="1"/>
  <c r="AM179" s="1"/>
  <c r="D180"/>
  <c r="AL180" s="1"/>
  <c r="AM180" s="1"/>
  <c r="D181"/>
  <c r="AL181" s="1"/>
  <c r="AM181" s="1"/>
  <c r="D182"/>
  <c r="AL182" s="1"/>
  <c r="AM182" s="1"/>
  <c r="D183"/>
  <c r="AL183" s="1"/>
  <c r="AM183" s="1"/>
  <c r="D184"/>
  <c r="AL184" s="1"/>
  <c r="AM184" s="1"/>
  <c r="D185"/>
  <c r="AL185" s="1"/>
  <c r="AM185" s="1"/>
  <c r="D186"/>
  <c r="AL186" s="1"/>
  <c r="AM186" s="1"/>
  <c r="D187"/>
  <c r="AL187" s="1"/>
  <c r="AM187" s="1"/>
  <c r="D188"/>
  <c r="AL188" s="1"/>
  <c r="AM188" s="1"/>
  <c r="D189"/>
  <c r="D190"/>
  <c r="AL190" s="1"/>
  <c r="AM190" s="1"/>
  <c r="D191"/>
  <c r="AL191" s="1"/>
  <c r="AM191" s="1"/>
  <c r="D192"/>
  <c r="AL192" s="1"/>
  <c r="AM192" s="1"/>
  <c r="D193"/>
  <c r="AL193" s="1"/>
  <c r="AM193" s="1"/>
  <c r="D194"/>
  <c r="D195"/>
  <c r="AL195" s="1"/>
  <c r="AM195" s="1"/>
  <c r="D196"/>
  <c r="AL196" s="1"/>
  <c r="AM196" s="1"/>
  <c r="D197"/>
  <c r="AL197" s="1"/>
  <c r="AM197" s="1"/>
  <c r="D198"/>
  <c r="AL198" s="1"/>
  <c r="AM198" s="1"/>
  <c r="D199"/>
  <c r="AL199" s="1"/>
  <c r="AM199" s="1"/>
  <c r="D200"/>
  <c r="AL200" s="1"/>
  <c r="AM200" s="1"/>
  <c r="D201"/>
  <c r="AL201" s="1"/>
  <c r="AM201" s="1"/>
  <c r="D202"/>
  <c r="D203"/>
  <c r="AL203" s="1"/>
  <c r="AM203" s="1"/>
  <c r="D204"/>
  <c r="AL204" s="1"/>
  <c r="AM204" s="1"/>
  <c r="D205"/>
  <c r="AL205" s="1"/>
  <c r="AM205" s="1"/>
  <c r="D206"/>
  <c r="D207"/>
  <c r="AL207" s="1"/>
  <c r="AM207" s="1"/>
  <c r="D208"/>
  <c r="AL208" s="1"/>
  <c r="AM208" s="1"/>
  <c r="D209"/>
  <c r="AL209" s="1"/>
  <c r="AM209" s="1"/>
  <c r="D210"/>
  <c r="AL210" s="1"/>
  <c r="AM210" s="1"/>
  <c r="D211"/>
  <c r="AL211" s="1"/>
  <c r="AM211" s="1"/>
  <c r="D212"/>
  <c r="AL212" s="1"/>
  <c r="AM212" s="1"/>
  <c r="D213"/>
  <c r="AL213" s="1"/>
  <c r="AM213" s="1"/>
  <c r="D214"/>
  <c r="D215"/>
  <c r="AL215" s="1"/>
  <c r="AM215" s="1"/>
  <c r="D216"/>
  <c r="AL216" s="1"/>
  <c r="AM216" s="1"/>
  <c r="D217"/>
  <c r="D218"/>
  <c r="D219"/>
  <c r="AL219" s="1"/>
  <c r="AM219" s="1"/>
  <c r="D220"/>
  <c r="AL220" s="1"/>
  <c r="AM220" s="1"/>
  <c r="D221"/>
  <c r="D222"/>
  <c r="AL222" s="1"/>
  <c r="AM222" s="1"/>
  <c r="D223"/>
  <c r="D224"/>
  <c r="AL224" s="1"/>
  <c r="AM224" s="1"/>
  <c r="D225"/>
  <c r="AL225" s="1"/>
  <c r="AM225" s="1"/>
  <c r="D226"/>
  <c r="AL226" s="1"/>
  <c r="AM226" s="1"/>
  <c r="D227"/>
  <c r="AL227" s="1"/>
  <c r="AM227" s="1"/>
  <c r="D228"/>
  <c r="AL228" s="1"/>
  <c r="AM228" s="1"/>
  <c r="D229"/>
  <c r="AL229" s="1"/>
  <c r="AM229" s="1"/>
  <c r="D230"/>
  <c r="D231"/>
  <c r="AL231" s="1"/>
  <c r="AM231" s="1"/>
  <c r="D232"/>
  <c r="AL232" s="1"/>
  <c r="AM232" s="1"/>
  <c r="D233"/>
  <c r="AL233" s="1"/>
  <c r="AM233" s="1"/>
  <c r="D234"/>
  <c r="AL234" s="1"/>
  <c r="AM234" s="1"/>
  <c r="D235"/>
  <c r="AL235" s="1"/>
  <c r="AM235" s="1"/>
  <c r="D236"/>
  <c r="AL236" s="1"/>
  <c r="AM236" s="1"/>
  <c r="D237"/>
  <c r="D238"/>
  <c r="AL238" s="1"/>
  <c r="AM238" s="1"/>
  <c r="D239"/>
  <c r="AL239" s="1"/>
  <c r="AM239" s="1"/>
  <c r="D240"/>
  <c r="AL240" s="1"/>
  <c r="AM240" s="1"/>
  <c r="D241"/>
  <c r="AL241" s="1"/>
  <c r="AM241" s="1"/>
  <c r="D242"/>
  <c r="AL242" s="1"/>
  <c r="AM242" s="1"/>
  <c r="D243"/>
  <c r="AL243" s="1"/>
  <c r="AM243" s="1"/>
  <c r="D244"/>
  <c r="AL244" s="1"/>
  <c r="AM244" s="1"/>
  <c r="D245"/>
  <c r="AL245" s="1"/>
  <c r="AM245" s="1"/>
  <c r="D246"/>
  <c r="AL246" s="1"/>
  <c r="AM246" s="1"/>
  <c r="D247"/>
  <c r="AL247" s="1"/>
  <c r="AM247" s="1"/>
  <c r="D248"/>
  <c r="AL248" s="1"/>
  <c r="AM248" s="1"/>
  <c r="D249"/>
  <c r="D250"/>
  <c r="AL250" s="1"/>
  <c r="AM250" s="1"/>
  <c r="D251"/>
  <c r="AL251" s="1"/>
  <c r="AM251" s="1"/>
  <c r="D252"/>
  <c r="AL252" s="1"/>
  <c r="AM252" s="1"/>
  <c r="D253"/>
  <c r="AL253" s="1"/>
  <c r="AM253" s="1"/>
  <c r="D254"/>
  <c r="AL254" s="1"/>
  <c r="AM254" s="1"/>
  <c r="D255"/>
  <c r="AL255" s="1"/>
  <c r="AM255" s="1"/>
  <c r="D256"/>
  <c r="AL256" s="1"/>
  <c r="AM256" s="1"/>
  <c r="D257"/>
  <c r="AL257" s="1"/>
  <c r="AM257" s="1"/>
  <c r="D258"/>
  <c r="AL258" s="1"/>
  <c r="AM258" s="1"/>
  <c r="D259"/>
  <c r="AL259" s="1"/>
  <c r="AM259" s="1"/>
  <c r="D260"/>
  <c r="AL260" s="1"/>
  <c r="AM260" s="1"/>
  <c r="D261"/>
  <c r="AL261" s="1"/>
  <c r="AM261" s="1"/>
  <c r="D262"/>
  <c r="D263"/>
  <c r="AL263" s="1"/>
  <c r="AM263" s="1"/>
  <c r="D264"/>
  <c r="AL264" s="1"/>
  <c r="AM264" s="1"/>
  <c r="D265"/>
  <c r="AL265" s="1"/>
  <c r="AM265" s="1"/>
  <c r="D266"/>
  <c r="AL266" s="1"/>
  <c r="AM266" s="1"/>
  <c r="D267"/>
  <c r="AL267" s="1"/>
  <c r="AM267" s="1"/>
  <c r="D268"/>
  <c r="AL268" s="1"/>
  <c r="AM268" s="1"/>
  <c r="D269"/>
  <c r="D270"/>
  <c r="AL270" s="1"/>
  <c r="AM270" s="1"/>
  <c r="D271"/>
  <c r="AL271" s="1"/>
  <c r="AM271" s="1"/>
  <c r="D272"/>
  <c r="AL272" s="1"/>
  <c r="AM272" s="1"/>
  <c r="D273"/>
  <c r="AL273" s="1"/>
  <c r="AM273" s="1"/>
  <c r="D274"/>
  <c r="AL274" s="1"/>
  <c r="AM274" s="1"/>
  <c r="D275"/>
  <c r="AL275" s="1"/>
  <c r="AM275" s="1"/>
  <c r="D276"/>
  <c r="D277"/>
  <c r="AL277" s="1"/>
  <c r="AM277" s="1"/>
  <c r="D278"/>
  <c r="AL278" s="1"/>
  <c r="AM278" s="1"/>
  <c r="D279"/>
  <c r="AL279" s="1"/>
  <c r="AM279" s="1"/>
  <c r="D280"/>
  <c r="AL280" s="1"/>
  <c r="AM280" s="1"/>
  <c r="D281"/>
  <c r="AL281" s="1"/>
  <c r="AM281" s="1"/>
  <c r="D282"/>
  <c r="AL282" s="1"/>
  <c r="AM282" s="1"/>
  <c r="D283"/>
  <c r="D284"/>
  <c r="D285"/>
  <c r="AL285" s="1"/>
  <c r="AM285" s="1"/>
  <c r="D286"/>
  <c r="AL286" s="1"/>
  <c r="AM286" s="1"/>
  <c r="D287"/>
  <c r="AL287" s="1"/>
  <c r="AM287" s="1"/>
  <c r="D288"/>
  <c r="AL288" s="1"/>
  <c r="AM288" s="1"/>
  <c r="D289"/>
  <c r="AL289" s="1"/>
  <c r="AM289" s="1"/>
  <c r="D290"/>
  <c r="AL290" s="1"/>
  <c r="AM290" s="1"/>
  <c r="D291"/>
  <c r="D292"/>
  <c r="AL292" s="1"/>
  <c r="AM292" s="1"/>
  <c r="D293"/>
  <c r="AL293" s="1"/>
  <c r="AM293" s="1"/>
  <c r="D294"/>
  <c r="AL294" s="1"/>
  <c r="AM294" s="1"/>
  <c r="D295"/>
  <c r="AL295" s="1"/>
  <c r="AM295" s="1"/>
  <c r="D296"/>
  <c r="AL296" s="1"/>
  <c r="AM296" s="1"/>
  <c r="D297"/>
  <c r="AL297" s="1"/>
  <c r="AM297" s="1"/>
  <c r="D298"/>
  <c r="AL298" s="1"/>
  <c r="AM298" s="1"/>
  <c r="D299"/>
  <c r="AL299" s="1"/>
  <c r="AM299" s="1"/>
  <c r="D300"/>
  <c r="AL300" s="1"/>
  <c r="AM300" s="1"/>
  <c r="D301"/>
  <c r="AL301" s="1"/>
  <c r="AM301" s="1"/>
  <c r="D302"/>
  <c r="AL302" s="1"/>
  <c r="AM302" s="1"/>
  <c r="D303"/>
  <c r="AL303" s="1"/>
  <c r="AM303" s="1"/>
  <c r="D304"/>
  <c r="AL304" s="1"/>
  <c r="AM304" s="1"/>
  <c r="D305"/>
  <c r="D306"/>
  <c r="AL306" s="1"/>
  <c r="AM306" s="1"/>
  <c r="D307"/>
  <c r="D308"/>
  <c r="AL308" s="1"/>
  <c r="AM308" s="1"/>
  <c r="D309"/>
  <c r="AL309" s="1"/>
  <c r="AM309" s="1"/>
  <c r="D310"/>
  <c r="AL310" s="1"/>
  <c r="AM310" s="1"/>
  <c r="D311"/>
  <c r="AL311" s="1"/>
  <c r="AM311" s="1"/>
  <c r="D312"/>
  <c r="AL312" s="1"/>
  <c r="AM312" s="1"/>
  <c r="D313"/>
  <c r="D314"/>
  <c r="AL314" s="1"/>
  <c r="AM314" s="1"/>
  <c r="D315"/>
  <c r="D316"/>
  <c r="AL316" s="1"/>
  <c r="AM316" s="1"/>
  <c r="D317"/>
  <c r="AL317" s="1"/>
  <c r="AM317" s="1"/>
  <c r="D318"/>
  <c r="AL318" s="1"/>
  <c r="AM318" s="1"/>
  <c r="D319"/>
  <c r="AL319" s="1"/>
  <c r="AM319" s="1"/>
  <c r="D320"/>
  <c r="AL320" s="1"/>
  <c r="AM320" s="1"/>
  <c r="D321"/>
  <c r="AL321" s="1"/>
  <c r="AM321" s="1"/>
  <c r="D322"/>
  <c r="AL322" s="1"/>
  <c r="AM322" s="1"/>
  <c r="D323"/>
  <c r="D324"/>
  <c r="AL324" s="1"/>
  <c r="AM324" s="1"/>
  <c r="D325"/>
  <c r="AL325" s="1"/>
  <c r="AM325" s="1"/>
  <c r="D326"/>
  <c r="AL326" s="1"/>
  <c r="AM326" s="1"/>
  <c r="D327"/>
  <c r="AL327" s="1"/>
  <c r="AM327" s="1"/>
  <c r="D328"/>
  <c r="AL328" s="1"/>
  <c r="AM328" s="1"/>
  <c r="D329"/>
  <c r="AL329" s="1"/>
  <c r="AM329" s="1"/>
  <c r="D330"/>
  <c r="AL330" s="1"/>
  <c r="AM330" s="1"/>
  <c r="D331"/>
  <c r="AL331" s="1"/>
  <c r="AM331" s="1"/>
  <c r="D332"/>
  <c r="D333"/>
  <c r="AL333" s="1"/>
  <c r="AM333" s="1"/>
  <c r="D334"/>
  <c r="AL334" s="1"/>
  <c r="AM334" s="1"/>
  <c r="D335"/>
  <c r="AL335" s="1"/>
  <c r="AM335" s="1"/>
  <c r="D336"/>
  <c r="AL336" s="1"/>
  <c r="AM336" s="1"/>
  <c r="D337"/>
  <c r="D338"/>
  <c r="AL338" s="1"/>
  <c r="AM338" s="1"/>
  <c r="D339"/>
  <c r="AL339" s="1"/>
  <c r="AM339" s="1"/>
  <c r="D340"/>
  <c r="AL340" s="1"/>
  <c r="AM340" s="1"/>
  <c r="D341"/>
  <c r="AL341" s="1"/>
  <c r="AM341" s="1"/>
  <c r="D342"/>
  <c r="AL342" s="1"/>
  <c r="AM342" s="1"/>
  <c r="D343"/>
  <c r="AL343" s="1"/>
  <c r="AM343" s="1"/>
  <c r="D344"/>
  <c r="AL344" s="1"/>
  <c r="AM344" s="1"/>
  <c r="D345"/>
  <c r="AL345" s="1"/>
  <c r="AM345" s="1"/>
  <c r="D346"/>
  <c r="AL346" s="1"/>
  <c r="AM346" s="1"/>
  <c r="D347"/>
  <c r="AL347" s="1"/>
  <c r="AM347" s="1"/>
  <c r="D348"/>
  <c r="AL348" s="1"/>
  <c r="AM348" s="1"/>
  <c r="D349"/>
  <c r="AL349" s="1"/>
  <c r="AM349" s="1"/>
  <c r="D350"/>
  <c r="AL350" s="1"/>
  <c r="AM350" s="1"/>
  <c r="D351"/>
  <c r="AL351" s="1"/>
  <c r="AM351" s="1"/>
  <c r="D352"/>
  <c r="AL352" s="1"/>
  <c r="AM352" s="1"/>
  <c r="D353"/>
  <c r="D354"/>
  <c r="AL354" s="1"/>
  <c r="AM354" s="1"/>
  <c r="D355"/>
  <c r="AL355" s="1"/>
  <c r="AM355" s="1"/>
  <c r="D356"/>
  <c r="AL356" s="1"/>
  <c r="AM356" s="1"/>
  <c r="D357"/>
  <c r="AL357" s="1"/>
  <c r="AM357" s="1"/>
  <c r="D358"/>
  <c r="AL358" s="1"/>
  <c r="AM358" s="1"/>
  <c r="D359"/>
  <c r="AL359" s="1"/>
  <c r="AM359" s="1"/>
  <c r="D360"/>
  <c r="AL360" s="1"/>
  <c r="AM360" s="1"/>
  <c r="D361"/>
  <c r="D362"/>
  <c r="AL362" s="1"/>
  <c r="AM362" s="1"/>
  <c r="D363"/>
  <c r="AL363" s="1"/>
  <c r="AM363" s="1"/>
  <c r="D364"/>
  <c r="AL364" s="1"/>
  <c r="AM364" s="1"/>
  <c r="D365"/>
  <c r="AL365" s="1"/>
  <c r="AM365" s="1"/>
  <c r="D366"/>
  <c r="AL366" s="1"/>
  <c r="AM366" s="1"/>
  <c r="D367"/>
  <c r="D368"/>
  <c r="AL368" s="1"/>
  <c r="AM368" s="1"/>
  <c r="D369"/>
  <c r="AL369" s="1"/>
  <c r="AM369" s="1"/>
  <c r="D370"/>
  <c r="AL370" s="1"/>
  <c r="AM370" s="1"/>
  <c r="D371"/>
  <c r="AL371" s="1"/>
  <c r="AM371" s="1"/>
  <c r="D372"/>
  <c r="AL372" s="1"/>
  <c r="AM372" s="1"/>
  <c r="D373"/>
  <c r="AL373" s="1"/>
  <c r="AM373" s="1"/>
  <c r="D374"/>
  <c r="AL374" s="1"/>
  <c r="AM374" s="1"/>
  <c r="D375"/>
  <c r="AL375" s="1"/>
  <c r="AM375" s="1"/>
  <c r="D376"/>
  <c r="AL376" s="1"/>
  <c r="AM376" s="1"/>
  <c r="D377"/>
  <c r="D378"/>
  <c r="AL378" s="1"/>
  <c r="AM378" s="1"/>
  <c r="D379"/>
  <c r="AL379" s="1"/>
  <c r="AM379" s="1"/>
  <c r="D380"/>
  <c r="AL380" s="1"/>
  <c r="AM380" s="1"/>
  <c r="D381"/>
  <c r="AL381" s="1"/>
  <c r="AM381" s="1"/>
  <c r="D382"/>
  <c r="AL382" s="1"/>
  <c r="AM382" s="1"/>
  <c r="D383"/>
  <c r="AL383" s="1"/>
  <c r="AM383" s="1"/>
  <c r="D384"/>
  <c r="AL384" s="1"/>
  <c r="AM384" s="1"/>
  <c r="D385"/>
  <c r="D386"/>
  <c r="AL386" s="1"/>
  <c r="AM386" s="1"/>
  <c r="D387"/>
  <c r="AL387" s="1"/>
  <c r="AM387" s="1"/>
  <c r="D388"/>
  <c r="AL388" s="1"/>
  <c r="AM388" s="1"/>
  <c r="D389"/>
  <c r="AL389" s="1"/>
  <c r="AM389" s="1"/>
  <c r="D390"/>
  <c r="AL390" s="1"/>
  <c r="AM390" s="1"/>
  <c r="D391"/>
  <c r="D392"/>
  <c r="AL392" s="1"/>
  <c r="AM392" s="1"/>
  <c r="D393"/>
  <c r="AL393" s="1"/>
  <c r="AM393" s="1"/>
  <c r="D394"/>
  <c r="AL394" s="1"/>
  <c r="AM394" s="1"/>
  <c r="D395"/>
  <c r="AL395" s="1"/>
  <c r="AM395" s="1"/>
  <c r="D396"/>
  <c r="AL396" s="1"/>
  <c r="AM396" s="1"/>
  <c r="D397"/>
  <c r="AL397" s="1"/>
  <c r="AM397" s="1"/>
  <c r="D398"/>
  <c r="D399"/>
  <c r="AL399" s="1"/>
  <c r="AM399" s="1"/>
  <c r="D400"/>
  <c r="AL400" s="1"/>
  <c r="AM400" s="1"/>
  <c r="D401"/>
  <c r="AL401" s="1"/>
  <c r="AM401" s="1"/>
  <c r="D402"/>
  <c r="AL402" s="1"/>
  <c r="AM402" s="1"/>
  <c r="D403"/>
  <c r="AL403" s="1"/>
  <c r="AM403" s="1"/>
  <c r="D404"/>
  <c r="D405"/>
  <c r="AL405" s="1"/>
  <c r="AM405" s="1"/>
  <c r="D406"/>
  <c r="AL406" s="1"/>
  <c r="AM406" s="1"/>
  <c r="D407"/>
  <c r="AL407" s="1"/>
  <c r="AM407" s="1"/>
  <c r="D408"/>
  <c r="AL408" s="1"/>
  <c r="AM408" s="1"/>
  <c r="D409"/>
  <c r="D410"/>
  <c r="AL410" s="1"/>
  <c r="AM410" s="1"/>
  <c r="D411"/>
  <c r="AL411" s="1"/>
  <c r="AM411" s="1"/>
  <c r="D412"/>
  <c r="AL412" s="1"/>
  <c r="AM412" s="1"/>
  <c r="D413"/>
  <c r="AL413" s="1"/>
  <c r="AM413" s="1"/>
  <c r="D414"/>
  <c r="AL414" s="1"/>
  <c r="AM414" s="1"/>
  <c r="D415"/>
  <c r="AL415" s="1"/>
  <c r="AM415" s="1"/>
  <c r="D416"/>
  <c r="AL416" s="1"/>
  <c r="AM416" s="1"/>
  <c r="D417"/>
  <c r="AL417" s="1"/>
  <c r="AM417" s="1"/>
  <c r="D418"/>
  <c r="D419"/>
  <c r="D420"/>
  <c r="AL420" s="1"/>
  <c r="AM420" s="1"/>
  <c r="D421"/>
  <c r="AL421" s="1"/>
  <c r="AM421" s="1"/>
  <c r="D422"/>
  <c r="AL422" s="1"/>
  <c r="AM422" s="1"/>
  <c r="D423"/>
  <c r="AL423" s="1"/>
  <c r="AM423" s="1"/>
  <c r="D424"/>
  <c r="AL424" s="1"/>
  <c r="AM424" s="1"/>
  <c r="D425"/>
  <c r="D426"/>
  <c r="AL426" s="1"/>
  <c r="AM426" s="1"/>
  <c r="D427"/>
  <c r="D428"/>
  <c r="AL428" s="1"/>
  <c r="AM428" s="1"/>
  <c r="D429"/>
  <c r="AL429" s="1"/>
  <c r="AM429" s="1"/>
  <c r="D430"/>
  <c r="AL430" s="1"/>
  <c r="AM430" s="1"/>
  <c r="D431"/>
  <c r="AL431" s="1"/>
  <c r="AM431" s="1"/>
  <c r="D432"/>
  <c r="AL432" s="1"/>
  <c r="AM432" s="1"/>
  <c r="D433"/>
  <c r="AL433" s="1"/>
  <c r="AM433" s="1"/>
  <c r="D434"/>
  <c r="AL434" s="1"/>
  <c r="AM434" s="1"/>
  <c r="D435"/>
  <c r="AL435" s="1"/>
  <c r="AM435" s="1"/>
  <c r="D436"/>
  <c r="AL436" s="1"/>
  <c r="AM436" s="1"/>
  <c r="D437"/>
  <c r="AL437" s="1"/>
  <c r="AM437" s="1"/>
  <c r="D438"/>
  <c r="AL438" s="1"/>
  <c r="AM438" s="1"/>
  <c r="D439"/>
  <c r="AL439" s="1"/>
  <c r="AM439" s="1"/>
  <c r="D440"/>
  <c r="AL440" s="1"/>
  <c r="AM440" s="1"/>
  <c r="D441"/>
  <c r="AL441" s="1"/>
  <c r="AM441" s="1"/>
  <c r="D442"/>
  <c r="AL442" s="1"/>
  <c r="AM442" s="1"/>
  <c r="D443"/>
  <c r="AL443" s="1"/>
  <c r="AM443" s="1"/>
  <c r="D444"/>
  <c r="AL444" s="1"/>
  <c r="AM444" s="1"/>
  <c r="D445"/>
  <c r="AL445" s="1"/>
  <c r="AM445" s="1"/>
  <c r="D446"/>
  <c r="AL446" s="1"/>
  <c r="AM446" s="1"/>
  <c r="D447"/>
  <c r="AL447" s="1"/>
  <c r="AM447" s="1"/>
  <c r="D448"/>
  <c r="AL448" s="1"/>
  <c r="AM448" s="1"/>
  <c r="D449"/>
  <c r="D450"/>
  <c r="AL450" s="1"/>
  <c r="AM450" s="1"/>
  <c r="D451"/>
  <c r="AL451" s="1"/>
  <c r="AM451" s="1"/>
  <c r="D452"/>
  <c r="D453"/>
  <c r="AL453" s="1"/>
  <c r="AM453" s="1"/>
  <c r="D454"/>
  <c r="AL454" s="1"/>
  <c r="AM454" s="1"/>
  <c r="D455"/>
  <c r="AL455" s="1"/>
  <c r="AM455" s="1"/>
  <c r="D456"/>
  <c r="AL456" s="1"/>
  <c r="AM456" s="1"/>
  <c r="D457"/>
  <c r="AL457" s="1"/>
  <c r="AM457" s="1"/>
  <c r="D458"/>
  <c r="AL458" s="1"/>
  <c r="AM458" s="1"/>
  <c r="D459"/>
  <c r="AL459" s="1"/>
  <c r="AM459" s="1"/>
  <c r="D460"/>
  <c r="AL460" s="1"/>
  <c r="AM460" s="1"/>
  <c r="D461"/>
  <c r="AL461" s="1"/>
  <c r="AM461" s="1"/>
  <c r="D462"/>
  <c r="AL462" s="1"/>
  <c r="AM462" s="1"/>
  <c r="D463"/>
  <c r="AL463" s="1"/>
  <c r="AM463" s="1"/>
  <c r="D464"/>
  <c r="AL464" s="1"/>
  <c r="AM464" s="1"/>
  <c r="D465"/>
  <c r="D466"/>
  <c r="AL466" s="1"/>
  <c r="AM466" s="1"/>
  <c r="D467"/>
  <c r="AL467" s="1"/>
  <c r="AM467" s="1"/>
  <c r="D468"/>
  <c r="AL468" s="1"/>
  <c r="AM468" s="1"/>
  <c r="D469"/>
  <c r="AL469" s="1"/>
  <c r="AM469" s="1"/>
  <c r="D470"/>
  <c r="AL470" s="1"/>
  <c r="AM470" s="1"/>
  <c r="D471"/>
  <c r="AL471" s="1"/>
  <c r="AM471" s="1"/>
  <c r="D472"/>
  <c r="AL472" s="1"/>
  <c r="AM472" s="1"/>
  <c r="D473"/>
  <c r="D474"/>
  <c r="AL474" s="1"/>
  <c r="AM474" s="1"/>
  <c r="D475"/>
  <c r="D476"/>
  <c r="AL476" s="1"/>
  <c r="AM476" s="1"/>
  <c r="D477"/>
  <c r="AL477" s="1"/>
  <c r="AM477" s="1"/>
  <c r="D478"/>
  <c r="AL478" s="1"/>
  <c r="AM478" s="1"/>
  <c r="D479"/>
  <c r="AL479" s="1"/>
  <c r="AM479" s="1"/>
  <c r="D480"/>
  <c r="AL480" s="1"/>
  <c r="AM480" s="1"/>
  <c r="D481"/>
  <c r="AL481" s="1"/>
  <c r="AM481" s="1"/>
  <c r="D482"/>
  <c r="AL482" s="1"/>
  <c r="AM482" s="1"/>
  <c r="D483"/>
  <c r="D484"/>
  <c r="AL484" s="1"/>
  <c r="AM484" s="1"/>
  <c r="D485"/>
  <c r="AL485" s="1"/>
  <c r="AM485" s="1"/>
  <c r="D486"/>
  <c r="AL486" s="1"/>
  <c r="AM486" s="1"/>
  <c r="D487"/>
  <c r="AL487" s="1"/>
  <c r="AM487" s="1"/>
  <c r="D488"/>
  <c r="D489"/>
  <c r="D490"/>
  <c r="AL490" s="1"/>
  <c r="AM490" s="1"/>
  <c r="D491"/>
  <c r="AL491" s="1"/>
  <c r="AM491" s="1"/>
  <c r="D492"/>
  <c r="AL492" s="1"/>
  <c r="AM492" s="1"/>
  <c r="D493"/>
  <c r="AL493" s="1"/>
  <c r="AM493" s="1"/>
  <c r="D494"/>
  <c r="AL494" s="1"/>
  <c r="AM494" s="1"/>
  <c r="D495"/>
  <c r="AL495" s="1"/>
  <c r="AM495" s="1"/>
  <c r="D496"/>
  <c r="AL496" s="1"/>
  <c r="AM496" s="1"/>
  <c r="D497"/>
  <c r="AL497" s="1"/>
  <c r="AM497" s="1"/>
  <c r="D498"/>
  <c r="AL498" s="1"/>
  <c r="AM498" s="1"/>
  <c r="D499"/>
  <c r="AL499" s="1"/>
  <c r="AM499" s="1"/>
  <c r="D500"/>
  <c r="D501"/>
  <c r="AL501" s="1"/>
  <c r="AM501" s="1"/>
  <c r="D502"/>
  <c r="AL502" s="1"/>
  <c r="AM502" s="1"/>
  <c r="D503"/>
  <c r="AL503" s="1"/>
  <c r="AM503" s="1"/>
  <c r="D504"/>
  <c r="AL504" s="1"/>
  <c r="AM504" s="1"/>
  <c r="D505"/>
  <c r="AL505" s="1"/>
  <c r="AM505" s="1"/>
  <c r="D506"/>
  <c r="AL506" s="1"/>
  <c r="AM506" s="1"/>
  <c r="D507"/>
  <c r="AL507" s="1"/>
  <c r="AM507" s="1"/>
  <c r="D508"/>
  <c r="AL508" s="1"/>
  <c r="AM508" s="1"/>
  <c r="D509"/>
  <c r="D510"/>
  <c r="AL510" s="1"/>
  <c r="AM510" s="1"/>
  <c r="D511"/>
  <c r="AL511" s="1"/>
  <c r="AM511" s="1"/>
  <c r="D512"/>
  <c r="AL512" s="1"/>
  <c r="AM512" s="1"/>
  <c r="D513"/>
  <c r="AL513" s="1"/>
  <c r="AM513" s="1"/>
  <c r="D514"/>
  <c r="AL514" s="1"/>
  <c r="AM514" s="1"/>
  <c r="D515"/>
  <c r="AL515" s="1"/>
  <c r="AM515" s="1"/>
  <c r="D516"/>
  <c r="D517"/>
  <c r="AL517" s="1"/>
  <c r="AM517" s="1"/>
  <c r="D518"/>
  <c r="AL518" s="1"/>
  <c r="AM518" s="1"/>
  <c r="D519"/>
  <c r="AL519" s="1"/>
  <c r="AM519" s="1"/>
  <c r="D520"/>
  <c r="AL520" s="1"/>
  <c r="AM520" s="1"/>
  <c r="D521"/>
  <c r="AL521" s="1"/>
  <c r="AM521" s="1"/>
  <c r="D522"/>
  <c r="AL522" s="1"/>
  <c r="AM522" s="1"/>
  <c r="D523"/>
  <c r="AL523" s="1"/>
  <c r="AM523" s="1"/>
  <c r="D524"/>
  <c r="AL524" s="1"/>
  <c r="AM524" s="1"/>
  <c r="D525"/>
  <c r="AL525" s="1"/>
  <c r="AM525" s="1"/>
  <c r="D526"/>
  <c r="AL526" s="1"/>
  <c r="AM526" s="1"/>
  <c r="D527"/>
  <c r="AL527" s="1"/>
  <c r="AM527" s="1"/>
  <c r="D528"/>
  <c r="AL528" s="1"/>
  <c r="AM528" s="1"/>
  <c r="D529"/>
  <c r="AL529" s="1"/>
  <c r="AM529" s="1"/>
  <c r="D530"/>
  <c r="AL530" s="1"/>
  <c r="AM530" s="1"/>
  <c r="D531"/>
  <c r="AL531" s="1"/>
  <c r="AM531" s="1"/>
  <c r="D532"/>
  <c r="AL532" s="1"/>
  <c r="AM532" s="1"/>
  <c r="D533"/>
  <c r="AL533" s="1"/>
  <c r="AM533" s="1"/>
  <c r="D534"/>
  <c r="AL534" s="1"/>
  <c r="AM534" s="1"/>
  <c r="D535"/>
  <c r="D536"/>
  <c r="AL536" s="1"/>
  <c r="AM536" s="1"/>
  <c r="D537"/>
  <c r="AL537" s="1"/>
  <c r="AM537" s="1"/>
  <c r="D538"/>
  <c r="AL538" s="1"/>
  <c r="AM538" s="1"/>
  <c r="D539"/>
  <c r="AL539" s="1"/>
  <c r="AM539" s="1"/>
  <c r="D540"/>
  <c r="D541"/>
  <c r="AL541" s="1"/>
  <c r="AM541" s="1"/>
  <c r="D542"/>
  <c r="AL542" s="1"/>
  <c r="AM542" s="1"/>
  <c r="D543"/>
  <c r="AL543" s="1"/>
  <c r="AM543" s="1"/>
  <c r="D544"/>
  <c r="AL544" s="1"/>
  <c r="AM544" s="1"/>
  <c r="D545"/>
  <c r="AL545" s="1"/>
  <c r="AM545" s="1"/>
  <c r="D546"/>
  <c r="AL546" s="1"/>
  <c r="AM546" s="1"/>
  <c r="D547"/>
  <c r="AL547" s="1"/>
  <c r="AM547" s="1"/>
  <c r="D548"/>
  <c r="AL548" s="1"/>
  <c r="AM548" s="1"/>
  <c r="D549"/>
  <c r="AL549" s="1"/>
  <c r="AM549" s="1"/>
  <c r="D550"/>
  <c r="AL550" s="1"/>
  <c r="AM550" s="1"/>
  <c r="D551"/>
  <c r="AL551" s="1"/>
  <c r="AM551" s="1"/>
  <c r="D552"/>
  <c r="AL552" s="1"/>
  <c r="AM552" s="1"/>
  <c r="D553"/>
  <c r="D554"/>
  <c r="AL554" s="1"/>
  <c r="AM554" s="1"/>
  <c r="D555"/>
  <c r="AL555" s="1"/>
  <c r="AM555" s="1"/>
  <c r="D556"/>
  <c r="AL556" s="1"/>
  <c r="AM556" s="1"/>
  <c r="D557"/>
  <c r="AL557" s="1"/>
  <c r="AM557" s="1"/>
  <c r="D558"/>
  <c r="AL558" s="1"/>
  <c r="AM558" s="1"/>
  <c r="D559"/>
  <c r="AL559" s="1"/>
  <c r="AM559" s="1"/>
  <c r="D560"/>
  <c r="AL560" s="1"/>
  <c r="AM560" s="1"/>
  <c r="D561"/>
  <c r="AL561" s="1"/>
  <c r="AM561" s="1"/>
  <c r="D562"/>
  <c r="AL562" s="1"/>
  <c r="AM562" s="1"/>
  <c r="D563"/>
  <c r="AL563" s="1"/>
  <c r="AM563" s="1"/>
  <c r="D564"/>
  <c r="AL564" s="1"/>
  <c r="AM564" s="1"/>
  <c r="D565"/>
  <c r="AL565" s="1"/>
  <c r="AM565" s="1"/>
  <c r="D566"/>
  <c r="AL566" s="1"/>
  <c r="AM566" s="1"/>
  <c r="D567"/>
  <c r="AL567" s="1"/>
  <c r="AM567" s="1"/>
  <c r="D568"/>
  <c r="AL568" s="1"/>
  <c r="AM568" s="1"/>
  <c r="D569"/>
  <c r="D570"/>
  <c r="AL570" s="1"/>
  <c r="AM570" s="1"/>
  <c r="D571"/>
  <c r="AL571" s="1"/>
  <c r="AM571" s="1"/>
  <c r="D572"/>
  <c r="AL572" s="1"/>
  <c r="AM572" s="1"/>
  <c r="D573"/>
  <c r="D574"/>
  <c r="AL574" s="1"/>
  <c r="AM574" s="1"/>
  <c r="D575"/>
  <c r="AL575" s="1"/>
  <c r="AM575" s="1"/>
  <c r="D576"/>
  <c r="AL576" s="1"/>
  <c r="AM576" s="1"/>
  <c r="D577"/>
  <c r="D578"/>
  <c r="AL578" s="1"/>
  <c r="AM578" s="1"/>
  <c r="D579"/>
  <c r="AL579" s="1"/>
  <c r="AM579" s="1"/>
  <c r="D580"/>
  <c r="AL580" s="1"/>
  <c r="AM580" s="1"/>
  <c r="D581"/>
  <c r="AL581" s="1"/>
  <c r="AM581" s="1"/>
  <c r="D582"/>
  <c r="AL582" s="1"/>
  <c r="AM582" s="1"/>
  <c r="D583"/>
  <c r="AL583" s="1"/>
  <c r="AM583" s="1"/>
  <c r="D584"/>
  <c r="AL584" s="1"/>
  <c r="AM584" s="1"/>
  <c r="D585"/>
  <c r="AL585" s="1"/>
  <c r="AM585" s="1"/>
  <c r="D586"/>
  <c r="AL586" s="1"/>
  <c r="AM586" s="1"/>
  <c r="D587"/>
  <c r="AL587" s="1"/>
  <c r="AM587" s="1"/>
  <c r="D588"/>
  <c r="AL588" s="1"/>
  <c r="AM588" s="1"/>
  <c r="D589"/>
  <c r="AL589" s="1"/>
  <c r="AM589" s="1"/>
  <c r="D590"/>
  <c r="AL590" s="1"/>
  <c r="AM590" s="1"/>
  <c r="D591"/>
  <c r="AL591" s="1"/>
  <c r="AM591" s="1"/>
  <c r="D592"/>
  <c r="AL592" s="1"/>
  <c r="AM592" s="1"/>
  <c r="D593"/>
  <c r="AL593" s="1"/>
  <c r="AM593" s="1"/>
  <c r="D594"/>
  <c r="AL594" s="1"/>
  <c r="AM594" s="1"/>
  <c r="D595"/>
  <c r="AL595" s="1"/>
  <c r="AM595" s="1"/>
  <c r="D596"/>
  <c r="AL596" s="1"/>
  <c r="AM596" s="1"/>
  <c r="D597"/>
  <c r="AL597" s="1"/>
  <c r="AM597" s="1"/>
  <c r="D598"/>
  <c r="AL598" s="1"/>
  <c r="AM598" s="1"/>
  <c r="D599"/>
  <c r="AL599" s="1"/>
  <c r="AM599" s="1"/>
  <c r="D600"/>
  <c r="AL600" s="1"/>
  <c r="AM600" s="1"/>
  <c r="D601"/>
  <c r="AL601" s="1"/>
  <c r="AM601" s="1"/>
  <c r="D602"/>
  <c r="AL602" s="1"/>
  <c r="AM602" s="1"/>
  <c r="D603"/>
  <c r="AL603" s="1"/>
  <c r="AM603" s="1"/>
  <c r="D604"/>
  <c r="AL604" s="1"/>
  <c r="AM604" s="1"/>
  <c r="D605"/>
  <c r="AL605" s="1"/>
  <c r="AM605" s="1"/>
  <c r="D606"/>
  <c r="AL606" s="1"/>
  <c r="AM606" s="1"/>
  <c r="D607"/>
  <c r="AL607" s="1"/>
  <c r="AM607" s="1"/>
  <c r="D608"/>
  <c r="AL608" s="1"/>
  <c r="AM608" s="1"/>
  <c r="D609"/>
  <c r="AL609" s="1"/>
  <c r="AM609" s="1"/>
  <c r="D610"/>
  <c r="AL610" s="1"/>
  <c r="AM610" s="1"/>
  <c r="D611"/>
  <c r="AL611" s="1"/>
  <c r="AM611" s="1"/>
  <c r="D612"/>
  <c r="AL612" s="1"/>
  <c r="AM612" s="1"/>
  <c r="D613"/>
  <c r="AL613" s="1"/>
  <c r="AM613" s="1"/>
  <c r="D614"/>
  <c r="AL614" s="1"/>
  <c r="AM614" s="1"/>
  <c r="D615"/>
  <c r="AL615" s="1"/>
  <c r="AM615" s="1"/>
  <c r="D616"/>
  <c r="AL616" s="1"/>
  <c r="AM616" s="1"/>
  <c r="D617"/>
  <c r="AL617" s="1"/>
  <c r="AM617" s="1"/>
  <c r="D618"/>
  <c r="AL618" s="1"/>
  <c r="AM618" s="1"/>
  <c r="D619"/>
  <c r="AL619" s="1"/>
  <c r="AM619" s="1"/>
  <c r="D620"/>
  <c r="AL620" s="1"/>
  <c r="AM620" s="1"/>
  <c r="D621"/>
  <c r="AL621" s="1"/>
  <c r="AM621" s="1"/>
  <c r="D622"/>
  <c r="AL622" s="1"/>
  <c r="AM622" s="1"/>
  <c r="D623"/>
  <c r="AL623" s="1"/>
  <c r="AM623" s="1"/>
  <c r="D624"/>
  <c r="AL624" s="1"/>
  <c r="AM624" s="1"/>
  <c r="D625"/>
  <c r="AL625" s="1"/>
  <c r="AM625" s="1"/>
  <c r="D626"/>
  <c r="AL626" s="1"/>
  <c r="AM626" s="1"/>
  <c r="D627"/>
  <c r="AL627" s="1"/>
  <c r="AM627" s="1"/>
  <c r="D628"/>
  <c r="AL628" s="1"/>
  <c r="AM628" s="1"/>
  <c r="D629"/>
  <c r="AL629" s="1"/>
  <c r="AM629" s="1"/>
  <c r="D630"/>
  <c r="AL630" s="1"/>
  <c r="AM630" s="1"/>
  <c r="D631"/>
  <c r="AL631" s="1"/>
  <c r="AM631" s="1"/>
  <c r="D632"/>
  <c r="AL632" s="1"/>
  <c r="AM632" s="1"/>
  <c r="D633"/>
  <c r="AL633" s="1"/>
  <c r="AM633" s="1"/>
  <c r="D634"/>
  <c r="AL634" s="1"/>
  <c r="AM634" s="1"/>
  <c r="D635"/>
  <c r="AL635" s="1"/>
  <c r="AM635" s="1"/>
  <c r="D636"/>
  <c r="AL636" s="1"/>
  <c r="AM636" s="1"/>
  <c r="D637"/>
  <c r="AL637" s="1"/>
  <c r="AM637" s="1"/>
  <c r="D638"/>
  <c r="D639"/>
  <c r="AL639" s="1"/>
  <c r="AM639" s="1"/>
  <c r="D640"/>
  <c r="AL640" s="1"/>
  <c r="AM640" s="1"/>
  <c r="D641"/>
  <c r="AL641" s="1"/>
  <c r="AM641" s="1"/>
  <c r="D642"/>
  <c r="AL642" s="1"/>
  <c r="AM642" s="1"/>
  <c r="D643"/>
  <c r="AL643" s="1"/>
  <c r="AM643" s="1"/>
  <c r="D644"/>
  <c r="D645"/>
  <c r="AL645" s="1"/>
  <c r="AM645" s="1"/>
  <c r="D646"/>
  <c r="AL646" s="1"/>
  <c r="AM646" s="1"/>
  <c r="D647"/>
  <c r="AL647" s="1"/>
  <c r="AM647" s="1"/>
  <c r="D648"/>
  <c r="AL648" s="1"/>
  <c r="AM648" s="1"/>
  <c r="D649"/>
  <c r="AL649" s="1"/>
  <c r="AM649" s="1"/>
  <c r="D650"/>
  <c r="AL650" s="1"/>
  <c r="AM650" s="1"/>
  <c r="D651"/>
  <c r="D652"/>
  <c r="AL652" s="1"/>
  <c r="AM652" s="1"/>
  <c r="D653"/>
  <c r="AL653" s="1"/>
  <c r="AM653" s="1"/>
  <c r="D654"/>
  <c r="AL654" s="1"/>
  <c r="AM654" s="1"/>
  <c r="D655"/>
  <c r="AL655" s="1"/>
  <c r="AM655" s="1"/>
  <c r="D656"/>
  <c r="AL656" s="1"/>
  <c r="AM656" s="1"/>
  <c r="D657"/>
  <c r="AL657" s="1"/>
  <c r="AM657" s="1"/>
  <c r="D658"/>
  <c r="D659"/>
  <c r="AL659" s="1"/>
  <c r="AM659" s="1"/>
  <c r="D660"/>
  <c r="AL660" s="1"/>
  <c r="AM660" s="1"/>
  <c r="D661"/>
  <c r="AL661" s="1"/>
  <c r="AM661" s="1"/>
  <c r="D662"/>
  <c r="AL662" s="1"/>
  <c r="AM662" s="1"/>
  <c r="D663"/>
  <c r="AL663" s="1"/>
  <c r="AM663" s="1"/>
  <c r="D664"/>
  <c r="AL664" s="1"/>
  <c r="AM664" s="1"/>
  <c r="D665"/>
  <c r="AL665" s="1"/>
  <c r="AM665" s="1"/>
  <c r="D666"/>
  <c r="AL666" s="1"/>
  <c r="AM666" s="1"/>
  <c r="D667"/>
  <c r="AL667" s="1"/>
  <c r="AM667" s="1"/>
  <c r="D668"/>
  <c r="AL668" s="1"/>
  <c r="AM668" s="1"/>
  <c r="D669"/>
  <c r="D670"/>
  <c r="AL670" s="1"/>
  <c r="AM670" s="1"/>
  <c r="D671"/>
  <c r="AL671" s="1"/>
  <c r="AM671" s="1"/>
  <c r="D672"/>
  <c r="AL672" s="1"/>
  <c r="AM672" s="1"/>
  <c r="D673"/>
  <c r="AL673" s="1"/>
  <c r="AM673" s="1"/>
  <c r="D674"/>
  <c r="AL674" s="1"/>
  <c r="AM674" s="1"/>
  <c r="D675"/>
  <c r="AL675" s="1"/>
  <c r="AM675" s="1"/>
  <c r="D676"/>
  <c r="AL676" s="1"/>
  <c r="AM676" s="1"/>
  <c r="D677"/>
  <c r="AL677" s="1"/>
  <c r="AM677" s="1"/>
  <c r="D678"/>
  <c r="AL678" s="1"/>
  <c r="AM678" s="1"/>
  <c r="D679"/>
  <c r="AL679" s="1"/>
  <c r="AM679" s="1"/>
  <c r="D680"/>
  <c r="AL680" s="1"/>
  <c r="AM680" s="1"/>
  <c r="D681"/>
  <c r="AL681" s="1"/>
  <c r="AM681" s="1"/>
  <c r="D682"/>
  <c r="AL682" s="1"/>
  <c r="AM682" s="1"/>
  <c r="D683"/>
  <c r="AL683" s="1"/>
  <c r="AM683" s="1"/>
  <c r="D684"/>
  <c r="D685"/>
  <c r="D686"/>
  <c r="AL686" s="1"/>
  <c r="AM686" s="1"/>
  <c r="D687"/>
  <c r="AL687" s="1"/>
  <c r="AM687" s="1"/>
  <c r="D688"/>
  <c r="AL688" s="1"/>
  <c r="AM688" s="1"/>
  <c r="D689"/>
  <c r="AL689" s="1"/>
  <c r="AM689" s="1"/>
  <c r="D690"/>
  <c r="AL690" s="1"/>
  <c r="AM690" s="1"/>
  <c r="D691"/>
  <c r="AL691" s="1"/>
  <c r="AM691" s="1"/>
  <c r="D692"/>
  <c r="D693"/>
  <c r="AL693" s="1"/>
  <c r="AM693" s="1"/>
  <c r="D694"/>
  <c r="AL694" s="1"/>
  <c r="AM694" s="1"/>
  <c r="D695"/>
  <c r="AL695" s="1"/>
  <c r="AM695" s="1"/>
  <c r="D696"/>
  <c r="D697"/>
  <c r="AL697" s="1"/>
  <c r="AM697" s="1"/>
  <c r="D698"/>
  <c r="AL698" s="1"/>
  <c r="AM698" s="1"/>
  <c r="D699"/>
  <c r="AL699" s="1"/>
  <c r="AM699" s="1"/>
  <c r="D700"/>
  <c r="AL700" s="1"/>
  <c r="AM700" s="1"/>
  <c r="D701"/>
  <c r="D702"/>
  <c r="AL702" s="1"/>
  <c r="AM702" s="1"/>
  <c r="D703"/>
  <c r="AL703" s="1"/>
  <c r="AM703" s="1"/>
  <c r="D704"/>
  <c r="D705"/>
  <c r="AL705" s="1"/>
  <c r="AM705" s="1"/>
  <c r="D706"/>
  <c r="AL706" s="1"/>
  <c r="AM706" s="1"/>
  <c r="D707"/>
  <c r="AL707" s="1"/>
  <c r="AM707" s="1"/>
  <c r="D708"/>
  <c r="AL708" s="1"/>
  <c r="AM708" s="1"/>
  <c r="D709"/>
  <c r="AL709" s="1"/>
  <c r="AM709" s="1"/>
  <c r="D710"/>
  <c r="AL710" s="1"/>
  <c r="AM710" s="1"/>
  <c r="D711"/>
  <c r="AL711" s="1"/>
  <c r="AM711" s="1"/>
  <c r="D712"/>
  <c r="AL712" s="1"/>
  <c r="AM712" s="1"/>
  <c r="D713"/>
  <c r="D714"/>
  <c r="AL714" s="1"/>
  <c r="AM714" s="1"/>
  <c r="D715"/>
  <c r="D716"/>
  <c r="AL716" s="1"/>
  <c r="AM716" s="1"/>
  <c r="D717"/>
  <c r="AL717" s="1"/>
  <c r="AM717" s="1"/>
  <c r="D718"/>
  <c r="AL718" s="1"/>
  <c r="AM718" s="1"/>
  <c r="D719"/>
  <c r="AL719" s="1"/>
  <c r="AM719" s="1"/>
  <c r="D720"/>
  <c r="AL720" s="1"/>
  <c r="AM720" s="1"/>
  <c r="D721"/>
  <c r="D722"/>
  <c r="AL722" s="1"/>
  <c r="AM722" s="1"/>
  <c r="D723"/>
  <c r="AL723" s="1"/>
  <c r="AM723" s="1"/>
  <c r="D724"/>
  <c r="AL724" s="1"/>
  <c r="AM724" s="1"/>
  <c r="D725"/>
  <c r="AL725" s="1"/>
  <c r="AM725" s="1"/>
  <c r="D726"/>
  <c r="AL726" s="1"/>
  <c r="AM726" s="1"/>
  <c r="D727"/>
  <c r="AL727" s="1"/>
  <c r="AM727" s="1"/>
  <c r="D728"/>
  <c r="D729"/>
  <c r="D730"/>
  <c r="AL730" s="1"/>
  <c r="AM730" s="1"/>
  <c r="D731"/>
  <c r="AL731" s="1"/>
  <c r="AM731" s="1"/>
  <c r="D732"/>
  <c r="AL732" s="1"/>
  <c r="AM732" s="1"/>
  <c r="D733"/>
  <c r="D734"/>
  <c r="AL734" s="1"/>
  <c r="AM734" s="1"/>
  <c r="D735"/>
  <c r="AL735" s="1"/>
  <c r="AM735" s="1"/>
  <c r="D736"/>
  <c r="AL736" s="1"/>
  <c r="AM736" s="1"/>
  <c r="D737"/>
  <c r="AL737" s="1"/>
  <c r="AM737" s="1"/>
  <c r="D738"/>
  <c r="AL738" s="1"/>
  <c r="AM738" s="1"/>
  <c r="D739"/>
  <c r="AL739" s="1"/>
  <c r="AM739" s="1"/>
  <c r="D740"/>
  <c r="AL740" s="1"/>
  <c r="AM740" s="1"/>
  <c r="D741"/>
  <c r="AL741" s="1"/>
  <c r="AM741" s="1"/>
  <c r="D742"/>
  <c r="AL742" s="1"/>
  <c r="AM742" s="1"/>
  <c r="D743"/>
  <c r="AL743" s="1"/>
  <c r="AM743" s="1"/>
  <c r="D744"/>
  <c r="D745"/>
  <c r="AL745" s="1"/>
  <c r="AM745" s="1"/>
  <c r="D746"/>
  <c r="AL746" s="1"/>
  <c r="AM746" s="1"/>
  <c r="D747"/>
  <c r="AL747" s="1"/>
  <c r="AM747" s="1"/>
  <c r="D748"/>
  <c r="AL748" s="1"/>
  <c r="AM748" s="1"/>
  <c r="D749"/>
  <c r="AL749" s="1"/>
  <c r="AM749" s="1"/>
  <c r="D750"/>
  <c r="AL750" s="1"/>
  <c r="AM750" s="1"/>
  <c r="D751"/>
  <c r="AL751" s="1"/>
  <c r="AM751" s="1"/>
  <c r="D752"/>
  <c r="AL752" s="1"/>
  <c r="AM752" s="1"/>
  <c r="D753"/>
  <c r="AL753" s="1"/>
  <c r="AM753" s="1"/>
  <c r="D754"/>
  <c r="D755"/>
  <c r="AL755" s="1"/>
  <c r="AM755" s="1"/>
  <c r="D756"/>
  <c r="AL756" s="1"/>
  <c r="AM756" s="1"/>
  <c r="D757"/>
  <c r="AL757" s="1"/>
  <c r="AM757" s="1"/>
  <c r="D758"/>
  <c r="AL758" s="1"/>
  <c r="AM758" s="1"/>
  <c r="D759"/>
  <c r="AL759" s="1"/>
  <c r="AM759" s="1"/>
  <c r="D760"/>
  <c r="AL760" s="1"/>
  <c r="AM760" s="1"/>
  <c r="D761"/>
  <c r="AL761" s="1"/>
  <c r="AM761" s="1"/>
  <c r="D762"/>
  <c r="AL762" s="1"/>
  <c r="AM762" s="1"/>
  <c r="D763"/>
  <c r="D764"/>
  <c r="AL764" s="1"/>
  <c r="AM764" s="1"/>
  <c r="D765"/>
  <c r="AL765" s="1"/>
  <c r="AM765" s="1"/>
  <c r="D766"/>
  <c r="AL766" s="1"/>
  <c r="AM766" s="1"/>
  <c r="D767"/>
  <c r="AL767" s="1"/>
  <c r="AM767" s="1"/>
  <c r="D768"/>
  <c r="D769"/>
  <c r="D770"/>
  <c r="AL770" s="1"/>
  <c r="AM770" s="1"/>
  <c r="D771"/>
  <c r="D772"/>
  <c r="AL772" s="1"/>
  <c r="AM772" s="1"/>
  <c r="D773"/>
  <c r="AL773" s="1"/>
  <c r="AM773" s="1"/>
  <c r="D774"/>
  <c r="AL774" s="1"/>
  <c r="AM774" s="1"/>
  <c r="D775"/>
  <c r="D776"/>
  <c r="D777"/>
  <c r="AL777" s="1"/>
  <c r="AM777" s="1"/>
  <c r="D778"/>
  <c r="AL778" s="1"/>
  <c r="AM778" s="1"/>
  <c r="D779"/>
  <c r="D780"/>
  <c r="AL780" s="1"/>
  <c r="AM780" s="1"/>
  <c r="D781"/>
  <c r="AL781" s="1"/>
  <c r="AM781" s="1"/>
  <c r="D782"/>
  <c r="AL782" s="1"/>
  <c r="AM782" s="1"/>
  <c r="D783"/>
  <c r="AL783" s="1"/>
  <c r="AM783" s="1"/>
  <c r="D784"/>
  <c r="AL784" s="1"/>
  <c r="AM784" s="1"/>
  <c r="D785"/>
  <c r="AL785" s="1"/>
  <c r="AM785" s="1"/>
  <c r="D786"/>
  <c r="AL786" s="1"/>
  <c r="AM786" s="1"/>
  <c r="D787"/>
  <c r="AL787" s="1"/>
  <c r="AM787" s="1"/>
  <c r="D788"/>
  <c r="AL788" s="1"/>
  <c r="AM788" s="1"/>
  <c r="D789"/>
  <c r="AL789" s="1"/>
  <c r="AM789" s="1"/>
  <c r="D790"/>
  <c r="AL790" s="1"/>
  <c r="AM790" s="1"/>
  <c r="D791"/>
  <c r="AL791" s="1"/>
  <c r="AM791" s="1"/>
  <c r="D792"/>
  <c r="AL792" s="1"/>
  <c r="AM792" s="1"/>
  <c r="D793"/>
  <c r="AL793" s="1"/>
  <c r="AM793" s="1"/>
  <c r="D794"/>
  <c r="AL794" s="1"/>
  <c r="AM794" s="1"/>
  <c r="D795"/>
  <c r="AL795" s="1"/>
  <c r="AM795" s="1"/>
  <c r="D796"/>
  <c r="AL796" s="1"/>
  <c r="AM796" s="1"/>
  <c r="D797"/>
  <c r="AL797" s="1"/>
  <c r="AM797" s="1"/>
  <c r="D798"/>
  <c r="AL798" s="1"/>
  <c r="AM798" s="1"/>
  <c r="D799"/>
  <c r="AL799" s="1"/>
  <c r="AM799" s="1"/>
  <c r="D800"/>
  <c r="AL800" s="1"/>
  <c r="AM800" s="1"/>
  <c r="D801"/>
  <c r="D802"/>
  <c r="AL802" s="1"/>
  <c r="AM802" s="1"/>
  <c r="D803"/>
  <c r="D804"/>
  <c r="AL804" s="1"/>
  <c r="AM804" s="1"/>
  <c r="D805"/>
  <c r="AL805" s="1"/>
  <c r="AM805" s="1"/>
  <c r="D806"/>
  <c r="AL806" s="1"/>
  <c r="AM806" s="1"/>
  <c r="D807"/>
  <c r="AL807" s="1"/>
  <c r="AM807" s="1"/>
  <c r="D808"/>
  <c r="AL808" s="1"/>
  <c r="AM808" s="1"/>
  <c r="D809"/>
  <c r="D810"/>
  <c r="AL810" s="1"/>
  <c r="AM810" s="1"/>
  <c r="D811"/>
  <c r="D812"/>
  <c r="AL812" s="1"/>
  <c r="AM812" s="1"/>
  <c r="D813"/>
  <c r="AL813" s="1"/>
  <c r="AM813" s="1"/>
  <c r="D814"/>
  <c r="AL814" s="1"/>
  <c r="AM814" s="1"/>
  <c r="D815"/>
  <c r="AL815" s="1"/>
  <c r="AM815" s="1"/>
  <c r="D816"/>
  <c r="AL816" s="1"/>
  <c r="AM816" s="1"/>
  <c r="D817"/>
  <c r="D818"/>
  <c r="AL818" s="1"/>
  <c r="AM818" s="1"/>
  <c r="D819"/>
  <c r="AL819" s="1"/>
  <c r="AM819" s="1"/>
  <c r="D820"/>
  <c r="AL820" s="1"/>
  <c r="AM820" s="1"/>
  <c r="D821"/>
  <c r="AL821" s="1"/>
  <c r="AM821" s="1"/>
  <c r="D822"/>
  <c r="AL822" s="1"/>
  <c r="AM822" s="1"/>
  <c r="D823"/>
  <c r="D824"/>
  <c r="D825"/>
  <c r="AL825" s="1"/>
  <c r="AM825" s="1"/>
  <c r="D826"/>
  <c r="AL826" s="1"/>
  <c r="AM826" s="1"/>
  <c r="D827"/>
  <c r="AL827" s="1"/>
  <c r="AM827" s="1"/>
  <c r="D828"/>
  <c r="AL828" s="1"/>
  <c r="AM828" s="1"/>
  <c r="D829"/>
  <c r="AL829" s="1"/>
  <c r="AM829" s="1"/>
  <c r="D830"/>
  <c r="AL830" s="1"/>
  <c r="AM830" s="1"/>
  <c r="D831"/>
  <c r="AL831" s="1"/>
  <c r="AM831" s="1"/>
  <c r="D832"/>
  <c r="AL832" s="1"/>
  <c r="AM832" s="1"/>
  <c r="D833"/>
  <c r="AL833" s="1"/>
  <c r="AM833" s="1"/>
  <c r="D834"/>
  <c r="AL834" s="1"/>
  <c r="AM834" s="1"/>
  <c r="D835"/>
  <c r="AL835" s="1"/>
  <c r="AM835" s="1"/>
  <c r="D836"/>
  <c r="AL836" s="1"/>
  <c r="AM836" s="1"/>
  <c r="D837"/>
  <c r="AL837" s="1"/>
  <c r="AM837" s="1"/>
  <c r="D838"/>
  <c r="AL838" s="1"/>
  <c r="AM838" s="1"/>
  <c r="D839"/>
  <c r="AL839" s="1"/>
  <c r="AM839" s="1"/>
  <c r="D840"/>
  <c r="AL840" s="1"/>
  <c r="AM840" s="1"/>
  <c r="D841"/>
  <c r="AL841" s="1"/>
  <c r="AM841" s="1"/>
  <c r="D842"/>
  <c r="AL842" s="1"/>
  <c r="AM842" s="1"/>
  <c r="D843"/>
  <c r="AL843" s="1"/>
  <c r="AM843" s="1"/>
  <c r="D844"/>
  <c r="AL844" s="1"/>
  <c r="AM844" s="1"/>
  <c r="D845"/>
  <c r="AL845" s="1"/>
  <c r="AM845" s="1"/>
  <c r="D846"/>
  <c r="AL846" s="1"/>
  <c r="AM846" s="1"/>
  <c r="D847"/>
  <c r="AL847" s="1"/>
  <c r="AM847" s="1"/>
  <c r="D848"/>
  <c r="AL848" s="1"/>
  <c r="AM848" s="1"/>
  <c r="D849"/>
  <c r="AL849" s="1"/>
  <c r="AM849" s="1"/>
  <c r="D850"/>
  <c r="AL850" s="1"/>
  <c r="AM850" s="1"/>
  <c r="D851"/>
  <c r="D852"/>
  <c r="AL852" s="1"/>
  <c r="AM852" s="1"/>
  <c r="D853"/>
  <c r="AL853" s="1"/>
  <c r="AM853" s="1"/>
  <c r="D854"/>
  <c r="AL854" s="1"/>
  <c r="AM854" s="1"/>
  <c r="D855"/>
  <c r="AL855" s="1"/>
  <c r="AM855" s="1"/>
  <c r="D856"/>
  <c r="AL856" s="1"/>
  <c r="AM856" s="1"/>
  <c r="D857"/>
  <c r="AL857" s="1"/>
  <c r="AM857" s="1"/>
  <c r="D858"/>
  <c r="AL858" s="1"/>
  <c r="AM858" s="1"/>
  <c r="D859"/>
  <c r="AL859" s="1"/>
  <c r="AM859" s="1"/>
  <c r="D860"/>
  <c r="AL860" s="1"/>
  <c r="AM860" s="1"/>
  <c r="D861"/>
  <c r="AL861" s="1"/>
  <c r="AM861" s="1"/>
  <c r="D862"/>
  <c r="AL862" s="1"/>
  <c r="AM862" s="1"/>
  <c r="D863"/>
  <c r="AL863" s="1"/>
  <c r="AM863" s="1"/>
  <c r="D864"/>
  <c r="AL864" s="1"/>
  <c r="AM864" s="1"/>
  <c r="D865"/>
  <c r="AL865" s="1"/>
  <c r="AM865" s="1"/>
  <c r="D866"/>
  <c r="AL866" s="1"/>
  <c r="AM866" s="1"/>
  <c r="D867"/>
  <c r="D868"/>
  <c r="AL868" s="1"/>
  <c r="AM868" s="1"/>
  <c r="D869"/>
  <c r="AL869" s="1"/>
  <c r="AM869" s="1"/>
  <c r="D870"/>
  <c r="AL870" s="1"/>
  <c r="AM870" s="1"/>
  <c r="D871"/>
  <c r="AL871" s="1"/>
  <c r="AM871" s="1"/>
  <c r="D872"/>
  <c r="D873"/>
  <c r="AL873" s="1"/>
  <c r="AM873" s="1"/>
  <c r="D874"/>
  <c r="AL874" s="1"/>
  <c r="AM874" s="1"/>
  <c r="D875"/>
  <c r="AL875" s="1"/>
  <c r="AM875" s="1"/>
  <c r="D876"/>
  <c r="AL876" s="1"/>
  <c r="AM876" s="1"/>
  <c r="D877"/>
  <c r="AL877" s="1"/>
  <c r="AM877" s="1"/>
  <c r="D878"/>
  <c r="AL878" s="1"/>
  <c r="AM878" s="1"/>
  <c r="D879"/>
  <c r="AL879" s="1"/>
  <c r="AM879" s="1"/>
  <c r="D880"/>
  <c r="AL880" s="1"/>
  <c r="AM880" s="1"/>
  <c r="D881"/>
  <c r="AL881" s="1"/>
  <c r="AM881" s="1"/>
  <c r="D882"/>
  <c r="AL882" s="1"/>
  <c r="AM882" s="1"/>
  <c r="D883"/>
  <c r="AL883" s="1"/>
  <c r="AM883" s="1"/>
  <c r="D884"/>
  <c r="AL884" s="1"/>
  <c r="AM884" s="1"/>
  <c r="D885"/>
  <c r="AL885" s="1"/>
  <c r="AM885" s="1"/>
  <c r="D886"/>
  <c r="AL886" s="1"/>
  <c r="AM886" s="1"/>
  <c r="D887"/>
  <c r="AL887" s="1"/>
  <c r="AM887" s="1"/>
  <c r="D888"/>
  <c r="AL888" s="1"/>
  <c r="AM888" s="1"/>
  <c r="D889"/>
  <c r="AL889" s="1"/>
  <c r="AM889" s="1"/>
  <c r="D890"/>
  <c r="AL890" s="1"/>
  <c r="AM890" s="1"/>
  <c r="D891"/>
  <c r="D892"/>
  <c r="AL892" s="1"/>
  <c r="AM892" s="1"/>
  <c r="D893"/>
  <c r="AL893" s="1"/>
  <c r="AM893" s="1"/>
  <c r="D894"/>
  <c r="AL894" s="1"/>
  <c r="AM894" s="1"/>
  <c r="D895"/>
  <c r="AL895" s="1"/>
  <c r="AM895" s="1"/>
  <c r="D896"/>
  <c r="AL896" s="1"/>
  <c r="AM896" s="1"/>
  <c r="D897"/>
  <c r="AL897" s="1"/>
  <c r="AM897" s="1"/>
  <c r="D898"/>
  <c r="AL898" s="1"/>
  <c r="AM898" s="1"/>
  <c r="D899"/>
  <c r="D900"/>
  <c r="AL900" s="1"/>
  <c r="AM900" s="1"/>
  <c r="D901"/>
  <c r="AL901" s="1"/>
  <c r="AM901" s="1"/>
  <c r="D902"/>
  <c r="AL902" s="1"/>
  <c r="AM902" s="1"/>
  <c r="D903"/>
  <c r="AL903" s="1"/>
  <c r="AM903" s="1"/>
  <c r="D904"/>
  <c r="AL904" s="1"/>
  <c r="AM904" s="1"/>
  <c r="D905"/>
  <c r="AL905" s="1"/>
  <c r="AM905" s="1"/>
  <c r="D906"/>
  <c r="AL906" s="1"/>
  <c r="AM906" s="1"/>
  <c r="D907"/>
  <c r="D908"/>
  <c r="AL908" s="1"/>
  <c r="AM908" s="1"/>
  <c r="D909"/>
  <c r="AL909" s="1"/>
  <c r="AM909" s="1"/>
  <c r="D910"/>
  <c r="AL910" s="1"/>
  <c r="AM910" s="1"/>
  <c r="D911"/>
  <c r="AL911" s="1"/>
  <c r="AM911" s="1"/>
  <c r="D912"/>
  <c r="AL912" s="1"/>
  <c r="AM912" s="1"/>
  <c r="D913"/>
  <c r="AL913" s="1"/>
  <c r="AM913" s="1"/>
  <c r="D914"/>
  <c r="AL914" s="1"/>
  <c r="AM914" s="1"/>
  <c r="D915"/>
  <c r="AL915" s="1"/>
  <c r="AM915" s="1"/>
  <c r="D916"/>
  <c r="AL916" s="1"/>
  <c r="AM916" s="1"/>
  <c r="D917"/>
  <c r="AL917" s="1"/>
  <c r="AM917" s="1"/>
  <c r="D918"/>
  <c r="AL918" s="1"/>
  <c r="AM918" s="1"/>
  <c r="D919"/>
  <c r="AL919" s="1"/>
  <c r="AM919" s="1"/>
  <c r="D920"/>
  <c r="AL920" s="1"/>
  <c r="AM920" s="1"/>
  <c r="D921"/>
  <c r="D922"/>
  <c r="AL922" s="1"/>
  <c r="AM922" s="1"/>
  <c r="D923"/>
  <c r="AL923" s="1"/>
  <c r="AM923" s="1"/>
  <c r="D924"/>
  <c r="AL924" s="1"/>
  <c r="AM924" s="1"/>
  <c r="D925"/>
  <c r="AL925" s="1"/>
  <c r="AM925" s="1"/>
  <c r="D926"/>
  <c r="AL926" s="1"/>
  <c r="AM926" s="1"/>
  <c r="D927"/>
  <c r="AL927" s="1"/>
  <c r="AM927" s="1"/>
  <c r="D928"/>
  <c r="AL928" s="1"/>
  <c r="AM928" s="1"/>
  <c r="D929"/>
  <c r="D930"/>
  <c r="AL930" s="1"/>
  <c r="AM930" s="1"/>
  <c r="D931"/>
  <c r="AL931" s="1"/>
  <c r="AM931" s="1"/>
  <c r="D932"/>
  <c r="AL932" s="1"/>
  <c r="AM932" s="1"/>
  <c r="D933"/>
  <c r="AL933" s="1"/>
  <c r="AM933" s="1"/>
  <c r="D934"/>
  <c r="AL934" s="1"/>
  <c r="AM934" s="1"/>
  <c r="D935"/>
  <c r="AL935" s="1"/>
  <c r="AM935" s="1"/>
  <c r="D936"/>
  <c r="AL936" s="1"/>
  <c r="AM936" s="1"/>
  <c r="D937"/>
  <c r="D938"/>
  <c r="AL938" s="1"/>
  <c r="AM938" s="1"/>
  <c r="D939"/>
  <c r="AL939" s="1"/>
  <c r="AM939" s="1"/>
  <c r="D940"/>
  <c r="AL940" s="1"/>
  <c r="AM940" s="1"/>
  <c r="D941"/>
  <c r="AL941" s="1"/>
  <c r="AM941" s="1"/>
  <c r="D942"/>
  <c r="AL942" s="1"/>
  <c r="AM942" s="1"/>
  <c r="D943"/>
  <c r="AL943" s="1"/>
  <c r="AM943" s="1"/>
  <c r="D944"/>
  <c r="AL944" s="1"/>
  <c r="AM944" s="1"/>
  <c r="D945"/>
  <c r="D946"/>
  <c r="AL946" s="1"/>
  <c r="AM946" s="1"/>
  <c r="D947"/>
  <c r="D948"/>
  <c r="D949"/>
  <c r="AL949" s="1"/>
  <c r="AM949" s="1"/>
  <c r="D950"/>
  <c r="AL950" s="1"/>
  <c r="AM950" s="1"/>
  <c r="D951"/>
  <c r="AL951" s="1"/>
  <c r="AM951" s="1"/>
  <c r="D952"/>
  <c r="AL952" s="1"/>
  <c r="AM952" s="1"/>
  <c r="D953"/>
  <c r="D954"/>
  <c r="AL954" s="1"/>
  <c r="AM954" s="1"/>
  <c r="D955"/>
  <c r="D956"/>
  <c r="D957"/>
  <c r="AL957" s="1"/>
  <c r="AM957" s="1"/>
  <c r="D958"/>
  <c r="AL958" s="1"/>
  <c r="AM958" s="1"/>
  <c r="D959"/>
  <c r="AL959" s="1"/>
  <c r="AM959" s="1"/>
  <c r="D960"/>
  <c r="AL960" s="1"/>
  <c r="AM960" s="1"/>
  <c r="D961"/>
  <c r="D962"/>
  <c r="AL962" s="1"/>
  <c r="AM962" s="1"/>
  <c r="D963"/>
  <c r="D964"/>
  <c r="AL964" s="1"/>
  <c r="AM964" s="1"/>
  <c r="D965"/>
  <c r="AL965" s="1"/>
  <c r="AM965" s="1"/>
  <c r="D966"/>
  <c r="AL966" s="1"/>
  <c r="AM966" s="1"/>
  <c r="D967"/>
  <c r="AL967" s="1"/>
  <c r="AM967" s="1"/>
  <c r="D968"/>
  <c r="D969"/>
  <c r="D970"/>
  <c r="AL970" s="1"/>
  <c r="AM970" s="1"/>
  <c r="D971"/>
  <c r="D972"/>
  <c r="D973"/>
  <c r="AL973" s="1"/>
  <c r="AM973" s="1"/>
  <c r="D974"/>
  <c r="AL974" s="1"/>
  <c r="AM974" s="1"/>
  <c r="D975"/>
  <c r="AL975" s="1"/>
  <c r="AM975" s="1"/>
  <c r="D976"/>
  <c r="AL976" s="1"/>
  <c r="AM976" s="1"/>
  <c r="D977"/>
  <c r="D978"/>
  <c r="AL978" s="1"/>
  <c r="AM978" s="1"/>
  <c r="D979"/>
  <c r="AL979" s="1"/>
  <c r="AM979" s="1"/>
  <c r="D980"/>
  <c r="AL980" s="1"/>
  <c r="AM980" s="1"/>
  <c r="D981"/>
  <c r="AL981" s="1"/>
  <c r="AM981" s="1"/>
  <c r="D982"/>
  <c r="AL982" s="1"/>
  <c r="AM982" s="1"/>
  <c r="D983"/>
  <c r="AL983" s="1"/>
  <c r="AM983" s="1"/>
  <c r="D984"/>
  <c r="AL984" s="1"/>
  <c r="AM984" s="1"/>
  <c r="D985"/>
  <c r="D986"/>
  <c r="AL986" s="1"/>
  <c r="AM986" s="1"/>
  <c r="D987"/>
  <c r="D988"/>
  <c r="AL988" s="1"/>
  <c r="AM988" s="1"/>
  <c r="D989"/>
  <c r="AL989" s="1"/>
  <c r="AM989" s="1"/>
  <c r="D990"/>
  <c r="AL990" s="1"/>
  <c r="AM990" s="1"/>
  <c r="D991"/>
  <c r="AL991" s="1"/>
  <c r="AM991" s="1"/>
  <c r="D992"/>
  <c r="AL992" s="1"/>
  <c r="AM992" s="1"/>
  <c r="D993"/>
  <c r="AL993" s="1"/>
  <c r="AM993" s="1"/>
  <c r="D994"/>
  <c r="AL994" s="1"/>
  <c r="AM994" s="1"/>
  <c r="D995"/>
  <c r="AL995" s="1"/>
  <c r="AM995" s="1"/>
  <c r="D996"/>
  <c r="AL996" s="1"/>
  <c r="AM996" s="1"/>
  <c r="D997"/>
  <c r="AL997" s="1"/>
  <c r="AM997" s="1"/>
  <c r="D998"/>
  <c r="AL998" s="1"/>
  <c r="AM998" s="1"/>
  <c r="D999"/>
  <c r="AL999" s="1"/>
  <c r="AM999" s="1"/>
  <c r="D1000"/>
  <c r="AL1000" s="1"/>
  <c r="AM1000" s="1"/>
  <c r="D1001"/>
  <c r="AL1001" s="1"/>
  <c r="AM1001" s="1"/>
  <c r="D1002"/>
  <c r="AL1002" s="1"/>
  <c r="AM1002" s="1"/>
  <c r="D1003"/>
  <c r="AL1003" s="1"/>
  <c r="AM1003" s="1"/>
  <c r="D1004"/>
  <c r="D1005"/>
  <c r="AL1005" s="1"/>
  <c r="AM1005" s="1"/>
  <c r="D1006"/>
  <c r="AL1006" s="1"/>
  <c r="AM1006" s="1"/>
  <c r="D1007"/>
  <c r="AL1007" s="1"/>
  <c r="AM1007" s="1"/>
  <c r="D1008"/>
  <c r="AL1008" s="1"/>
  <c r="AM1008" s="1"/>
  <c r="D1009"/>
  <c r="AL1009" s="1"/>
  <c r="AM1009" s="1"/>
  <c r="D1010"/>
  <c r="AL1010" s="1"/>
  <c r="AM1010" s="1"/>
  <c r="D1011"/>
  <c r="AL1011" s="1"/>
  <c r="AM1011" s="1"/>
  <c r="D1012"/>
  <c r="AL1012" s="1"/>
  <c r="AM1012" s="1"/>
  <c r="D1013"/>
  <c r="AL1013" s="1"/>
  <c r="AM1013" s="1"/>
  <c r="D1014"/>
  <c r="AL1014" s="1"/>
  <c r="AM1014" s="1"/>
  <c r="D1015"/>
  <c r="AL1015" s="1"/>
  <c r="AM1015" s="1"/>
  <c r="D1016"/>
  <c r="AL1016" s="1"/>
  <c r="AM1016" s="1"/>
  <c r="D1017"/>
  <c r="D1018"/>
  <c r="AL1018" s="1"/>
  <c r="AM1018" s="1"/>
  <c r="D1019"/>
  <c r="AL1019" s="1"/>
  <c r="AM1019" s="1"/>
  <c r="D1020"/>
  <c r="AL1020" s="1"/>
  <c r="AM1020" s="1"/>
  <c r="D1021"/>
  <c r="AL1021" s="1"/>
  <c r="AM1021" s="1"/>
  <c r="D1022"/>
  <c r="AL1022" s="1"/>
  <c r="AM1022" s="1"/>
  <c r="D1023"/>
  <c r="AL1023" s="1"/>
  <c r="AM1023" s="1"/>
  <c r="D1024"/>
  <c r="AL1024" s="1"/>
  <c r="AM1024" s="1"/>
  <c r="D1025"/>
  <c r="D1026"/>
  <c r="AL1026" s="1"/>
  <c r="AM1026" s="1"/>
  <c r="D1027"/>
  <c r="AL1027" s="1"/>
  <c r="AM1027" s="1"/>
  <c r="D1028"/>
  <c r="AL1028" s="1"/>
  <c r="AM1028" s="1"/>
  <c r="D1029"/>
  <c r="AL1029" s="1"/>
  <c r="AM1029" s="1"/>
  <c r="D1030"/>
  <c r="AL1030" s="1"/>
  <c r="AM1030" s="1"/>
  <c r="D1031"/>
  <c r="AL1031" s="1"/>
  <c r="AM1031" s="1"/>
  <c r="D1032"/>
  <c r="AL1032" s="1"/>
  <c r="AM1032" s="1"/>
  <c r="D1033"/>
  <c r="AL1033" s="1"/>
  <c r="AM1033" s="1"/>
  <c r="D1034"/>
  <c r="AL1034" s="1"/>
  <c r="AM1034" s="1"/>
  <c r="D1035"/>
  <c r="AL1035" s="1"/>
  <c r="AM1035" s="1"/>
  <c r="D1036"/>
  <c r="AL1036" s="1"/>
  <c r="AM1036" s="1"/>
  <c r="D1037"/>
  <c r="AL1037" s="1"/>
  <c r="AM1037" s="1"/>
  <c r="D1038"/>
  <c r="AL1038" s="1"/>
  <c r="AM1038" s="1"/>
  <c r="D1039"/>
  <c r="D1040"/>
  <c r="D1041"/>
  <c r="AL1041" s="1"/>
  <c r="AM1041" s="1"/>
  <c r="D1042"/>
  <c r="AL1042" s="1"/>
  <c r="AM1042" s="1"/>
  <c r="D1043"/>
  <c r="D1044"/>
  <c r="AL1044" s="1"/>
  <c r="AM1044" s="1"/>
  <c r="D1045"/>
  <c r="AL1045" s="1"/>
  <c r="AM1045" s="1"/>
  <c r="D1046"/>
  <c r="AL1046" s="1"/>
  <c r="AM1046" s="1"/>
  <c r="D1047"/>
  <c r="AL1047" s="1"/>
  <c r="AM1047" s="1"/>
  <c r="D1048"/>
  <c r="AL1048" s="1"/>
  <c r="AM1048" s="1"/>
  <c r="D1049"/>
  <c r="AL1049" s="1"/>
  <c r="AM1049" s="1"/>
  <c r="D1050"/>
  <c r="AL1050" s="1"/>
  <c r="AM1050" s="1"/>
  <c r="D1051"/>
  <c r="AL1051" s="1"/>
  <c r="AM1051" s="1"/>
  <c r="D1052"/>
  <c r="D1053"/>
  <c r="AL1053" s="1"/>
  <c r="AM1053" s="1"/>
  <c r="D1054"/>
  <c r="AL1054" s="1"/>
  <c r="AM1054" s="1"/>
  <c r="D1055"/>
  <c r="AL1055" s="1"/>
  <c r="AM1055" s="1"/>
  <c r="D1056"/>
  <c r="AL1056" s="1"/>
  <c r="AM1056" s="1"/>
  <c r="D1057"/>
  <c r="D1058"/>
  <c r="D1059"/>
  <c r="AL1059" s="1"/>
  <c r="AM1059" s="1"/>
  <c r="D1060"/>
  <c r="AL1060" s="1"/>
  <c r="AM1060" s="1"/>
  <c r="D1061"/>
  <c r="AL1061" s="1"/>
  <c r="AM1061" s="1"/>
  <c r="D1062"/>
  <c r="AL1062" s="1"/>
  <c r="AM1062" s="1"/>
  <c r="D1063"/>
  <c r="AL1063" s="1"/>
  <c r="AM1063" s="1"/>
  <c r="D1064"/>
  <c r="D1065"/>
  <c r="AL1065" s="1"/>
  <c r="AM1065" s="1"/>
  <c r="D1066"/>
  <c r="AL1066" s="1"/>
  <c r="AM1066" s="1"/>
  <c r="D1067"/>
  <c r="AL1067" s="1"/>
  <c r="AM1067" s="1"/>
  <c r="D1068"/>
  <c r="AL1068" s="1"/>
  <c r="AM1068" s="1"/>
  <c r="D1069"/>
  <c r="D1070"/>
  <c r="AL1070" s="1"/>
  <c r="AM1070" s="1"/>
  <c r="D1071"/>
  <c r="AL1071" s="1"/>
  <c r="AM1071" s="1"/>
  <c r="D1072"/>
  <c r="AL1072" s="1"/>
  <c r="AM1072" s="1"/>
  <c r="D1073"/>
  <c r="AL1073" s="1"/>
  <c r="AM1073" s="1"/>
  <c r="D1074"/>
  <c r="AL1074" s="1"/>
  <c r="AM1074" s="1"/>
  <c r="D1075"/>
  <c r="D1076"/>
  <c r="AL1076" s="1"/>
  <c r="AM1076" s="1"/>
  <c r="D1077"/>
  <c r="AL1077" s="1"/>
  <c r="AM1077" s="1"/>
  <c r="D1078"/>
  <c r="AL1078" s="1"/>
  <c r="AM1078" s="1"/>
  <c r="D1079"/>
  <c r="AL1079" s="1"/>
  <c r="AM1079" s="1"/>
  <c r="D1080"/>
  <c r="AL1080" s="1"/>
  <c r="AM1080" s="1"/>
  <c r="D1081"/>
  <c r="AL1081" s="1"/>
  <c r="AM1081" s="1"/>
  <c r="D1082"/>
  <c r="AL1082" s="1"/>
  <c r="AM1082" s="1"/>
  <c r="D1083"/>
  <c r="D1084"/>
  <c r="AL1084" s="1"/>
  <c r="AM1084" s="1"/>
  <c r="D1085"/>
  <c r="D1086"/>
  <c r="AL1086" s="1"/>
  <c r="AM1086" s="1"/>
  <c r="D1087"/>
  <c r="AL1087" s="1"/>
  <c r="AM1087" s="1"/>
  <c r="D1088"/>
  <c r="AL1088" s="1"/>
  <c r="AM1088" s="1"/>
  <c r="D1089"/>
  <c r="D1090"/>
  <c r="AL1090" s="1"/>
  <c r="AM1090" s="1"/>
  <c r="D1091"/>
  <c r="AL1091" s="1"/>
  <c r="AM1091" s="1"/>
  <c r="D1092"/>
  <c r="AL1092" s="1"/>
  <c r="AM1092" s="1"/>
  <c r="D1093"/>
  <c r="AL1093" s="1"/>
  <c r="AM1093" s="1"/>
  <c r="D1094"/>
  <c r="AL1094" s="1"/>
  <c r="AM1094" s="1"/>
  <c r="D1095"/>
  <c r="AL1095" s="1"/>
  <c r="AM1095" s="1"/>
  <c r="D1096"/>
  <c r="AL1096" s="1"/>
  <c r="AM1096" s="1"/>
  <c r="D1097"/>
  <c r="AL1097" s="1"/>
  <c r="AM1097" s="1"/>
  <c r="D1098"/>
  <c r="AL1098" s="1"/>
  <c r="AM1098" s="1"/>
  <c r="D1099"/>
  <c r="AL1099" s="1"/>
  <c r="AM1099" s="1"/>
  <c r="D1100"/>
  <c r="AL1100" s="1"/>
  <c r="AM1100" s="1"/>
  <c r="D1101"/>
  <c r="AL1101" s="1"/>
  <c r="AM1101" s="1"/>
  <c r="D1102"/>
  <c r="AL1102" s="1"/>
  <c r="AM1102" s="1"/>
  <c r="D1103"/>
  <c r="AL1103" s="1"/>
  <c r="AM1103" s="1"/>
  <c r="D1104"/>
  <c r="AL1104" s="1"/>
  <c r="AM1104" s="1"/>
  <c r="D1105"/>
  <c r="AL1105" s="1"/>
  <c r="AM1105" s="1"/>
  <c r="D1106"/>
  <c r="AL1106" s="1"/>
  <c r="AM1106" s="1"/>
  <c r="D1107"/>
  <c r="AL1107" s="1"/>
  <c r="AM1107" s="1"/>
  <c r="D1108"/>
  <c r="AL1108" s="1"/>
  <c r="AM1108" s="1"/>
  <c r="D1109"/>
  <c r="AL1109" s="1"/>
  <c r="AM1109" s="1"/>
  <c r="D1110"/>
  <c r="AL1110" s="1"/>
  <c r="AM1110" s="1"/>
  <c r="D1111"/>
  <c r="AL1111" s="1"/>
  <c r="AM1111" s="1"/>
  <c r="D1112"/>
  <c r="AL1112" s="1"/>
  <c r="AM1112" s="1"/>
  <c r="D1113"/>
  <c r="AL1113" s="1"/>
  <c r="AM1113" s="1"/>
  <c r="D1114"/>
  <c r="AL1114" s="1"/>
  <c r="AM1114" s="1"/>
  <c r="D1115"/>
  <c r="AL1115" s="1"/>
  <c r="AM1115" s="1"/>
  <c r="D1116"/>
  <c r="AL1116" s="1"/>
  <c r="AM1116" s="1"/>
  <c r="D1117"/>
  <c r="AL1117" s="1"/>
  <c r="AM1117" s="1"/>
  <c r="D1118"/>
  <c r="AL1118" s="1"/>
  <c r="AM1118" s="1"/>
  <c r="D1119"/>
  <c r="AL1119" s="1"/>
  <c r="AM1119" s="1"/>
  <c r="D1120"/>
  <c r="AL1120" s="1"/>
  <c r="AM1120" s="1"/>
  <c r="D1121"/>
  <c r="AL1121" s="1"/>
  <c r="AM1121" s="1"/>
  <c r="D1122"/>
  <c r="AL1122" s="1"/>
  <c r="AM1122" s="1"/>
  <c r="D1123"/>
  <c r="D1124"/>
  <c r="D1125"/>
  <c r="AL1125" s="1"/>
  <c r="AM1125" s="1"/>
  <c r="D1126"/>
  <c r="AL1126" s="1"/>
  <c r="AM1126" s="1"/>
  <c r="D1127"/>
  <c r="AL1127" s="1"/>
  <c r="AM1127" s="1"/>
  <c r="D1128"/>
  <c r="AL1128" s="1"/>
  <c r="AM1128" s="1"/>
  <c r="D1129"/>
  <c r="AL1129" s="1"/>
  <c r="AM1129" s="1"/>
  <c r="D1130"/>
  <c r="AL1130" s="1"/>
  <c r="AM1130" s="1"/>
  <c r="D1131"/>
  <c r="AL1131" s="1"/>
  <c r="AM1131" s="1"/>
  <c r="D1132"/>
  <c r="AL1132" s="1"/>
  <c r="AM1132" s="1"/>
  <c r="D1133"/>
  <c r="D1134"/>
  <c r="AL1134" s="1"/>
  <c r="AM1134" s="1"/>
  <c r="D1135"/>
  <c r="AL1135" s="1"/>
  <c r="AM1135" s="1"/>
  <c r="D1136"/>
  <c r="D1137"/>
  <c r="AL1137" s="1"/>
  <c r="AM1137" s="1"/>
  <c r="D1138"/>
  <c r="AL1138" s="1"/>
  <c r="AM1138" s="1"/>
  <c r="D1139"/>
  <c r="AL1139" s="1"/>
  <c r="AM1139" s="1"/>
  <c r="D1140"/>
  <c r="AL1140" s="1"/>
  <c r="AM1140" s="1"/>
  <c r="D1141"/>
  <c r="AL1141" s="1"/>
  <c r="AM1141" s="1"/>
  <c r="D1142"/>
  <c r="AL1142" s="1"/>
  <c r="AM1142" s="1"/>
  <c r="D1143"/>
  <c r="AL1143" s="1"/>
  <c r="AM1143" s="1"/>
  <c r="D1144"/>
  <c r="AL1144" s="1"/>
  <c r="AM1144" s="1"/>
  <c r="D1145"/>
  <c r="AL1145" s="1"/>
  <c r="AM1145" s="1"/>
  <c r="D1146"/>
  <c r="AL1146" s="1"/>
  <c r="AM1146" s="1"/>
  <c r="D1147"/>
  <c r="AL1147" s="1"/>
  <c r="AM1147" s="1"/>
  <c r="D1148"/>
  <c r="D1149"/>
  <c r="D1150"/>
  <c r="AL1150" s="1"/>
  <c r="AM1150" s="1"/>
  <c r="D1151"/>
  <c r="AL1151" s="1"/>
  <c r="AM1151" s="1"/>
  <c r="D1152"/>
  <c r="AL1152" s="1"/>
  <c r="AM1152" s="1"/>
  <c r="D1153"/>
  <c r="AL1153" s="1"/>
  <c r="AM1153" s="1"/>
  <c r="D1154"/>
  <c r="AL1154" s="1"/>
  <c r="AM1154" s="1"/>
  <c r="D1155"/>
  <c r="D1156"/>
  <c r="AL1156" s="1"/>
  <c r="AM1156" s="1"/>
  <c r="D1157"/>
  <c r="AL1157" s="1"/>
  <c r="AM1157" s="1"/>
  <c r="D1158"/>
  <c r="AL1158" s="1"/>
  <c r="AM1158" s="1"/>
  <c r="D1159"/>
  <c r="AL1159" s="1"/>
  <c r="AM1159" s="1"/>
  <c r="D1160"/>
  <c r="AL1160" s="1"/>
  <c r="AM1160" s="1"/>
  <c r="D1161"/>
  <c r="AL1161" s="1"/>
  <c r="AM1161" s="1"/>
  <c r="D1162"/>
  <c r="AL1162" s="1"/>
  <c r="AM1162" s="1"/>
  <c r="D1163"/>
  <c r="D1164"/>
  <c r="AL1164" s="1"/>
  <c r="AM1164" s="1"/>
  <c r="D1165"/>
  <c r="AL1165" s="1"/>
  <c r="AM1165" s="1"/>
  <c r="D1166"/>
  <c r="AL1166" s="1"/>
  <c r="AM1166" s="1"/>
  <c r="D1167"/>
  <c r="AL1167" s="1"/>
  <c r="AM1167" s="1"/>
  <c r="D1168"/>
  <c r="AL1168" s="1"/>
  <c r="AM1168" s="1"/>
  <c r="D1169"/>
  <c r="AL1169" s="1"/>
  <c r="AM1169" s="1"/>
  <c r="D1170"/>
  <c r="AL1170" s="1"/>
  <c r="AM1170" s="1"/>
  <c r="D1171"/>
  <c r="D1172"/>
  <c r="D1173"/>
  <c r="AL1173" s="1"/>
  <c r="AM1173" s="1"/>
  <c r="D1174"/>
  <c r="AL1174" s="1"/>
  <c r="AM1174" s="1"/>
  <c r="D1175"/>
  <c r="AL1175" s="1"/>
  <c r="AM1175" s="1"/>
  <c r="D1176"/>
  <c r="AL1176" s="1"/>
  <c r="AM1176" s="1"/>
  <c r="D1177"/>
  <c r="AL1177" s="1"/>
  <c r="AM1177" s="1"/>
  <c r="D1178"/>
  <c r="AL1178" s="1"/>
  <c r="AM1178" s="1"/>
  <c r="D1179"/>
  <c r="AL1179" s="1"/>
  <c r="AM1179" s="1"/>
  <c r="D1180"/>
  <c r="D1181"/>
  <c r="D1182"/>
  <c r="AL1182" s="1"/>
  <c r="AM1182" s="1"/>
  <c r="D1183"/>
  <c r="AL1183" s="1"/>
  <c r="AM1183" s="1"/>
  <c r="D1184"/>
  <c r="AL1184" s="1"/>
  <c r="AM1184" s="1"/>
  <c r="D1185"/>
  <c r="AL1185" s="1"/>
  <c r="AM1185" s="1"/>
  <c r="D1186"/>
  <c r="AL1186" s="1"/>
  <c r="AM1186" s="1"/>
  <c r="D1187"/>
  <c r="AL1187" s="1"/>
  <c r="AM1187" s="1"/>
  <c r="D1188"/>
  <c r="AL1188" s="1"/>
  <c r="AM1188" s="1"/>
  <c r="D1189"/>
  <c r="AL1189" s="1"/>
  <c r="AM1189" s="1"/>
  <c r="D1190"/>
  <c r="AL1190" s="1"/>
  <c r="AM1190" s="1"/>
  <c r="D1191"/>
  <c r="AL1191" s="1"/>
  <c r="AM1191" s="1"/>
  <c r="D1192"/>
  <c r="AL1192" s="1"/>
  <c r="AM1192" s="1"/>
  <c r="D1193"/>
  <c r="AL1193" s="1"/>
  <c r="AM1193" s="1"/>
  <c r="D1194"/>
  <c r="AL1194" s="1"/>
  <c r="AM1194" s="1"/>
  <c r="D1195"/>
  <c r="AL1195" s="1"/>
  <c r="AM1195" s="1"/>
  <c r="D1196"/>
  <c r="AL1196" s="1"/>
  <c r="AM1196" s="1"/>
  <c r="D1197"/>
  <c r="AL1197" s="1"/>
  <c r="AM1197" s="1"/>
  <c r="D1198"/>
  <c r="AL1198" s="1"/>
  <c r="AM1198" s="1"/>
  <c r="D1199"/>
  <c r="AL1199" s="1"/>
  <c r="AM1199" s="1"/>
  <c r="D1200"/>
  <c r="AL1200" s="1"/>
  <c r="AM1200" s="1"/>
  <c r="D1201"/>
  <c r="AL1201" s="1"/>
  <c r="AM1201" s="1"/>
  <c r="D1202"/>
  <c r="AL1202" s="1"/>
  <c r="AM1202" s="1"/>
  <c r="D1203"/>
  <c r="AL1203" s="1"/>
  <c r="AM1203" s="1"/>
  <c r="D1204"/>
  <c r="AL1204" s="1"/>
  <c r="AM1204" s="1"/>
  <c r="D1205"/>
  <c r="AL1205" s="1"/>
  <c r="AM1205" s="1"/>
  <c r="D1206"/>
  <c r="AL1206" s="1"/>
  <c r="AM1206" s="1"/>
  <c r="D1207"/>
  <c r="AL1207" s="1"/>
  <c r="AM1207" s="1"/>
  <c r="D1208"/>
  <c r="AL1208" s="1"/>
  <c r="AM1208" s="1"/>
  <c r="D1209"/>
  <c r="AL1209" s="1"/>
  <c r="AM1209" s="1"/>
  <c r="D1210"/>
  <c r="D1211"/>
  <c r="AL1211" s="1"/>
  <c r="AM1211" s="1"/>
  <c r="D1212"/>
  <c r="D1213"/>
  <c r="D1214"/>
  <c r="AL1214" s="1"/>
  <c r="AM1214" s="1"/>
  <c r="D1215"/>
  <c r="AL1215" s="1"/>
  <c r="AM1215" s="1"/>
  <c r="D1216"/>
  <c r="AL1216" s="1"/>
  <c r="AM1216" s="1"/>
  <c r="D1217"/>
  <c r="AL1217" s="1"/>
  <c r="AM1217" s="1"/>
  <c r="D1218"/>
  <c r="AL1218" s="1"/>
  <c r="AM1218" s="1"/>
  <c r="D1219"/>
  <c r="AL1219" s="1"/>
  <c r="AM1219" s="1"/>
  <c r="D1220"/>
  <c r="D1221"/>
  <c r="AL1221" s="1"/>
  <c r="AM1221" s="1"/>
  <c r="D1222"/>
  <c r="AL1222" s="1"/>
  <c r="AM1222" s="1"/>
  <c r="D1223"/>
  <c r="AL1223" s="1"/>
  <c r="AM1223" s="1"/>
  <c r="D1224"/>
  <c r="AL1224" s="1"/>
  <c r="AM1224" s="1"/>
  <c r="D1225"/>
  <c r="AL1225" s="1"/>
  <c r="AM1225" s="1"/>
  <c r="D1226"/>
  <c r="AL1226" s="1"/>
  <c r="AM1226" s="1"/>
  <c r="D1227"/>
  <c r="AL1227" s="1"/>
  <c r="AM1227" s="1"/>
  <c r="D1228"/>
  <c r="AL1228" s="1"/>
  <c r="AM1228" s="1"/>
  <c r="D1229"/>
  <c r="AL1229" s="1"/>
  <c r="AM1229" s="1"/>
  <c r="D1230"/>
  <c r="AL1230" s="1"/>
  <c r="AM1230" s="1"/>
  <c r="D1231"/>
  <c r="AL1231" s="1"/>
  <c r="AM1231" s="1"/>
  <c r="D1232"/>
  <c r="AL1232" s="1"/>
  <c r="AM1232" s="1"/>
  <c r="D1233"/>
  <c r="AL1233" s="1"/>
  <c r="AM1233" s="1"/>
  <c r="D1234"/>
  <c r="AL1234" s="1"/>
  <c r="AM1234" s="1"/>
  <c r="D1235"/>
  <c r="AL1235" s="1"/>
  <c r="AM1235" s="1"/>
  <c r="D1236"/>
  <c r="AL1236" s="1"/>
  <c r="AM1236" s="1"/>
  <c r="D1237"/>
  <c r="AL1237" s="1"/>
  <c r="AM1237" s="1"/>
  <c r="D1238"/>
  <c r="AL1238" s="1"/>
  <c r="AM1238" s="1"/>
  <c r="D1239"/>
  <c r="AL1239" s="1"/>
  <c r="AM1239" s="1"/>
  <c r="D1240"/>
  <c r="AL1240" s="1"/>
  <c r="AM1240" s="1"/>
  <c r="D1241"/>
  <c r="AL1241" s="1"/>
  <c r="AM1241" s="1"/>
  <c r="D1242"/>
  <c r="AL1242" s="1"/>
  <c r="AM1242" s="1"/>
  <c r="D1243"/>
  <c r="AL1243" s="1"/>
  <c r="AM1243" s="1"/>
  <c r="D1244"/>
  <c r="AL1244" s="1"/>
  <c r="AM1244" s="1"/>
  <c r="D1245"/>
  <c r="D1246"/>
  <c r="AL1246" s="1"/>
  <c r="AM1246" s="1"/>
  <c r="D1247"/>
  <c r="AL1247" s="1"/>
  <c r="AM1247" s="1"/>
  <c r="D1248"/>
  <c r="AL1248" s="1"/>
  <c r="AM1248" s="1"/>
  <c r="D1249"/>
  <c r="AL1249" s="1"/>
  <c r="AM1249" s="1"/>
  <c r="D1250"/>
  <c r="AL1250" s="1"/>
  <c r="AM1250" s="1"/>
  <c r="D1251"/>
  <c r="AL1251" s="1"/>
  <c r="AM1251" s="1"/>
  <c r="D1252"/>
  <c r="AL1252" s="1"/>
  <c r="AM1252" s="1"/>
  <c r="D1253"/>
  <c r="AL1253" s="1"/>
  <c r="AM1253" s="1"/>
  <c r="D1254"/>
  <c r="AL1254" s="1"/>
  <c r="AM1254" s="1"/>
  <c r="D1255"/>
  <c r="AL1255" s="1"/>
  <c r="AM1255" s="1"/>
  <c r="D1256"/>
  <c r="AL1256" s="1"/>
  <c r="AM1256" s="1"/>
  <c r="D1257"/>
  <c r="AL1257" s="1"/>
  <c r="AM1257" s="1"/>
  <c r="D1258"/>
  <c r="AL1258" s="1"/>
  <c r="AM1258" s="1"/>
  <c r="D1259"/>
  <c r="AL1259" s="1"/>
  <c r="AM1259" s="1"/>
  <c r="D1260"/>
  <c r="D1261"/>
  <c r="AL1261" s="1"/>
  <c r="AM1261" s="1"/>
  <c r="D1262"/>
  <c r="AL1262" s="1"/>
  <c r="AM1262" s="1"/>
  <c r="D1263"/>
  <c r="AL1263" s="1"/>
  <c r="AM1263" s="1"/>
  <c r="D1264"/>
  <c r="AL1264" s="1"/>
  <c r="AM1264" s="1"/>
  <c r="D1265"/>
  <c r="AL1265" s="1"/>
  <c r="AM1265" s="1"/>
  <c r="D1266"/>
  <c r="AL1266" s="1"/>
  <c r="AM1266" s="1"/>
  <c r="D1267"/>
  <c r="AL1267" s="1"/>
  <c r="AM1267" s="1"/>
  <c r="D1268"/>
  <c r="D1269"/>
  <c r="AL1269" s="1"/>
  <c r="AM1269" s="1"/>
  <c r="D1270"/>
  <c r="D1271"/>
  <c r="AL1271" s="1"/>
  <c r="AM1271" s="1"/>
  <c r="D1272"/>
  <c r="AL1272" s="1"/>
  <c r="AM1272" s="1"/>
  <c r="D1273"/>
  <c r="AL1273" s="1"/>
  <c r="AM1273" s="1"/>
  <c r="D1274"/>
  <c r="AL1274" s="1"/>
  <c r="AM1274" s="1"/>
  <c r="D1275"/>
  <c r="AL1275" s="1"/>
  <c r="AM1275" s="1"/>
  <c r="D1276"/>
  <c r="AL1276" s="1"/>
  <c r="AM1276" s="1"/>
  <c r="D1277"/>
  <c r="AL1277" s="1"/>
  <c r="AM1277" s="1"/>
  <c r="D1278"/>
  <c r="AL1278" s="1"/>
  <c r="AM1278" s="1"/>
  <c r="D1279"/>
  <c r="AL1279" s="1"/>
  <c r="AM1279" s="1"/>
  <c r="D1280"/>
  <c r="AL1280" s="1"/>
  <c r="AM1280" s="1"/>
  <c r="D1281"/>
  <c r="AL1281" s="1"/>
  <c r="AM1281" s="1"/>
  <c r="D1282"/>
  <c r="AL1282" s="1"/>
  <c r="AM1282" s="1"/>
  <c r="D1283"/>
  <c r="AL1283" s="1"/>
  <c r="AM1283" s="1"/>
  <c r="D1284"/>
  <c r="AL1284" s="1"/>
  <c r="AM1284" s="1"/>
  <c r="D1285"/>
  <c r="AL1285" s="1"/>
  <c r="AM1285" s="1"/>
  <c r="D1286"/>
  <c r="AL1286" s="1"/>
  <c r="AM1286" s="1"/>
  <c r="D1287"/>
  <c r="AL1287" s="1"/>
  <c r="AM1287" s="1"/>
  <c r="D1288"/>
  <c r="AL1288" s="1"/>
  <c r="AM1288" s="1"/>
  <c r="D1289"/>
  <c r="AL1289" s="1"/>
  <c r="AM1289" s="1"/>
  <c r="D1290"/>
  <c r="AL1290" s="1"/>
  <c r="AM1290" s="1"/>
  <c r="D1291"/>
  <c r="AL1291" s="1"/>
  <c r="AM1291" s="1"/>
  <c r="D1292"/>
  <c r="AL1292" s="1"/>
  <c r="AM1292" s="1"/>
  <c r="D1293"/>
  <c r="AL1293" s="1"/>
  <c r="AM1293" s="1"/>
  <c r="D1294"/>
  <c r="D1295"/>
  <c r="AL1295" s="1"/>
  <c r="AM1295" s="1"/>
  <c r="D1296"/>
  <c r="AL1296" s="1"/>
  <c r="AM1296" s="1"/>
  <c r="D1297"/>
  <c r="AL1297" s="1"/>
  <c r="AM1297" s="1"/>
  <c r="D1298"/>
  <c r="AL1298" s="1"/>
  <c r="AM1298" s="1"/>
  <c r="D1299"/>
  <c r="D1300"/>
  <c r="AL1300" s="1"/>
  <c r="AM1300" s="1"/>
  <c r="D1301"/>
  <c r="AL1301" s="1"/>
  <c r="AM1301" s="1"/>
  <c r="D1302"/>
  <c r="AL1302" s="1"/>
  <c r="AM1302" s="1"/>
  <c r="D1303"/>
  <c r="AL1303" s="1"/>
  <c r="AM1303" s="1"/>
  <c r="D1304"/>
  <c r="AL1304" s="1"/>
  <c r="AM1304" s="1"/>
  <c r="D1305"/>
  <c r="AL1305" s="1"/>
  <c r="AM1305" s="1"/>
  <c r="D1306"/>
  <c r="AL1306" s="1"/>
  <c r="AM1306" s="1"/>
  <c r="D1307"/>
  <c r="D1308"/>
  <c r="AL1308" s="1"/>
  <c r="AM1308" s="1"/>
  <c r="D1309"/>
  <c r="AL1309" s="1"/>
  <c r="AM1309" s="1"/>
  <c r="D1310"/>
  <c r="AL1310" s="1"/>
  <c r="AM1310" s="1"/>
  <c r="D1311"/>
  <c r="AL1311" s="1"/>
  <c r="AM1311" s="1"/>
  <c r="D1312"/>
  <c r="AL1312" s="1"/>
  <c r="AM1312" s="1"/>
  <c r="D1313"/>
  <c r="AL1313" s="1"/>
  <c r="AM1313" s="1"/>
  <c r="D1314"/>
  <c r="AL1314" s="1"/>
  <c r="AM1314" s="1"/>
  <c r="D1315"/>
  <c r="AL1315" s="1"/>
  <c r="AM1315" s="1"/>
  <c r="D1316"/>
  <c r="AL1316" s="1"/>
  <c r="AM1316" s="1"/>
  <c r="D1317"/>
  <c r="AL1317" s="1"/>
  <c r="AM1317" s="1"/>
  <c r="D1318"/>
  <c r="AL1318" s="1"/>
  <c r="AM1318" s="1"/>
  <c r="D1319"/>
  <c r="AL1319" s="1"/>
  <c r="AM1319" s="1"/>
  <c r="D1320"/>
  <c r="AL1320" s="1"/>
  <c r="AM1320" s="1"/>
  <c r="D1321"/>
  <c r="AL1321" s="1"/>
  <c r="AM1321" s="1"/>
  <c r="D1322"/>
  <c r="D1323"/>
  <c r="AL1323" s="1"/>
  <c r="AM1323" s="1"/>
  <c r="D1324"/>
  <c r="AL1324" s="1"/>
  <c r="AM1324" s="1"/>
  <c r="D1325"/>
  <c r="AL1325" s="1"/>
  <c r="AM1325" s="1"/>
  <c r="D1326"/>
  <c r="AL1326" s="1"/>
  <c r="AM1326" s="1"/>
  <c r="D1327"/>
  <c r="AL1327" s="1"/>
  <c r="AM1327" s="1"/>
  <c r="D1328"/>
  <c r="AL1328" s="1"/>
  <c r="AM1328" s="1"/>
  <c r="D1329"/>
  <c r="AL1329" s="1"/>
  <c r="AM1329" s="1"/>
  <c r="D1330"/>
  <c r="AL1330" s="1"/>
  <c r="AM1330" s="1"/>
  <c r="D1331"/>
  <c r="D1332"/>
  <c r="AL1332" s="1"/>
  <c r="AM1332" s="1"/>
  <c r="D1333"/>
  <c r="AL1333" s="1"/>
  <c r="AM1333" s="1"/>
  <c r="D1334"/>
  <c r="AL1334" s="1"/>
  <c r="AM1334" s="1"/>
  <c r="D1335"/>
  <c r="AL1335" s="1"/>
  <c r="AM1335" s="1"/>
  <c r="D1336"/>
  <c r="AL1336" s="1"/>
  <c r="AM1336" s="1"/>
  <c r="D1337"/>
  <c r="AL1337" s="1"/>
  <c r="AM1337" s="1"/>
  <c r="D1338"/>
  <c r="AL1338" s="1"/>
  <c r="AM1338" s="1"/>
  <c r="D1339"/>
  <c r="D1340"/>
  <c r="AL1340" s="1"/>
  <c r="AM1340" s="1"/>
  <c r="D1341"/>
  <c r="AL1341" s="1"/>
  <c r="AM1341" s="1"/>
  <c r="D1342"/>
  <c r="AL1342" s="1"/>
  <c r="AM1342" s="1"/>
  <c r="D1343"/>
  <c r="AL1343" s="1"/>
  <c r="AM1343" s="1"/>
  <c r="D1344"/>
  <c r="AL1344" s="1"/>
  <c r="AM1344" s="1"/>
  <c r="D1345"/>
  <c r="AL1345" s="1"/>
  <c r="AM1345" s="1"/>
  <c r="D1346"/>
  <c r="AL1346" s="1"/>
  <c r="AM1346" s="1"/>
  <c r="D1347"/>
  <c r="D1348"/>
  <c r="AL1348" s="1"/>
  <c r="AM1348" s="1"/>
  <c r="D1349"/>
  <c r="AL1349" s="1"/>
  <c r="AM1349" s="1"/>
  <c r="D1350"/>
  <c r="AL1350" s="1"/>
  <c r="AM1350" s="1"/>
  <c r="D1351"/>
  <c r="AL1351" s="1"/>
  <c r="AM1351" s="1"/>
  <c r="D1352"/>
  <c r="AL1352" s="1"/>
  <c r="AM1352" s="1"/>
  <c r="D1353"/>
  <c r="AL1353" s="1"/>
  <c r="AM1353" s="1"/>
  <c r="D1354"/>
  <c r="D1355"/>
  <c r="AL1355" s="1"/>
  <c r="AM1355" s="1"/>
  <c r="D1356"/>
  <c r="AL1356" s="1"/>
  <c r="AM1356" s="1"/>
  <c r="D1357"/>
  <c r="AL1357" s="1"/>
  <c r="AM1357" s="1"/>
  <c r="D1358"/>
  <c r="AL1358" s="1"/>
  <c r="AM1358" s="1"/>
  <c r="D1359"/>
  <c r="AL1359" s="1"/>
  <c r="AM1359" s="1"/>
  <c r="D1360"/>
  <c r="AL1360" s="1"/>
  <c r="AM1360" s="1"/>
  <c r="D1361"/>
  <c r="AL1361" s="1"/>
  <c r="AM1361" s="1"/>
  <c r="D1362"/>
  <c r="AL1362" s="1"/>
  <c r="AM1362" s="1"/>
  <c r="D1363"/>
  <c r="AL1363" s="1"/>
  <c r="AM1363" s="1"/>
  <c r="D1364"/>
  <c r="AL1364" s="1"/>
  <c r="AM1364" s="1"/>
  <c r="D1365"/>
  <c r="AL1365" s="1"/>
  <c r="AM1365" s="1"/>
  <c r="D1366"/>
  <c r="AL1366" s="1"/>
  <c r="AM1366" s="1"/>
  <c r="D1367"/>
  <c r="AL1367" s="1"/>
  <c r="AM1367" s="1"/>
  <c r="D1368"/>
  <c r="AL1368" s="1"/>
  <c r="AM1368" s="1"/>
  <c r="D1369"/>
  <c r="D1370"/>
  <c r="AL1370" s="1"/>
  <c r="AM1370" s="1"/>
  <c r="D1371"/>
  <c r="AL1371" s="1"/>
  <c r="AM1371" s="1"/>
  <c r="D1372"/>
  <c r="AL1372" s="1"/>
  <c r="AM1372" s="1"/>
  <c r="D1373"/>
  <c r="D1374"/>
  <c r="AL1374" s="1"/>
  <c r="AM1374" s="1"/>
  <c r="D1375"/>
  <c r="AL1375" s="1"/>
  <c r="AM1375" s="1"/>
  <c r="D1376"/>
  <c r="AL1376" s="1"/>
  <c r="AM1376" s="1"/>
  <c r="D1377"/>
  <c r="D1378"/>
  <c r="D1379"/>
  <c r="AL1379" s="1"/>
  <c r="AM1379" s="1"/>
  <c r="D1380"/>
  <c r="AL1380" s="1"/>
  <c r="AM1380" s="1"/>
  <c r="D1381"/>
  <c r="AL1381" s="1"/>
  <c r="AM1381" s="1"/>
  <c r="D1382"/>
  <c r="AL1382" s="1"/>
  <c r="AM1382" s="1"/>
  <c r="D1383"/>
  <c r="AL1383" s="1"/>
  <c r="AM1383" s="1"/>
  <c r="D1384"/>
  <c r="AL1384" s="1"/>
  <c r="AM1384" s="1"/>
  <c r="D1385"/>
  <c r="AL1385" s="1"/>
  <c r="AM1385" s="1"/>
  <c r="D1386"/>
  <c r="AL1386" s="1"/>
  <c r="AM1386" s="1"/>
  <c r="D1387"/>
  <c r="AL1387" s="1"/>
  <c r="AM1387" s="1"/>
  <c r="D1388"/>
  <c r="AL1388" s="1"/>
  <c r="AM1388" s="1"/>
  <c r="D1389"/>
  <c r="D1390"/>
  <c r="AL1390" s="1"/>
  <c r="AM1390" s="1"/>
  <c r="D1391"/>
  <c r="AL1391" s="1"/>
  <c r="AM1391" s="1"/>
  <c r="D1392"/>
  <c r="AL1392" s="1"/>
  <c r="AM1392" s="1"/>
  <c r="D1393"/>
  <c r="D1394"/>
  <c r="AL1394" s="1"/>
  <c r="AM1394" s="1"/>
  <c r="D1395"/>
  <c r="AL1395" s="1"/>
  <c r="AM1395" s="1"/>
  <c r="D1396"/>
  <c r="AL1396" s="1"/>
  <c r="AM1396" s="1"/>
  <c r="D1397"/>
  <c r="AL1397" s="1"/>
  <c r="AM1397" s="1"/>
  <c r="D1398"/>
  <c r="AL1398" s="1"/>
  <c r="AM1398" s="1"/>
  <c r="D1399"/>
  <c r="AL1399" s="1"/>
  <c r="AM1399" s="1"/>
  <c r="D1400"/>
  <c r="AL1400" s="1"/>
  <c r="AM1400" s="1"/>
  <c r="D1401"/>
  <c r="AL1401" s="1"/>
  <c r="AM1401" s="1"/>
  <c r="D1402"/>
  <c r="AL1402" s="1"/>
  <c r="AM1402" s="1"/>
  <c r="D1403"/>
  <c r="AL1403" s="1"/>
  <c r="AM1403" s="1"/>
  <c r="D1404"/>
  <c r="AL1404" s="1"/>
  <c r="AM1404" s="1"/>
  <c r="D1405"/>
  <c r="AL1405" s="1"/>
  <c r="AM1405" s="1"/>
  <c r="D1406"/>
  <c r="AL1406" s="1"/>
  <c r="AM1406" s="1"/>
  <c r="D1407"/>
  <c r="AL1407" s="1"/>
  <c r="AM1407" s="1"/>
  <c r="D1408"/>
  <c r="AL1408" s="1"/>
  <c r="AM1408" s="1"/>
  <c r="D1409"/>
  <c r="AL1409" s="1"/>
  <c r="AM1409" s="1"/>
  <c r="D1410"/>
  <c r="AL1410" s="1"/>
  <c r="AM1410" s="1"/>
  <c r="D1411"/>
  <c r="AL1411" s="1"/>
  <c r="AM1411" s="1"/>
  <c r="D1412"/>
  <c r="AL1412" s="1"/>
  <c r="AM1412" s="1"/>
  <c r="D1413"/>
  <c r="AL1413" s="1"/>
  <c r="AM1413" s="1"/>
  <c r="D1414"/>
  <c r="AL1414" s="1"/>
  <c r="AM1414" s="1"/>
  <c r="D1415"/>
  <c r="AL1415" s="1"/>
  <c r="AM1415" s="1"/>
  <c r="D1416"/>
  <c r="AL1416" s="1"/>
  <c r="AM1416" s="1"/>
  <c r="D1417"/>
  <c r="AL1417" s="1"/>
  <c r="AM1417" s="1"/>
  <c r="D1418"/>
  <c r="D1419"/>
  <c r="D1420"/>
  <c r="AL1420" s="1"/>
  <c r="AM1420" s="1"/>
  <c r="D1421"/>
  <c r="D1422"/>
  <c r="AL1422" s="1"/>
  <c r="AM1422" s="1"/>
  <c r="D1423"/>
  <c r="AL1423" s="1"/>
  <c r="AM1423" s="1"/>
  <c r="D1424"/>
  <c r="AL1424" s="1"/>
  <c r="AM1424" s="1"/>
  <c r="D1425"/>
  <c r="AL1425" s="1"/>
  <c r="AM1425" s="1"/>
  <c r="D1426"/>
  <c r="AL1426" s="1"/>
  <c r="AM1426" s="1"/>
  <c r="D1427"/>
  <c r="AL1427" s="1"/>
  <c r="AM1427" s="1"/>
  <c r="D1428"/>
  <c r="AL1428" s="1"/>
  <c r="AM1428" s="1"/>
  <c r="D1429"/>
  <c r="AL1429" s="1"/>
  <c r="AM1429" s="1"/>
  <c r="D1430"/>
  <c r="AL1430" s="1"/>
  <c r="AM1430" s="1"/>
  <c r="D1431"/>
  <c r="AL1431" s="1"/>
  <c r="AM1431" s="1"/>
  <c r="D1432"/>
  <c r="AL1432" s="1"/>
  <c r="AM1432" s="1"/>
  <c r="D1433"/>
  <c r="AL1433" s="1"/>
  <c r="AM1433" s="1"/>
  <c r="D1434"/>
  <c r="AL1434" s="1"/>
  <c r="AM1434" s="1"/>
  <c r="D1435"/>
  <c r="AL1435" s="1"/>
  <c r="AM1435" s="1"/>
  <c r="D1436"/>
  <c r="AL1436" s="1"/>
  <c r="AM1436" s="1"/>
  <c r="D1437"/>
  <c r="AL1437" s="1"/>
  <c r="AM1437" s="1"/>
  <c r="D1438"/>
  <c r="AL1438" s="1"/>
  <c r="AM1438" s="1"/>
  <c r="D1439"/>
  <c r="AL1439" s="1"/>
  <c r="AM1439" s="1"/>
  <c r="D1440"/>
  <c r="AL1440" s="1"/>
  <c r="AM1440" s="1"/>
  <c r="D1441"/>
  <c r="AL1441" s="1"/>
  <c r="AM1441" s="1"/>
  <c r="D1442"/>
  <c r="D1443"/>
  <c r="AL1443" s="1"/>
  <c r="AM1443" s="1"/>
  <c r="D1444"/>
  <c r="AL1444" s="1"/>
  <c r="AM1444" s="1"/>
  <c r="D1445"/>
  <c r="AL1445" s="1"/>
  <c r="AM1445" s="1"/>
  <c r="D1446"/>
  <c r="AL1446" s="1"/>
  <c r="AM1446" s="1"/>
  <c r="D1447"/>
  <c r="AL1447" s="1"/>
  <c r="AM1447" s="1"/>
  <c r="D1448"/>
  <c r="AL1448" s="1"/>
  <c r="AM1448" s="1"/>
  <c r="D1449"/>
  <c r="AL1449" s="1"/>
  <c r="AM1449" s="1"/>
  <c r="D1450"/>
  <c r="D1451"/>
  <c r="AL1451" s="1"/>
  <c r="AM1451" s="1"/>
  <c r="D1452"/>
  <c r="AL1452" s="1"/>
  <c r="AM1452" s="1"/>
  <c r="D1453"/>
  <c r="AL1453" s="1"/>
  <c r="AM1453" s="1"/>
  <c r="D1454"/>
  <c r="AL1454" s="1"/>
  <c r="AM1454" s="1"/>
  <c r="D1455"/>
  <c r="AL1455" s="1"/>
  <c r="AM1455" s="1"/>
  <c r="D1456"/>
  <c r="AL1456" s="1"/>
  <c r="AM1456" s="1"/>
  <c r="D1457"/>
  <c r="D1458"/>
  <c r="AL1458" s="1"/>
  <c r="AM1458" s="1"/>
  <c r="D1459"/>
  <c r="AL1459" s="1"/>
  <c r="AM1459" s="1"/>
  <c r="D1460"/>
  <c r="AL1460" s="1"/>
  <c r="AM1460" s="1"/>
  <c r="D1461"/>
  <c r="AL1461" s="1"/>
  <c r="AM1461" s="1"/>
  <c r="D1462"/>
  <c r="AL1462" s="1"/>
  <c r="AM1462" s="1"/>
  <c r="D1463"/>
  <c r="AL1463" s="1"/>
  <c r="AM1463" s="1"/>
  <c r="D1464"/>
  <c r="AL1464" s="1"/>
  <c r="AM1464" s="1"/>
  <c r="D1465"/>
  <c r="D1466"/>
  <c r="AL1466" s="1"/>
  <c r="AM1466" s="1"/>
  <c r="D1467"/>
  <c r="AL1467" s="1"/>
  <c r="AM1467" s="1"/>
  <c r="D1468"/>
  <c r="AL1468" s="1"/>
  <c r="AM1468" s="1"/>
  <c r="D1469"/>
  <c r="D1470"/>
  <c r="AL1470" s="1"/>
  <c r="AM1470" s="1"/>
  <c r="D1471"/>
  <c r="AL1471" s="1"/>
  <c r="AM1471" s="1"/>
  <c r="D1472"/>
  <c r="AL1472" s="1"/>
  <c r="AM1472" s="1"/>
  <c r="D1473"/>
  <c r="AL1473" s="1"/>
  <c r="AM1473" s="1"/>
  <c r="D1474"/>
  <c r="D1475"/>
  <c r="AL1475" s="1"/>
  <c r="AM1475" s="1"/>
  <c r="D1476"/>
  <c r="AL1476" s="1"/>
  <c r="AM1476" s="1"/>
  <c r="D1477"/>
  <c r="AL1477" s="1"/>
  <c r="AM1477" s="1"/>
  <c r="D1478"/>
  <c r="AL1478" s="1"/>
  <c r="AM1478" s="1"/>
  <c r="D1479"/>
  <c r="AL1479" s="1"/>
  <c r="AM1479" s="1"/>
  <c r="D1480"/>
  <c r="AL1480" s="1"/>
  <c r="AM1480" s="1"/>
  <c r="D1481"/>
  <c r="D1482"/>
  <c r="AL1482" s="1"/>
  <c r="AM1482" s="1"/>
  <c r="D1483"/>
  <c r="AL1483" s="1"/>
  <c r="AM1483" s="1"/>
  <c r="D1484"/>
  <c r="AL1484" s="1"/>
  <c r="AM1484" s="1"/>
  <c r="D1485"/>
  <c r="AL1485" s="1"/>
  <c r="AM1485" s="1"/>
  <c r="D1486"/>
  <c r="AL1486" s="1"/>
  <c r="AM1486" s="1"/>
  <c r="D1487"/>
  <c r="AL1487" s="1"/>
  <c r="AM1487" s="1"/>
  <c r="D1488"/>
  <c r="AL1488" s="1"/>
  <c r="AM1488" s="1"/>
  <c r="D1489"/>
  <c r="AL1489" s="1"/>
  <c r="AM1489" s="1"/>
  <c r="D1490"/>
  <c r="AL1490" s="1"/>
  <c r="AM1490" s="1"/>
  <c r="D1491"/>
  <c r="AL1491" s="1"/>
  <c r="AM1491" s="1"/>
  <c r="D1492"/>
  <c r="AL1492" s="1"/>
  <c r="AM1492" s="1"/>
  <c r="D1493"/>
  <c r="AL1493" s="1"/>
  <c r="AM1493" s="1"/>
  <c r="D1494"/>
  <c r="AL1494" s="1"/>
  <c r="AM1494" s="1"/>
  <c r="D1495"/>
  <c r="AL1495" s="1"/>
  <c r="AM1495" s="1"/>
  <c r="D1496"/>
  <c r="AL1496" s="1"/>
  <c r="AM1496" s="1"/>
  <c r="D1497"/>
  <c r="D1498"/>
  <c r="AL1498" s="1"/>
  <c r="AM1498" s="1"/>
  <c r="D1499"/>
  <c r="AL1499" s="1"/>
  <c r="AM1499" s="1"/>
  <c r="D1500"/>
  <c r="AL1500" s="1"/>
  <c r="AM1500" s="1"/>
  <c r="D1501"/>
  <c r="D1502"/>
  <c r="AL1502" s="1"/>
  <c r="AM1502" s="1"/>
  <c r="D1503"/>
  <c r="AL1503" s="1"/>
  <c r="AM1503" s="1"/>
  <c r="D1504"/>
  <c r="AL1504" s="1"/>
  <c r="AM1504" s="1"/>
  <c r="D1505"/>
  <c r="AL1505" s="1"/>
  <c r="AM1505" s="1"/>
  <c r="D1506"/>
  <c r="AL1506" s="1"/>
  <c r="AM1506" s="1"/>
  <c r="D1507"/>
  <c r="AL1507" s="1"/>
  <c r="AM1507" s="1"/>
  <c r="D1508"/>
  <c r="AL1508" s="1"/>
  <c r="AM1508" s="1"/>
  <c r="D1509"/>
  <c r="AL1509" s="1"/>
  <c r="AM1509" s="1"/>
  <c r="D1510"/>
  <c r="AL1510" s="1"/>
  <c r="AM1510" s="1"/>
  <c r="D1511"/>
  <c r="AL1511" s="1"/>
  <c r="AM1511" s="1"/>
  <c r="D1512"/>
  <c r="AL1512" s="1"/>
  <c r="AM1512" s="1"/>
  <c r="D1513"/>
  <c r="D1514"/>
  <c r="AL1514" s="1"/>
  <c r="AM1514" s="1"/>
  <c r="D1515"/>
  <c r="AL1515" s="1"/>
  <c r="AM1515" s="1"/>
  <c r="D1516"/>
  <c r="AL1516" s="1"/>
  <c r="AM1516" s="1"/>
  <c r="D1517"/>
  <c r="AL1517" s="1"/>
  <c r="AM1517" s="1"/>
  <c r="D1518"/>
  <c r="AL1518" s="1"/>
  <c r="AM1518" s="1"/>
  <c r="D1519"/>
  <c r="AL1519" s="1"/>
  <c r="AM1519" s="1"/>
  <c r="D1520"/>
  <c r="AL1520" s="1"/>
  <c r="AM1520" s="1"/>
  <c r="D1521"/>
  <c r="AL1521" s="1"/>
  <c r="AM1521" s="1"/>
  <c r="D1522"/>
  <c r="AL1522" s="1"/>
  <c r="AM1522" s="1"/>
  <c r="D1523"/>
  <c r="AL1523" s="1"/>
  <c r="AM1523" s="1"/>
  <c r="D1524"/>
  <c r="AL1524" s="1"/>
  <c r="AM1524" s="1"/>
  <c r="D1525"/>
  <c r="AL1525" s="1"/>
  <c r="AM1525" s="1"/>
  <c r="D1526"/>
  <c r="AL1526" s="1"/>
  <c r="AM1526" s="1"/>
  <c r="D1527"/>
  <c r="AL1527" s="1"/>
  <c r="AM1527" s="1"/>
  <c r="D1528"/>
  <c r="AL1528" s="1"/>
  <c r="AM1528" s="1"/>
  <c r="D1529"/>
  <c r="D1530"/>
  <c r="AL1530" s="1"/>
  <c r="AM1530" s="1"/>
  <c r="D1531"/>
  <c r="AL1531" s="1"/>
  <c r="AM1531" s="1"/>
  <c r="D1532"/>
  <c r="AL1532" s="1"/>
  <c r="AM1532" s="1"/>
  <c r="D1533"/>
  <c r="AL1533" s="1"/>
  <c r="AM1533" s="1"/>
  <c r="D1534"/>
  <c r="AL1534" s="1"/>
  <c r="AM1534" s="1"/>
  <c r="D1535"/>
  <c r="AL1535" s="1"/>
  <c r="AM1535" s="1"/>
  <c r="D1536"/>
  <c r="AL1536" s="1"/>
  <c r="AM1536" s="1"/>
  <c r="D1537"/>
  <c r="D1538"/>
  <c r="AL1538" s="1"/>
  <c r="AM1538" s="1"/>
  <c r="D1539"/>
  <c r="AL1539" s="1"/>
  <c r="AM1539" s="1"/>
  <c r="D1540"/>
  <c r="AL1540" s="1"/>
  <c r="AM1540" s="1"/>
  <c r="D1541"/>
  <c r="AL1541" s="1"/>
  <c r="AM1541" s="1"/>
  <c r="D1542"/>
  <c r="AL1542" s="1"/>
  <c r="AM1542" s="1"/>
  <c r="D1543"/>
  <c r="AL1543" s="1"/>
  <c r="AM1543" s="1"/>
  <c r="D1544"/>
  <c r="AL1544" s="1"/>
  <c r="AM1544" s="1"/>
  <c r="D1545"/>
  <c r="AL1545" s="1"/>
  <c r="AM1545" s="1"/>
  <c r="D1546"/>
  <c r="AL1546" s="1"/>
  <c r="AM1546" s="1"/>
  <c r="D1547"/>
  <c r="AL1547" s="1"/>
  <c r="AM1547" s="1"/>
  <c r="D1548"/>
  <c r="AL1548" s="1"/>
  <c r="AM1548" s="1"/>
  <c r="D1549"/>
  <c r="AL1549" s="1"/>
  <c r="AM1549" s="1"/>
  <c r="D1550"/>
  <c r="AL1550" s="1"/>
  <c r="AM1550" s="1"/>
  <c r="D1551"/>
  <c r="AL1551" s="1"/>
  <c r="AM1551" s="1"/>
  <c r="D1552"/>
  <c r="AL1552" s="1"/>
  <c r="AM1552" s="1"/>
  <c r="D1553"/>
  <c r="AL1553" s="1"/>
  <c r="AM1553" s="1"/>
  <c r="D1554"/>
  <c r="AL1554" s="1"/>
  <c r="AM1554" s="1"/>
  <c r="D1555"/>
  <c r="AL1555" s="1"/>
  <c r="AM1555" s="1"/>
  <c r="D1556"/>
  <c r="AL1556" s="1"/>
  <c r="AM1556" s="1"/>
  <c r="D1557"/>
  <c r="AL1557" s="1"/>
  <c r="AM1557" s="1"/>
  <c r="D1558"/>
  <c r="AL1558" s="1"/>
  <c r="AM1558" s="1"/>
  <c r="D1559"/>
  <c r="AL1559" s="1"/>
  <c r="AM1559" s="1"/>
  <c r="D1560"/>
  <c r="AL1560" s="1"/>
  <c r="AM1560" s="1"/>
  <c r="D1561"/>
  <c r="AL1561" s="1"/>
  <c r="AM1561" s="1"/>
  <c r="D1562"/>
  <c r="D1563"/>
  <c r="AL1563" s="1"/>
  <c r="AM1563" s="1"/>
  <c r="D1564"/>
  <c r="AL1564" s="1"/>
  <c r="AM1564" s="1"/>
  <c r="D1565"/>
  <c r="AL1565" s="1"/>
  <c r="AM1565" s="1"/>
  <c r="D1566"/>
  <c r="AL1566" s="1"/>
  <c r="AM1566" s="1"/>
  <c r="D1567"/>
  <c r="AL1567" s="1"/>
  <c r="AM1567" s="1"/>
  <c r="D1568"/>
  <c r="AL1568" s="1"/>
  <c r="AM1568" s="1"/>
  <c r="D1569"/>
  <c r="AL1569" s="1"/>
  <c r="AM1569" s="1"/>
  <c r="D1570"/>
  <c r="AL1570" s="1"/>
  <c r="AM1570" s="1"/>
  <c r="D1571"/>
  <c r="D1572"/>
  <c r="AL1572" s="1"/>
  <c r="AM1572" s="1"/>
  <c r="D1573"/>
  <c r="AL1573" s="1"/>
  <c r="AM1573" s="1"/>
  <c r="D1574"/>
  <c r="AL1574" s="1"/>
  <c r="AM1574" s="1"/>
  <c r="D1575"/>
  <c r="AL1575" s="1"/>
  <c r="AM1575" s="1"/>
  <c r="D1576"/>
  <c r="AL1576" s="1"/>
  <c r="AM1576" s="1"/>
  <c r="D1577"/>
  <c r="AL1577" s="1"/>
  <c r="AM1577" s="1"/>
  <c r="D1578"/>
  <c r="AL1578" s="1"/>
  <c r="AM1578" s="1"/>
  <c r="D1579"/>
  <c r="AL1579" s="1"/>
  <c r="AM1579" s="1"/>
  <c r="D1580"/>
  <c r="AL1580" s="1"/>
  <c r="AM1580" s="1"/>
  <c r="D1581"/>
  <c r="AL1581" s="1"/>
  <c r="AM1581" s="1"/>
  <c r="D1582"/>
  <c r="AL1582" s="1"/>
  <c r="AM1582" s="1"/>
  <c r="D1583"/>
  <c r="AL1583" s="1"/>
  <c r="AM1583" s="1"/>
  <c r="D1584"/>
  <c r="AL1584" s="1"/>
  <c r="AM1584" s="1"/>
  <c r="D1585"/>
  <c r="AL1585" s="1"/>
  <c r="AM1585" s="1"/>
  <c r="D1586"/>
  <c r="AL1586" s="1"/>
  <c r="AM1586" s="1"/>
  <c r="D1587"/>
  <c r="AL1587" s="1"/>
  <c r="AM1587" s="1"/>
  <c r="D1588"/>
  <c r="AL1588" s="1"/>
  <c r="AM1588" s="1"/>
  <c r="D1589"/>
  <c r="AL1589" s="1"/>
  <c r="AM1589" s="1"/>
  <c r="D1590"/>
  <c r="AL1590" s="1"/>
  <c r="AM1590" s="1"/>
  <c r="D1591"/>
  <c r="AL1591" s="1"/>
  <c r="AM1591" s="1"/>
  <c r="D1592"/>
  <c r="AL1592" s="1"/>
  <c r="AM1592" s="1"/>
  <c r="D1593"/>
  <c r="AL1593" s="1"/>
  <c r="AM1593" s="1"/>
  <c r="D1594"/>
  <c r="AL1594" s="1"/>
  <c r="AM1594" s="1"/>
  <c r="D1595"/>
  <c r="AL1595" s="1"/>
  <c r="AM1595" s="1"/>
  <c r="D1596"/>
  <c r="AL1596" s="1"/>
  <c r="AM1596" s="1"/>
  <c r="D1597"/>
  <c r="AL1597" s="1"/>
  <c r="AM1597" s="1"/>
  <c r="D1598"/>
  <c r="AL1598" s="1"/>
  <c r="AM1598" s="1"/>
  <c r="D1599"/>
  <c r="AL1599" s="1"/>
  <c r="AM1599" s="1"/>
  <c r="D1600"/>
  <c r="AL1600" s="1"/>
  <c r="AM1600" s="1"/>
  <c r="D1601"/>
  <c r="AL1601" s="1"/>
  <c r="AM1601" s="1"/>
  <c r="D1602"/>
  <c r="AL1602" s="1"/>
  <c r="AM1602" s="1"/>
  <c r="D1603"/>
  <c r="AL1603" s="1"/>
  <c r="AM1603" s="1"/>
  <c r="D1604"/>
  <c r="AL1604" s="1"/>
  <c r="AM1604" s="1"/>
  <c r="D1605"/>
  <c r="AL1605" s="1"/>
  <c r="AM1605" s="1"/>
  <c r="D1606"/>
  <c r="AL1606" s="1"/>
  <c r="AM1606" s="1"/>
  <c r="D1607"/>
  <c r="AL1607" s="1"/>
  <c r="AM1607" s="1"/>
  <c r="D1608"/>
  <c r="AL1608" s="1"/>
  <c r="AM1608" s="1"/>
  <c r="D1609"/>
  <c r="AL1609" s="1"/>
  <c r="AM1609" s="1"/>
  <c r="D1610"/>
  <c r="AL1610" s="1"/>
  <c r="AM1610" s="1"/>
  <c r="D1611"/>
  <c r="AL1611" s="1"/>
  <c r="AM1611" s="1"/>
  <c r="D1612"/>
  <c r="AL1612" s="1"/>
  <c r="AM1612" s="1"/>
  <c r="D1613"/>
  <c r="AL1613" s="1"/>
  <c r="AM1613" s="1"/>
  <c r="D1614"/>
  <c r="AL1614" s="1"/>
  <c r="AM1614" s="1"/>
  <c r="D1615"/>
  <c r="AL1615" s="1"/>
  <c r="AM1615" s="1"/>
  <c r="D1616"/>
  <c r="AL1616" s="1"/>
  <c r="AM1616" s="1"/>
  <c r="D1617"/>
  <c r="AL1617" s="1"/>
  <c r="AM1617" s="1"/>
  <c r="D1618"/>
  <c r="AL1618" s="1"/>
  <c r="AM1618" s="1"/>
  <c r="D1619"/>
  <c r="AL1619" s="1"/>
  <c r="AM1619" s="1"/>
  <c r="D1620"/>
  <c r="AL1620" s="1"/>
  <c r="AM1620" s="1"/>
  <c r="D1621"/>
  <c r="AL1621" s="1"/>
  <c r="AM1621" s="1"/>
  <c r="D1622"/>
  <c r="AL1622" s="1"/>
  <c r="AM1622" s="1"/>
  <c r="D1623"/>
  <c r="AL1623" s="1"/>
  <c r="AM1623" s="1"/>
  <c r="D1624"/>
  <c r="AL1624" s="1"/>
  <c r="AM1624" s="1"/>
  <c r="D1625"/>
  <c r="AL1625" s="1"/>
  <c r="AM1625" s="1"/>
  <c r="D1626"/>
  <c r="AL1626" s="1"/>
  <c r="AM1626" s="1"/>
  <c r="D1627"/>
  <c r="D1628"/>
  <c r="AL1628" s="1"/>
  <c r="AM1628" s="1"/>
  <c r="D1629"/>
  <c r="AL1629" s="1"/>
  <c r="AM1629" s="1"/>
  <c r="D1630"/>
  <c r="AL1630" s="1"/>
  <c r="AM1630" s="1"/>
  <c r="D1631"/>
  <c r="AL1631" s="1"/>
  <c r="AM1631" s="1"/>
  <c r="D1632"/>
  <c r="AL1632" s="1"/>
  <c r="AM1632" s="1"/>
  <c r="D1633"/>
  <c r="AL1633" s="1"/>
  <c r="AM1633" s="1"/>
  <c r="D1634"/>
  <c r="AL1634" s="1"/>
  <c r="AM1634" s="1"/>
  <c r="D1635"/>
  <c r="D1636"/>
  <c r="AL1636" s="1"/>
  <c r="AM1636" s="1"/>
  <c r="D1637"/>
  <c r="AL1637" s="1"/>
  <c r="AM1637" s="1"/>
  <c r="D1638"/>
  <c r="AL1638" s="1"/>
  <c r="AM1638" s="1"/>
  <c r="D1639"/>
  <c r="AL1639" s="1"/>
  <c r="AM1639" s="1"/>
  <c r="D1640"/>
  <c r="D1641"/>
  <c r="AL1641" s="1"/>
  <c r="AM1641" s="1"/>
  <c r="D1642"/>
  <c r="AL1642" s="1"/>
  <c r="AM1642" s="1"/>
  <c r="D1643"/>
  <c r="AL1643" s="1"/>
  <c r="AM1643" s="1"/>
  <c r="D1644"/>
  <c r="AL1644" s="1"/>
  <c r="AM1644" s="1"/>
  <c r="D1645"/>
  <c r="AL1645" s="1"/>
  <c r="AM1645" s="1"/>
  <c r="D1646"/>
  <c r="AL1646" s="1"/>
  <c r="AM1646" s="1"/>
  <c r="D1647"/>
  <c r="AL1647" s="1"/>
  <c r="AM1647" s="1"/>
  <c r="D1648"/>
  <c r="AL1648" s="1"/>
  <c r="AM1648" s="1"/>
  <c r="D1649"/>
  <c r="AL1649" s="1"/>
  <c r="AM1649" s="1"/>
  <c r="D1650"/>
  <c r="AL1650" s="1"/>
  <c r="AM1650" s="1"/>
  <c r="D1651"/>
  <c r="Z1651" s="1"/>
  <c r="B2"/>
  <c r="C2"/>
  <c r="N2" s="1"/>
  <c r="D2"/>
  <c r="A2"/>
  <c r="M2" s="1"/>
  <c r="X5"/>
  <c r="Y5"/>
  <c r="Y6"/>
  <c r="Z6"/>
  <c r="Y14"/>
  <c r="X16"/>
  <c r="Y17"/>
  <c r="Y18"/>
  <c r="X21"/>
  <c r="X25"/>
  <c r="Y25"/>
  <c r="Y30"/>
  <c r="Y34"/>
  <c r="Y37"/>
  <c r="Y38"/>
  <c r="Z38"/>
  <c r="X40"/>
  <c r="X44"/>
  <c r="X45"/>
  <c r="Y49"/>
  <c r="Z52"/>
  <c r="X53"/>
  <c r="Y53"/>
  <c r="Y54"/>
  <c r="Y58"/>
  <c r="X64"/>
  <c r="Y66"/>
  <c r="Y67"/>
  <c r="X68"/>
  <c r="X69"/>
  <c r="X73"/>
  <c r="Y73"/>
  <c r="Y77"/>
  <c r="Y78"/>
  <c r="Z78"/>
  <c r="Y82"/>
  <c r="Z84"/>
  <c r="X87"/>
  <c r="X88"/>
  <c r="X92"/>
  <c r="X93"/>
  <c r="X96"/>
  <c r="X97"/>
  <c r="Y97"/>
  <c r="Y101"/>
  <c r="Y102"/>
  <c r="Z102"/>
  <c r="X105"/>
  <c r="Y105"/>
  <c r="Y106"/>
  <c r="X112"/>
  <c r="X116"/>
  <c r="X117"/>
  <c r="Y117"/>
  <c r="Y118"/>
  <c r="X120"/>
  <c r="X121"/>
  <c r="Y121"/>
  <c r="X125"/>
  <c r="Y125"/>
  <c r="Y126"/>
  <c r="Y130"/>
  <c r="Z132"/>
  <c r="X136"/>
  <c r="X137"/>
  <c r="X140"/>
  <c r="X141"/>
  <c r="Y143"/>
  <c r="X145"/>
  <c r="Y145"/>
  <c r="X148"/>
  <c r="Y149"/>
  <c r="Y150"/>
  <c r="X153"/>
  <c r="Y153"/>
  <c r="Y154"/>
  <c r="X160"/>
  <c r="Z162"/>
  <c r="X164"/>
  <c r="X165"/>
  <c r="X168"/>
  <c r="X169"/>
  <c r="Y169"/>
  <c r="Y173"/>
  <c r="Y174"/>
  <c r="X177"/>
  <c r="Y177"/>
  <c r="Y178"/>
  <c r="X184"/>
  <c r="Z186"/>
  <c r="X188"/>
  <c r="X189"/>
  <c r="X192"/>
  <c r="X193"/>
  <c r="Y193"/>
  <c r="Y197"/>
  <c r="Y198"/>
  <c r="Y201"/>
  <c r="Y202"/>
  <c r="Y205"/>
  <c r="X208"/>
  <c r="Z210"/>
  <c r="X212"/>
  <c r="X213"/>
  <c r="X217"/>
  <c r="Y217"/>
  <c r="Y221"/>
  <c r="Y222"/>
  <c r="X224"/>
  <c r="X225"/>
  <c r="Y226"/>
  <c r="X232"/>
  <c r="X236"/>
  <c r="X237"/>
  <c r="Z239"/>
  <c r="X240"/>
  <c r="X241"/>
  <c r="Y241"/>
  <c r="X245"/>
  <c r="Y245"/>
  <c r="Y246"/>
  <c r="Y250"/>
  <c r="Y253"/>
  <c r="X256"/>
  <c r="Y258"/>
  <c r="X260"/>
  <c r="X261"/>
  <c r="X265"/>
  <c r="Y265"/>
  <c r="Y269"/>
  <c r="Y270"/>
  <c r="Z270"/>
  <c r="X272"/>
  <c r="X273"/>
  <c r="Y273"/>
  <c r="Y274"/>
  <c r="X280"/>
  <c r="X284"/>
  <c r="X285"/>
  <c r="Z287"/>
  <c r="X289"/>
  <c r="Y289"/>
  <c r="X292"/>
  <c r="Z292"/>
  <c r="X293"/>
  <c r="Y293"/>
  <c r="Y294"/>
  <c r="Y297"/>
  <c r="Y298"/>
  <c r="X304"/>
  <c r="Y306"/>
  <c r="Z306"/>
  <c r="X308"/>
  <c r="X309"/>
  <c r="Y311"/>
  <c r="X313"/>
  <c r="Y313"/>
  <c r="X316"/>
  <c r="Z316"/>
  <c r="X317"/>
  <c r="Y317"/>
  <c r="Y318"/>
  <c r="Y322"/>
  <c r="X328"/>
  <c r="X329"/>
  <c r="Y329"/>
  <c r="Y330"/>
  <c r="Z330"/>
  <c r="X332"/>
  <c r="X333"/>
  <c r="X337"/>
  <c r="Y337"/>
  <c r="X340"/>
  <c r="Z340"/>
  <c r="Y341"/>
  <c r="Y342"/>
  <c r="X345"/>
  <c r="Y345"/>
  <c r="Y346"/>
  <c r="X352"/>
  <c r="X356"/>
  <c r="X357"/>
  <c r="X360"/>
  <c r="X361"/>
  <c r="Y361"/>
  <c r="Z364"/>
  <c r="Y365"/>
  <c r="Y366"/>
  <c r="X369"/>
  <c r="Y369"/>
  <c r="Y370"/>
  <c r="X371"/>
  <c r="X374"/>
  <c r="X376"/>
  <c r="X380"/>
  <c r="X381"/>
  <c r="Y382"/>
  <c r="X384"/>
  <c r="X385"/>
  <c r="Y385"/>
  <c r="Y389"/>
  <c r="Y390"/>
  <c r="Y394"/>
  <c r="Z396"/>
  <c r="X400"/>
  <c r="Y402"/>
  <c r="Y403"/>
  <c r="X404"/>
  <c r="X405"/>
  <c r="X409"/>
  <c r="Y409"/>
  <c r="X412"/>
  <c r="X413"/>
  <c r="Y413"/>
  <c r="Y414"/>
  <c r="Y418"/>
  <c r="X424"/>
  <c r="Y426"/>
  <c r="Z426"/>
  <c r="X428"/>
  <c r="X429"/>
  <c r="X432"/>
  <c r="X433"/>
  <c r="Y433"/>
  <c r="Z436"/>
  <c r="Y437"/>
  <c r="Y438"/>
  <c r="Y442"/>
  <c r="Z444"/>
  <c r="Y446"/>
  <c r="X448"/>
  <c r="X452"/>
  <c r="X453"/>
  <c r="X457"/>
  <c r="Y457"/>
  <c r="X461"/>
  <c r="Y461"/>
  <c r="Y462"/>
  <c r="Y466"/>
  <c r="X467"/>
  <c r="Z468"/>
  <c r="Y469"/>
  <c r="Y470"/>
  <c r="X472"/>
  <c r="X476"/>
  <c r="X477"/>
  <c r="X481"/>
  <c r="Y481"/>
  <c r="Y485"/>
  <c r="Y486"/>
  <c r="Y489"/>
  <c r="Y490"/>
  <c r="Y493"/>
  <c r="X496"/>
  <c r="Z498"/>
  <c r="X499"/>
  <c r="Y499"/>
  <c r="X500"/>
  <c r="X501"/>
  <c r="X505"/>
  <c r="Y505"/>
  <c r="Z508"/>
  <c r="X509"/>
  <c r="Y509"/>
  <c r="Y510"/>
  <c r="X513"/>
  <c r="Y513"/>
  <c r="Y514"/>
  <c r="X518"/>
  <c r="X520"/>
  <c r="Y521"/>
  <c r="Y522"/>
  <c r="X524"/>
  <c r="X525"/>
  <c r="X529"/>
  <c r="Y529"/>
  <c r="Y533"/>
  <c r="Y534"/>
  <c r="X537"/>
  <c r="Y537"/>
  <c r="Y538"/>
  <c r="Y541"/>
  <c r="Y542"/>
  <c r="X544"/>
  <c r="X547"/>
  <c r="X548"/>
  <c r="X549"/>
  <c r="X553"/>
  <c r="Y553"/>
  <c r="Z554"/>
  <c r="Y555"/>
  <c r="Z556"/>
  <c r="X558"/>
  <c r="Y561"/>
  <c r="X566"/>
  <c r="Y566"/>
  <c r="X569"/>
  <c r="Y569"/>
  <c r="X571"/>
  <c r="X574"/>
  <c r="Y574"/>
  <c r="X579"/>
  <c r="Y579"/>
  <c r="X584"/>
  <c r="X585"/>
  <c r="X587"/>
  <c r="Y587"/>
  <c r="X592"/>
  <c r="X593"/>
  <c r="Y595"/>
  <c r="X601"/>
  <c r="Y601"/>
  <c r="X606"/>
  <c r="X609"/>
  <c r="Y609"/>
  <c r="X614"/>
  <c r="Y614"/>
  <c r="Z618"/>
  <c r="X619"/>
  <c r="X622"/>
  <c r="Y622"/>
  <c r="Y625"/>
  <c r="X627"/>
  <c r="Y627"/>
  <c r="Z630"/>
  <c r="Y631"/>
  <c r="X632"/>
  <c r="Y633"/>
  <c r="Y634"/>
  <c r="X635"/>
  <c r="Y635"/>
  <c r="Z636"/>
  <c r="X640"/>
  <c r="X641"/>
  <c r="Z647"/>
  <c r="X648"/>
  <c r="X649"/>
  <c r="Y649"/>
  <c r="X654"/>
  <c r="Z654"/>
  <c r="Y657"/>
  <c r="X661"/>
  <c r="X662"/>
  <c r="Y662"/>
  <c r="Z662"/>
  <c r="Y665"/>
  <c r="Z666"/>
  <c r="X667"/>
  <c r="Y670"/>
  <c r="X675"/>
  <c r="Y675"/>
  <c r="Y678"/>
  <c r="Z678"/>
  <c r="X680"/>
  <c r="X683"/>
  <c r="Y683"/>
  <c r="X687"/>
  <c r="X688"/>
  <c r="X689"/>
  <c r="Y689"/>
  <c r="X690"/>
  <c r="X691"/>
  <c r="Y691"/>
  <c r="X693"/>
  <c r="X697"/>
  <c r="Y697"/>
  <c r="X702"/>
  <c r="X704"/>
  <c r="Y705"/>
  <c r="X710"/>
  <c r="Y710"/>
  <c r="Z711"/>
  <c r="X714"/>
  <c r="X715"/>
  <c r="Y718"/>
  <c r="Z722"/>
  <c r="X723"/>
  <c r="Y723"/>
  <c r="X726"/>
  <c r="Y726"/>
  <c r="X728"/>
  <c r="Y730"/>
  <c r="Y731"/>
  <c r="Y734"/>
  <c r="X736"/>
  <c r="Z736"/>
  <c r="X737"/>
  <c r="X739"/>
  <c r="Y739"/>
  <c r="X745"/>
  <c r="Y745"/>
  <c r="X750"/>
  <c r="X752"/>
  <c r="X753"/>
  <c r="Y753"/>
  <c r="Y757"/>
  <c r="X758"/>
  <c r="Y758"/>
  <c r="X763"/>
  <c r="Y766"/>
  <c r="X771"/>
  <c r="Y771"/>
  <c r="X774"/>
  <c r="Y774"/>
  <c r="X776"/>
  <c r="Y779"/>
  <c r="X784"/>
  <c r="X785"/>
  <c r="X787"/>
  <c r="Y787"/>
  <c r="X792"/>
  <c r="X793"/>
  <c r="Y793"/>
  <c r="X798"/>
  <c r="Y801"/>
  <c r="Y803"/>
  <c r="X806"/>
  <c r="Y806"/>
  <c r="X811"/>
  <c r="X814"/>
  <c r="Y814"/>
  <c r="X818"/>
  <c r="X819"/>
  <c r="Y819"/>
  <c r="X822"/>
  <c r="X824"/>
  <c r="X825"/>
  <c r="Y825"/>
  <c r="Y827"/>
  <c r="X832"/>
  <c r="X833"/>
  <c r="X841"/>
  <c r="Y841"/>
  <c r="Y843"/>
  <c r="X846"/>
  <c r="X848"/>
  <c r="Y849"/>
  <c r="X854"/>
  <c r="Y854"/>
  <c r="X856"/>
  <c r="X857"/>
  <c r="Y857"/>
  <c r="X859"/>
  <c r="Y862"/>
  <c r="X867"/>
  <c r="Y867"/>
  <c r="Z868"/>
  <c r="X872"/>
  <c r="Y875"/>
  <c r="X878"/>
  <c r="Y878"/>
  <c r="Z879"/>
  <c r="X880"/>
  <c r="X881"/>
  <c r="X889"/>
  <c r="Y889"/>
  <c r="Y891"/>
  <c r="Z892"/>
  <c r="X894"/>
  <c r="X896"/>
  <c r="Y897"/>
  <c r="X902"/>
  <c r="Y902"/>
  <c r="X907"/>
  <c r="Y910"/>
  <c r="Y913"/>
  <c r="Z914"/>
  <c r="X915"/>
  <c r="Y915"/>
  <c r="Z916"/>
  <c r="X920"/>
  <c r="Y923"/>
  <c r="Z924"/>
  <c r="X926"/>
  <c r="Y926"/>
  <c r="X928"/>
  <c r="X929"/>
  <c r="Y931"/>
  <c r="X937"/>
  <c r="Y937"/>
  <c r="Z940"/>
  <c r="X942"/>
  <c r="Y942"/>
  <c r="X943"/>
  <c r="X944"/>
  <c r="Y945"/>
  <c r="X949"/>
  <c r="X950"/>
  <c r="Y950"/>
  <c r="X955"/>
  <c r="Y958"/>
  <c r="Y961"/>
  <c r="X963"/>
  <c r="Y963"/>
  <c r="X968"/>
  <c r="Y971"/>
  <c r="Y974"/>
  <c r="Y975"/>
  <c r="X976"/>
  <c r="X977"/>
  <c r="Y979"/>
  <c r="X985"/>
  <c r="Y985"/>
  <c r="X990"/>
  <c r="Y990"/>
  <c r="X992"/>
  <c r="X993"/>
  <c r="Y993"/>
  <c r="X998"/>
  <c r="Y998"/>
  <c r="Z1000"/>
  <c r="X1003"/>
  <c r="X1006"/>
  <c r="Y1006"/>
  <c r="Y1010"/>
  <c r="X1011"/>
  <c r="Y1011"/>
  <c r="Z1012"/>
  <c r="X1016"/>
  <c r="Y1019"/>
  <c r="X1024"/>
  <c r="X1025"/>
  <c r="X1027"/>
  <c r="Y1027"/>
  <c r="X1033"/>
  <c r="Y1033"/>
  <c r="Z1036"/>
  <c r="X1038"/>
  <c r="X1040"/>
  <c r="X1041"/>
  <c r="Y1041"/>
  <c r="X1046"/>
  <c r="Y1046"/>
  <c r="X1051"/>
  <c r="Y1051"/>
  <c r="X1054"/>
  <c r="Y1054"/>
  <c r="Z1055"/>
  <c r="X1059"/>
  <c r="Y1059"/>
  <c r="X1064"/>
  <c r="X1067"/>
  <c r="Y1067"/>
  <c r="X1072"/>
  <c r="X1073"/>
  <c r="Z1080"/>
  <c r="X1081"/>
  <c r="Y1081"/>
  <c r="X1086"/>
  <c r="X1089"/>
  <c r="Y1089"/>
  <c r="X1094"/>
  <c r="Y1094"/>
  <c r="Z1096"/>
  <c r="X1097"/>
  <c r="X1099"/>
  <c r="X1102"/>
  <c r="Y1102"/>
  <c r="X1107"/>
  <c r="Y1107"/>
  <c r="X1112"/>
  <c r="X1115"/>
  <c r="Y1115"/>
  <c r="X1120"/>
  <c r="Z1120"/>
  <c r="X1121"/>
  <c r="Y1126"/>
  <c r="X1128"/>
  <c r="X1129"/>
  <c r="Y1129"/>
  <c r="Y1131"/>
  <c r="X1134"/>
  <c r="X1137"/>
  <c r="Y1137"/>
  <c r="X1142"/>
  <c r="Y1142"/>
  <c r="Z1144"/>
  <c r="X1147"/>
  <c r="X1150"/>
  <c r="Y1150"/>
  <c r="X1155"/>
  <c r="Y1155"/>
  <c r="X1160"/>
  <c r="X1163"/>
  <c r="Y1163"/>
  <c r="Z1164"/>
  <c r="Y1166"/>
  <c r="X1168"/>
  <c r="X1169"/>
  <c r="X1177"/>
  <c r="Y1177"/>
  <c r="Y1179"/>
  <c r="X1182"/>
  <c r="Y1185"/>
  <c r="X1190"/>
  <c r="Y1190"/>
  <c r="Y1193"/>
  <c r="X1195"/>
  <c r="Y1198"/>
  <c r="X1201"/>
  <c r="Y1201"/>
  <c r="X1203"/>
  <c r="Y1203"/>
  <c r="Y1206"/>
  <c r="X1208"/>
  <c r="Y1211"/>
  <c r="Y1214"/>
  <c r="X1216"/>
  <c r="X1217"/>
  <c r="Y1219"/>
  <c r="X1225"/>
  <c r="Y1225"/>
  <c r="X1230"/>
  <c r="X1232"/>
  <c r="Y1233"/>
  <c r="X1234"/>
  <c r="X1237"/>
  <c r="X1238"/>
  <c r="Y1238"/>
  <c r="X1241"/>
  <c r="Y1241"/>
  <c r="X1243"/>
  <c r="Y1245"/>
  <c r="Y1246"/>
  <c r="X1251"/>
  <c r="Y1251"/>
  <c r="X1255"/>
  <c r="X1256"/>
  <c r="Y1259"/>
  <c r="Y1262"/>
  <c r="X1264"/>
  <c r="Z1264"/>
  <c r="X1265"/>
  <c r="X1273"/>
  <c r="Y1273"/>
  <c r="Y1275"/>
  <c r="Z1276"/>
  <c r="X1278"/>
  <c r="Z1278"/>
  <c r="Y1281"/>
  <c r="X1286"/>
  <c r="Y1286"/>
  <c r="X1288"/>
  <c r="X1289"/>
  <c r="Y1289"/>
  <c r="X1291"/>
  <c r="Y1294"/>
  <c r="X1299"/>
  <c r="Y1299"/>
  <c r="Y1302"/>
  <c r="X1304"/>
  <c r="Y1307"/>
  <c r="X1310"/>
  <c r="Y1310"/>
  <c r="X1312"/>
  <c r="X1313"/>
  <c r="X1321"/>
  <c r="Y1321"/>
  <c r="Y1323"/>
  <c r="X1326"/>
  <c r="X1329"/>
  <c r="Y1329"/>
  <c r="X1330"/>
  <c r="X1334"/>
  <c r="Y1334"/>
  <c r="Y1335"/>
  <c r="X1336"/>
  <c r="X1337"/>
  <c r="Y1337"/>
  <c r="X1339"/>
  <c r="Y1342"/>
  <c r="Y1345"/>
  <c r="X1347"/>
  <c r="Y1347"/>
  <c r="X1352"/>
  <c r="X1355"/>
  <c r="Y1355"/>
  <c r="X1360"/>
  <c r="X1361"/>
  <c r="X1363"/>
  <c r="X1369"/>
  <c r="Y1369"/>
  <c r="Y1371"/>
  <c r="X1374"/>
  <c r="Y1377"/>
  <c r="X1382"/>
  <c r="Y1382"/>
  <c r="X1384"/>
  <c r="X1385"/>
  <c r="Y1385"/>
  <c r="X1387"/>
  <c r="Y1390"/>
  <c r="X1395"/>
  <c r="Y1395"/>
  <c r="X1400"/>
  <c r="Y1401"/>
  <c r="Y1403"/>
  <c r="X1408"/>
  <c r="X1409"/>
  <c r="X1417"/>
  <c r="Y1417"/>
  <c r="X1422"/>
  <c r="X1424"/>
  <c r="X1425"/>
  <c r="Y1425"/>
  <c r="X1429"/>
  <c r="X1430"/>
  <c r="Y1430"/>
  <c r="X1435"/>
  <c r="X1438"/>
  <c r="Y1438"/>
  <c r="X1443"/>
  <c r="Y1443"/>
  <c r="X1448"/>
  <c r="X1451"/>
  <c r="Y1451"/>
  <c r="X1454"/>
  <c r="Y1454"/>
  <c r="X1456"/>
  <c r="X1457"/>
  <c r="X1465"/>
  <c r="Y1465"/>
  <c r="X1470"/>
  <c r="X1472"/>
  <c r="X1473"/>
  <c r="Y1473"/>
  <c r="X1478"/>
  <c r="Y1478"/>
  <c r="X1483"/>
  <c r="X1486"/>
  <c r="Y1486"/>
  <c r="X1491"/>
  <c r="Y1491"/>
  <c r="X1496"/>
  <c r="Y1499"/>
  <c r="X1502"/>
  <c r="Y1502"/>
  <c r="X1504"/>
  <c r="X1505"/>
  <c r="X1513"/>
  <c r="Y1513"/>
  <c r="Y1515"/>
  <c r="X1518"/>
  <c r="Y1521"/>
  <c r="X1526"/>
  <c r="Y1526"/>
  <c r="X1531"/>
  <c r="X1534"/>
  <c r="Y1534"/>
  <c r="X1539"/>
  <c r="Y1539"/>
  <c r="X1542"/>
  <c r="Y1542"/>
  <c r="Z1542"/>
  <c r="X1544"/>
  <c r="Y1547"/>
  <c r="X1552"/>
  <c r="X1553"/>
  <c r="Y1554"/>
  <c r="X1555"/>
  <c r="Y1555"/>
  <c r="X1561"/>
  <c r="Y1561"/>
  <c r="X1566"/>
  <c r="X1568"/>
  <c r="X1569"/>
  <c r="Y1569"/>
  <c r="X1574"/>
  <c r="Y1574"/>
  <c r="X1579"/>
  <c r="Y1582"/>
  <c r="Y1585"/>
  <c r="X1587"/>
  <c r="Y1587"/>
  <c r="X1592"/>
  <c r="Y1595"/>
  <c r="Y1598"/>
  <c r="X1600"/>
  <c r="X1601"/>
  <c r="X1608"/>
  <c r="X1609"/>
  <c r="Y1609"/>
  <c r="X1612"/>
  <c r="X1614"/>
  <c r="Y1617"/>
  <c r="X1622"/>
  <c r="Y1622"/>
  <c r="X1624"/>
  <c r="X1625"/>
  <c r="Y1625"/>
  <c r="X1627"/>
  <c r="Y1630"/>
  <c r="X1635"/>
  <c r="Y1635"/>
  <c r="X1638"/>
  <c r="Y1638"/>
  <c r="X1640"/>
  <c r="Y1643"/>
  <c r="X1647"/>
  <c r="Y1647"/>
  <c r="X1648"/>
  <c r="X1649"/>
  <c r="X1651"/>
  <c r="Y1651"/>
  <c r="C13" i="2"/>
  <c r="C15" s="1"/>
  <c r="AC13" s="1"/>
  <c r="AA7"/>
  <c r="B15" i="4"/>
  <c r="B16"/>
  <c r="B17"/>
  <c r="B18"/>
  <c r="AA8" i="2"/>
  <c r="AA9"/>
  <c r="N1596" i="6"/>
  <c r="N1588"/>
  <c r="N1532"/>
  <c r="N1500"/>
  <c r="N1492"/>
  <c r="N1436"/>
  <c r="N1404"/>
  <c r="N1396"/>
  <c r="N1344"/>
  <c r="N1336"/>
  <c r="N1320"/>
  <c r="N1312"/>
  <c r="N1304"/>
  <c r="N1300"/>
  <c r="N1296"/>
  <c r="N1288"/>
  <c r="N1248"/>
  <c r="N1244"/>
  <c r="N1240"/>
  <c r="N1232"/>
  <c r="N1224"/>
  <c r="N1204"/>
  <c r="N1200"/>
  <c r="N1192"/>
  <c r="N1152"/>
  <c r="N1148"/>
  <c r="N1144"/>
  <c r="N1116"/>
  <c r="N1112"/>
  <c r="N1108"/>
  <c r="N1104"/>
  <c r="N1096"/>
  <c r="N1056"/>
  <c r="N1052"/>
  <c r="N1048"/>
  <c r="N1024"/>
  <c r="N1020"/>
  <c r="N1016"/>
  <c r="N1012"/>
  <c r="N1008"/>
  <c r="N1000"/>
  <c r="N980"/>
  <c r="N976"/>
  <c r="N968"/>
  <c r="N960"/>
  <c r="N956"/>
  <c r="N952"/>
  <c r="N924"/>
  <c r="N916"/>
  <c r="N912"/>
  <c r="N904"/>
  <c r="N896"/>
  <c r="N888"/>
  <c r="N884"/>
  <c r="N880"/>
  <c r="N864"/>
  <c r="N860"/>
  <c r="N856"/>
  <c r="N828"/>
  <c r="N824"/>
  <c r="N820"/>
  <c r="N816"/>
  <c r="N808"/>
  <c r="N776"/>
  <c r="N768"/>
  <c r="N760"/>
  <c r="N732"/>
  <c r="N724"/>
  <c r="N720"/>
  <c r="N712"/>
  <c r="N680"/>
  <c r="N672"/>
  <c r="N664"/>
  <c r="N636"/>
  <c r="N632"/>
  <c r="N628"/>
  <c r="N624"/>
  <c r="N616"/>
  <c r="N576"/>
  <c r="N572"/>
  <c r="N568"/>
  <c r="N548"/>
  <c r="N544"/>
  <c r="N540"/>
  <c r="N536"/>
  <c r="N516"/>
  <c r="N512"/>
  <c r="N496"/>
  <c r="N492"/>
  <c r="N488"/>
  <c r="N468"/>
  <c r="N464"/>
  <c r="N444"/>
  <c r="N440"/>
  <c r="N420"/>
  <c r="N416"/>
  <c r="N404"/>
  <c r="N400"/>
  <c r="N396"/>
  <c r="N392"/>
  <c r="N372"/>
  <c r="N368"/>
  <c r="N356"/>
  <c r="N352"/>
  <c r="N348"/>
  <c r="N344"/>
  <c r="N324"/>
  <c r="N320"/>
  <c r="N304"/>
  <c r="N300"/>
  <c r="N296"/>
  <c r="N276"/>
  <c r="N272"/>
  <c r="N252"/>
  <c r="N248"/>
  <c r="N244"/>
  <c r="N228"/>
  <c r="N224"/>
  <c r="N212"/>
  <c r="N208"/>
  <c r="N204"/>
  <c r="N200"/>
  <c r="N180"/>
  <c r="N176"/>
  <c r="N168"/>
  <c r="N164"/>
  <c r="N160"/>
  <c r="N156"/>
  <c r="N152"/>
  <c r="N132"/>
  <c r="N128"/>
  <c r="N112"/>
  <c r="N108"/>
  <c r="N104"/>
  <c r="N84"/>
  <c r="N80"/>
  <c r="N60"/>
  <c r="N56"/>
  <c r="N36"/>
  <c r="N32"/>
  <c r="N20"/>
  <c r="N16"/>
  <c r="N8"/>
  <c r="M1649"/>
  <c r="M1617"/>
  <c r="M1613"/>
  <c r="M1609"/>
  <c r="M1601"/>
  <c r="M1561"/>
  <c r="M1553"/>
  <c r="M1521"/>
  <c r="M1513"/>
  <c r="M1505"/>
  <c r="M1465"/>
  <c r="M1457"/>
  <c r="M1421"/>
  <c r="M1417"/>
  <c r="M1409"/>
  <c r="M1377"/>
  <c r="M1369"/>
  <c r="M1361"/>
  <c r="M1325"/>
  <c r="M1321"/>
  <c r="M1313"/>
  <c r="M1289"/>
  <c r="M1281"/>
  <c r="M1273"/>
  <c r="M1265"/>
  <c r="M1229"/>
  <c r="M1225"/>
  <c r="M1217"/>
  <c r="M1197"/>
  <c r="M1193"/>
  <c r="M1185"/>
  <c r="M1177"/>
  <c r="M1169"/>
  <c r="M1133"/>
  <c r="M1129"/>
  <c r="M1121"/>
  <c r="M1101"/>
  <c r="M1097"/>
  <c r="M1081"/>
  <c r="M1077"/>
  <c r="M1073"/>
  <c r="M1037"/>
  <c r="M1033"/>
  <c r="M1025"/>
  <c r="M1017"/>
  <c r="M985"/>
  <c r="M977"/>
  <c r="M941"/>
  <c r="M937"/>
  <c r="M929"/>
  <c r="M905"/>
  <c r="M901"/>
  <c r="M897"/>
  <c r="M889"/>
  <c r="M881"/>
  <c r="M853"/>
  <c r="M845"/>
  <c r="M841"/>
  <c r="M833"/>
  <c r="M813"/>
  <c r="M809"/>
  <c r="M801"/>
  <c r="M793"/>
  <c r="M785"/>
  <c r="M749"/>
  <c r="M745"/>
  <c r="M741"/>
  <c r="M737"/>
  <c r="M697"/>
  <c r="M689"/>
  <c r="M661"/>
  <c r="M653"/>
  <c r="M649"/>
  <c r="M641"/>
  <c r="M621"/>
  <c r="M617"/>
  <c r="M609"/>
  <c r="M601"/>
  <c r="M593"/>
  <c r="M565"/>
  <c r="M557"/>
  <c r="M553"/>
  <c r="M549"/>
  <c r="M537"/>
  <c r="M533"/>
  <c r="M529"/>
  <c r="M525"/>
  <c r="M505"/>
  <c r="M501"/>
  <c r="M493"/>
  <c r="M489"/>
  <c r="M485"/>
  <c r="M481"/>
  <c r="M477"/>
  <c r="M457"/>
  <c r="M453"/>
  <c r="M433"/>
  <c r="M429"/>
  <c r="M409"/>
  <c r="M405"/>
  <c r="M393"/>
  <c r="M389"/>
  <c r="M385"/>
  <c r="M381"/>
  <c r="M361"/>
  <c r="M357"/>
  <c r="M345"/>
  <c r="M341"/>
  <c r="M337"/>
  <c r="M333"/>
  <c r="M313"/>
  <c r="M309"/>
  <c r="M289"/>
  <c r="M285"/>
  <c r="M265"/>
  <c r="M261"/>
  <c r="M249"/>
  <c r="M245"/>
  <c r="M241"/>
  <c r="M237"/>
  <c r="M217"/>
  <c r="M213"/>
  <c r="M205"/>
  <c r="M201"/>
  <c r="M197"/>
  <c r="M193"/>
  <c r="M189"/>
  <c r="M169"/>
  <c r="M165"/>
  <c r="M145"/>
  <c r="M141"/>
  <c r="M121"/>
  <c r="M117"/>
  <c r="M105"/>
  <c r="M101"/>
  <c r="M97"/>
  <c r="M93"/>
  <c r="M73"/>
  <c r="M69"/>
  <c r="M57"/>
  <c r="M53"/>
  <c r="M45"/>
  <c r="M25"/>
  <c r="M21"/>
  <c r="N1625"/>
  <c r="N1621"/>
  <c r="N1617"/>
  <c r="N1609"/>
  <c r="N1577"/>
  <c r="N1569"/>
  <c r="N1561"/>
  <c r="N1525"/>
  <c r="N1521"/>
  <c r="N1513"/>
  <c r="N1473"/>
  <c r="N1469"/>
  <c r="N1465"/>
  <c r="N1429"/>
  <c r="N1425"/>
  <c r="N1417"/>
  <c r="N1397"/>
  <c r="N1393"/>
  <c r="N1385"/>
  <c r="N1377"/>
  <c r="N1369"/>
  <c r="N1329"/>
  <c r="N1321"/>
  <c r="N1301"/>
  <c r="N1281"/>
  <c r="N1273"/>
  <c r="N1237"/>
  <c r="N1233"/>
  <c r="N1225"/>
  <c r="N1209"/>
  <c r="N1185"/>
  <c r="N1177"/>
  <c r="N1141"/>
  <c r="N1137"/>
  <c r="N1129"/>
  <c r="N1109"/>
  <c r="N1097"/>
  <c r="N1089"/>
  <c r="N1085"/>
  <c r="N1081"/>
  <c r="N1045"/>
  <c r="N1041"/>
  <c r="N1033"/>
  <c r="N1013"/>
  <c r="N1009"/>
  <c r="N1001"/>
  <c r="N993"/>
  <c r="N985"/>
  <c r="N957"/>
  <c r="N949"/>
  <c r="N945"/>
  <c r="N937"/>
  <c r="N917"/>
  <c r="N897"/>
  <c r="N889"/>
  <c r="N853"/>
  <c r="N849"/>
  <c r="N841"/>
  <c r="N801"/>
  <c r="N793"/>
  <c r="N757"/>
  <c r="N753"/>
  <c r="N745"/>
  <c r="N721"/>
  <c r="N713"/>
  <c r="N705"/>
  <c r="N701"/>
  <c r="N697"/>
  <c r="N661"/>
  <c r="N657"/>
  <c r="N649"/>
  <c r="N641"/>
  <c r="N633"/>
  <c r="N629"/>
  <c r="N625"/>
  <c r="N617"/>
  <c r="N609"/>
  <c r="N605"/>
  <c r="N601"/>
  <c r="N565"/>
  <c r="N561"/>
  <c r="N553"/>
  <c r="N549"/>
  <c r="N545"/>
  <c r="N541"/>
  <c r="N533"/>
  <c r="N529"/>
  <c r="N513"/>
  <c r="N509"/>
  <c r="N505"/>
  <c r="N493"/>
  <c r="N485"/>
  <c r="N481"/>
  <c r="N465"/>
  <c r="N461"/>
  <c r="N457"/>
  <c r="N437"/>
  <c r="N433"/>
  <c r="N413"/>
  <c r="N409"/>
  <c r="N397"/>
  <c r="N389"/>
  <c r="N385"/>
  <c r="N365"/>
  <c r="N361"/>
  <c r="N341"/>
  <c r="N337"/>
  <c r="N317"/>
  <c r="N313"/>
  <c r="N293"/>
  <c r="N289"/>
  <c r="N277"/>
  <c r="N269"/>
  <c r="N265"/>
  <c r="N253"/>
  <c r="N245"/>
  <c r="N241"/>
  <c r="N221"/>
  <c r="N217"/>
  <c r="N205"/>
  <c r="N197"/>
  <c r="N193"/>
  <c r="N173"/>
  <c r="N169"/>
  <c r="N149"/>
  <c r="N145"/>
  <c r="N141"/>
  <c r="N137"/>
  <c r="N133"/>
  <c r="N129"/>
  <c r="N125"/>
  <c r="N121"/>
  <c r="N101"/>
  <c r="N97"/>
  <c r="N81"/>
  <c r="N77"/>
  <c r="N73"/>
  <c r="N69"/>
  <c r="N53"/>
  <c r="N49"/>
  <c r="N25"/>
  <c r="N5"/>
  <c r="M1638"/>
  <c r="M1630"/>
  <c r="M1622"/>
  <c r="M1614"/>
  <c r="M1578"/>
  <c r="M1574"/>
  <c r="M1570"/>
  <c r="M1566"/>
  <c r="M1534"/>
  <c r="M1526"/>
  <c r="M1518"/>
  <c r="M1482"/>
  <c r="M1478"/>
  <c r="M1470"/>
  <c r="M1454"/>
  <c r="M1450"/>
  <c r="M1446"/>
  <c r="M1430"/>
  <c r="M1422"/>
  <c r="M1386"/>
  <c r="M1382"/>
  <c r="M1374"/>
  <c r="M1354"/>
  <c r="M1350"/>
  <c r="M1342"/>
  <c r="M1334"/>
  <c r="M1326"/>
  <c r="M1298"/>
  <c r="M1286"/>
  <c r="M1282"/>
  <c r="M1278"/>
  <c r="M1238"/>
  <c r="M1230"/>
  <c r="M1198"/>
  <c r="M1194"/>
  <c r="M1190"/>
  <c r="M1182"/>
  <c r="M1150"/>
  <c r="M1142"/>
  <c r="M1134"/>
  <c r="M1098"/>
  <c r="M1094"/>
  <c r="M1086"/>
  <c r="M1062"/>
  <c r="M1054"/>
  <c r="M1046"/>
  <c r="M1042"/>
  <c r="M1038"/>
  <c r="M1006"/>
  <c r="M998"/>
  <c r="M990"/>
  <c r="M966"/>
  <c r="M950"/>
  <c r="M946"/>
  <c r="M942"/>
  <c r="M910"/>
  <c r="M906"/>
  <c r="M902"/>
  <c r="M894"/>
  <c r="M854"/>
  <c r="M846"/>
  <c r="M822"/>
  <c r="M814"/>
  <c r="M810"/>
  <c r="M806"/>
  <c r="M798"/>
  <c r="M758"/>
  <c r="M750"/>
  <c r="M742"/>
  <c r="M726"/>
  <c r="M718"/>
  <c r="M710"/>
  <c r="M702"/>
  <c r="M678"/>
  <c r="M670"/>
  <c r="M662"/>
  <c r="M654"/>
  <c r="M618"/>
  <c r="M614"/>
  <c r="M606"/>
  <c r="M586"/>
  <c r="M582"/>
  <c r="M566"/>
  <c r="M558"/>
  <c r="M538"/>
  <c r="M534"/>
  <c r="M486"/>
  <c r="M474"/>
  <c r="M470"/>
  <c r="M462"/>
  <c r="M442"/>
  <c r="M438"/>
  <c r="M422"/>
  <c r="M394"/>
  <c r="M390"/>
  <c r="M378"/>
  <c r="M374"/>
  <c r="M346"/>
  <c r="M326"/>
  <c r="M298"/>
  <c r="M294"/>
  <c r="M278"/>
  <c r="M250"/>
  <c r="M246"/>
  <c r="M230"/>
  <c r="M202"/>
  <c r="M182"/>
  <c r="M154"/>
  <c r="M134"/>
  <c r="M106"/>
  <c r="M102"/>
  <c r="M58"/>
  <c r="M54"/>
  <c r="M42"/>
  <c r="M38"/>
  <c r="M10"/>
  <c r="N1630"/>
  <c r="N1622"/>
  <c r="N1606"/>
  <c r="N1586"/>
  <c r="N1582"/>
  <c r="N1574"/>
  <c r="N1534"/>
  <c r="N1530"/>
  <c r="N1526"/>
  <c r="N1502"/>
  <c r="N1494"/>
  <c r="N1490"/>
  <c r="N1486"/>
  <c r="N1478"/>
  <c r="N1438"/>
  <c r="N1430"/>
  <c r="N1406"/>
  <c r="N1398"/>
  <c r="N1394"/>
  <c r="N1390"/>
  <c r="N1382"/>
  <c r="N1342"/>
  <c r="N1334"/>
  <c r="N1310"/>
  <c r="N1302"/>
  <c r="N1298"/>
  <c r="N1294"/>
  <c r="N1286"/>
  <c r="N1266"/>
  <c r="N1262"/>
  <c r="N1254"/>
  <c r="N1246"/>
  <c r="N1238"/>
  <c r="N1202"/>
  <c r="N1198"/>
  <c r="N1190"/>
  <c r="N1170"/>
  <c r="N1166"/>
  <c r="N1158"/>
  <c r="N1150"/>
  <c r="N1142"/>
  <c r="N1114"/>
  <c r="N1110"/>
  <c r="N1106"/>
  <c r="N1102"/>
  <c r="N1094"/>
  <c r="N1074"/>
  <c r="N1070"/>
  <c r="N1054"/>
  <c r="N1050"/>
  <c r="N1046"/>
  <c r="N1018"/>
  <c r="N1010"/>
  <c r="N1006"/>
  <c r="N998"/>
  <c r="N974"/>
  <c r="N966"/>
  <c r="N958"/>
  <c r="N950"/>
  <c r="N914"/>
  <c r="N910"/>
  <c r="N902"/>
  <c r="N882"/>
  <c r="N878"/>
  <c r="N870"/>
  <c r="N862"/>
  <c r="N858"/>
  <c r="N854"/>
  <c r="N818"/>
  <c r="N814"/>
  <c r="N806"/>
  <c r="N786"/>
  <c r="N774"/>
  <c r="N766"/>
  <c r="N758"/>
  <c r="N730"/>
  <c r="N722"/>
  <c r="N718"/>
  <c r="N710"/>
  <c r="N670"/>
  <c r="N662"/>
  <c r="N634"/>
  <c r="N626"/>
  <c r="N622"/>
  <c r="N614"/>
  <c r="N598"/>
  <c r="N594"/>
  <c r="N590"/>
  <c r="N582"/>
  <c r="N574"/>
  <c r="N570"/>
  <c r="N566"/>
  <c r="N538"/>
  <c r="N534"/>
  <c r="N526"/>
  <c r="N518"/>
  <c r="N514"/>
  <c r="N510"/>
  <c r="N490"/>
  <c r="N486"/>
  <c r="N470"/>
  <c r="N466"/>
  <c r="N462"/>
  <c r="N450"/>
  <c r="N442"/>
  <c r="N438"/>
  <c r="N418"/>
  <c r="N414"/>
  <c r="N402"/>
  <c r="N398"/>
  <c r="N394"/>
  <c r="N390"/>
  <c r="N370"/>
  <c r="N366"/>
  <c r="N358"/>
  <c r="N354"/>
  <c r="N350"/>
  <c r="N346"/>
  <c r="N342"/>
  <c r="N326"/>
  <c r="N322"/>
  <c r="N318"/>
  <c r="N298"/>
  <c r="N294"/>
  <c r="N274"/>
  <c r="N270"/>
  <c r="N266"/>
  <c r="N254"/>
  <c r="N250"/>
  <c r="N246"/>
  <c r="N226"/>
  <c r="N222"/>
  <c r="N210"/>
  <c r="N206"/>
  <c r="N202"/>
  <c r="N198"/>
  <c r="N178"/>
  <c r="N174"/>
  <c r="N166"/>
  <c r="N162"/>
  <c r="N158"/>
  <c r="N154"/>
  <c r="N150"/>
  <c r="N134"/>
  <c r="N130"/>
  <c r="N126"/>
  <c r="N110"/>
  <c r="N106"/>
  <c r="N102"/>
  <c r="N98"/>
  <c r="N94"/>
  <c r="N86"/>
  <c r="N82"/>
  <c r="N78"/>
  <c r="N58"/>
  <c r="N54"/>
  <c r="N38"/>
  <c r="N34"/>
  <c r="N30"/>
  <c r="N14"/>
  <c r="N6"/>
  <c r="M1635"/>
  <c r="M1627"/>
  <c r="M1595"/>
  <c r="M1587"/>
  <c r="M1579"/>
  <c r="M1543"/>
  <c r="M1539"/>
  <c r="M1531"/>
  <c r="M1511"/>
  <c r="M1507"/>
  <c r="M1499"/>
  <c r="M1491"/>
  <c r="M1483"/>
  <c r="M1447"/>
  <c r="M1443"/>
  <c r="M1435"/>
  <c r="M1411"/>
  <c r="M1403"/>
  <c r="M1395"/>
  <c r="M1387"/>
  <c r="M1359"/>
  <c r="M1351"/>
  <c r="M1347"/>
  <c r="M1339"/>
  <c r="M1319"/>
  <c r="M1315"/>
  <c r="M1307"/>
  <c r="M1299"/>
  <c r="M1291"/>
  <c r="M1255"/>
  <c r="M1251"/>
  <c r="M1243"/>
  <c r="M1223"/>
  <c r="M1203"/>
  <c r="M1199"/>
  <c r="M1195"/>
  <c r="M1171"/>
  <c r="M1163"/>
  <c r="M1159"/>
  <c r="M1155"/>
  <c r="M1147"/>
  <c r="M1115"/>
  <c r="M1107"/>
  <c r="M1103"/>
  <c r="M1099"/>
  <c r="M1071"/>
  <c r="M1059"/>
  <c r="M1051"/>
  <c r="M1011"/>
  <c r="M1003"/>
  <c r="M971"/>
  <c r="M967"/>
  <c r="M963"/>
  <c r="M955"/>
  <c r="M915"/>
  <c r="M907"/>
  <c r="M891"/>
  <c r="M883"/>
  <c r="M875"/>
  <c r="M871"/>
  <c r="M867"/>
  <c r="M859"/>
  <c r="M819"/>
  <c r="M815"/>
  <c r="M811"/>
  <c r="M787"/>
  <c r="M783"/>
  <c r="M775"/>
  <c r="M771"/>
  <c r="M763"/>
  <c r="M731"/>
  <c r="M723"/>
  <c r="M719"/>
  <c r="M715"/>
  <c r="M687"/>
  <c r="M683"/>
  <c r="M679"/>
  <c r="M675"/>
  <c r="M667"/>
  <c r="M651"/>
  <c r="M643"/>
  <c r="M635"/>
  <c r="M627"/>
  <c r="M623"/>
  <c r="M619"/>
  <c r="M591"/>
  <c r="M579"/>
  <c r="M571"/>
  <c r="M563"/>
  <c r="M547"/>
  <c r="M519"/>
  <c r="M515"/>
  <c r="M499"/>
  <c r="M475"/>
  <c r="M471"/>
  <c r="M467"/>
  <c r="M451"/>
  <c r="M423"/>
  <c r="M419"/>
  <c r="M403"/>
  <c r="M375"/>
  <c r="M371"/>
  <c r="M355"/>
  <c r="M327"/>
  <c r="M323"/>
  <c r="M307"/>
  <c r="M283"/>
  <c r="M279"/>
  <c r="M275"/>
  <c r="M263"/>
  <c r="M259"/>
  <c r="M227"/>
  <c r="M211"/>
  <c r="M183"/>
  <c r="M179"/>
  <c r="M167"/>
  <c r="M163"/>
  <c r="M155"/>
  <c r="M135"/>
  <c r="M131"/>
  <c r="M115"/>
  <c r="M91"/>
  <c r="M87"/>
  <c r="M83"/>
  <c r="M67"/>
  <c r="M39"/>
  <c r="M35"/>
  <c r="M19"/>
  <c r="N1643"/>
  <c r="N1635"/>
  <c r="N1615"/>
  <c r="N1611"/>
  <c r="N1603"/>
  <c r="N1595"/>
  <c r="N1587"/>
  <c r="N1559"/>
  <c r="N1551"/>
  <c r="N1547"/>
  <c r="N1539"/>
  <c r="N1499"/>
  <c r="N1491"/>
  <c r="N1463"/>
  <c r="N1455"/>
  <c r="N1451"/>
  <c r="N1443"/>
  <c r="N1423"/>
  <c r="N1419"/>
  <c r="N1411"/>
  <c r="N1403"/>
  <c r="N1395"/>
  <c r="N1359"/>
  <c r="N1355"/>
  <c r="N1347"/>
  <c r="N1315"/>
  <c r="N1307"/>
  <c r="N1299"/>
  <c r="N1271"/>
  <c r="N1267"/>
  <c r="N1263"/>
  <c r="N1259"/>
  <c r="N1251"/>
  <c r="N1211"/>
  <c r="N1203"/>
  <c r="N1179"/>
  <c r="N1171"/>
  <c r="N1167"/>
  <c r="N1163"/>
  <c r="N1159"/>
  <c r="N1155"/>
  <c r="N1115"/>
  <c r="N1107"/>
  <c r="N1083"/>
  <c r="N1075"/>
  <c r="N1067"/>
  <c r="N1059"/>
  <c r="N1019"/>
  <c r="N1015"/>
  <c r="N1011"/>
  <c r="N975"/>
  <c r="N971"/>
  <c r="N963"/>
  <c r="N923"/>
  <c r="N915"/>
  <c r="N891"/>
  <c r="N887"/>
  <c r="N883"/>
  <c r="N879"/>
  <c r="N875"/>
  <c r="N867"/>
  <c r="N827"/>
  <c r="N819"/>
  <c r="N795"/>
  <c r="N791"/>
  <c r="N783"/>
  <c r="N779"/>
  <c r="N771"/>
  <c r="N743"/>
  <c r="N731"/>
  <c r="N727"/>
  <c r="N723"/>
  <c r="N695"/>
  <c r="N687"/>
  <c r="N683"/>
  <c r="N675"/>
  <c r="N655"/>
  <c r="N651"/>
  <c r="N643"/>
  <c r="N635"/>
  <c r="N631"/>
  <c r="N627"/>
  <c r="N599"/>
  <c r="N591"/>
  <c r="N587"/>
  <c r="N579"/>
  <c r="N571"/>
  <c r="N555"/>
  <c r="N547"/>
  <c r="N543"/>
  <c r="N527"/>
  <c r="N519"/>
  <c r="N499"/>
  <c r="N495"/>
  <c r="N479"/>
  <c r="N455"/>
  <c r="N447"/>
  <c r="N435"/>
  <c r="N431"/>
  <c r="N407"/>
  <c r="N403"/>
  <c r="N399"/>
  <c r="N383"/>
  <c r="N355"/>
  <c r="N351"/>
  <c r="N339"/>
  <c r="N335"/>
  <c r="N327"/>
  <c r="N307"/>
  <c r="N303"/>
  <c r="N287"/>
  <c r="N279"/>
  <c r="N263"/>
  <c r="N259"/>
  <c r="N255"/>
  <c r="N239"/>
  <c r="N211"/>
  <c r="N207"/>
  <c r="N191"/>
  <c r="N175"/>
  <c r="N163"/>
  <c r="N159"/>
  <c r="N143"/>
  <c r="N135"/>
  <c r="N115"/>
  <c r="N111"/>
  <c r="N95"/>
  <c r="N79"/>
  <c r="N71"/>
  <c r="N67"/>
  <c r="N63"/>
  <c r="N47"/>
  <c r="N19"/>
  <c r="N15"/>
  <c r="M1648"/>
  <c r="M1640"/>
  <c r="M1604"/>
  <c r="M1600"/>
  <c r="M1592"/>
  <c r="M1552"/>
  <c r="M1544"/>
  <c r="M1520"/>
  <c r="M1512"/>
  <c r="M1508"/>
  <c r="M1504"/>
  <c r="M1496"/>
  <c r="M1468"/>
  <c r="M1456"/>
  <c r="M1448"/>
  <c r="M1444"/>
  <c r="M1440"/>
  <c r="M1432"/>
  <c r="M1424"/>
  <c r="M1416"/>
  <c r="M1412"/>
  <c r="M1408"/>
  <c r="M1400"/>
  <c r="M1360"/>
  <c r="M1356"/>
  <c r="M1352"/>
  <c r="M1336"/>
  <c r="M1328"/>
  <c r="M1316"/>
  <c r="M1312"/>
  <c r="M1304"/>
  <c r="M1264"/>
  <c r="M1256"/>
  <c r="M1232"/>
  <c r="M1220"/>
  <c r="M1216"/>
  <c r="M1208"/>
  <c r="M1184"/>
  <c r="M1168"/>
  <c r="M1160"/>
  <c r="M1128"/>
  <c r="M1124"/>
  <c r="M1120"/>
  <c r="M1112"/>
  <c r="M1080"/>
  <c r="M1072"/>
  <c r="M1068"/>
  <c r="M1064"/>
  <c r="M1036"/>
  <c r="M1028"/>
  <c r="M1024"/>
  <c r="M1016"/>
  <c r="M992"/>
  <c r="M984"/>
  <c r="M976"/>
  <c r="M972"/>
  <c r="M968"/>
  <c r="M940"/>
  <c r="M932"/>
  <c r="M928"/>
  <c r="M924"/>
  <c r="M920"/>
  <c r="M900"/>
  <c r="M896"/>
  <c r="M888"/>
  <c r="M880"/>
  <c r="M872"/>
  <c r="M844"/>
  <c r="M836"/>
  <c r="M832"/>
  <c r="M824"/>
  <c r="M784"/>
  <c r="M780"/>
  <c r="M776"/>
  <c r="M752"/>
  <c r="M748"/>
  <c r="M744"/>
  <c r="M740"/>
  <c r="M736"/>
  <c r="M728"/>
  <c r="M688"/>
  <c r="M684"/>
  <c r="M680"/>
  <c r="M652"/>
  <c r="M648"/>
  <c r="M644"/>
  <c r="M640"/>
  <c r="M632"/>
  <c r="M592"/>
  <c r="M588"/>
  <c r="M584"/>
  <c r="M556"/>
  <c r="M548"/>
  <c r="M544"/>
  <c r="M532"/>
  <c r="M528"/>
  <c r="M524"/>
  <c r="M520"/>
  <c r="M516"/>
  <c r="M504"/>
  <c r="M500"/>
  <c r="M496"/>
  <c r="M476"/>
  <c r="M472"/>
  <c r="M460"/>
  <c r="M456"/>
  <c r="M452"/>
  <c r="M448"/>
  <c r="M428"/>
  <c r="M424"/>
  <c r="M408"/>
  <c r="M404"/>
  <c r="M400"/>
  <c r="M380"/>
  <c r="M376"/>
  <c r="M356"/>
  <c r="M352"/>
  <c r="M340"/>
  <c r="M332"/>
  <c r="M328"/>
  <c r="M312"/>
  <c r="M308"/>
  <c r="M304"/>
  <c r="M288"/>
  <c r="M284"/>
  <c r="M280"/>
  <c r="M268"/>
  <c r="M264"/>
  <c r="M260"/>
  <c r="M256"/>
  <c r="M236"/>
  <c r="M232"/>
  <c r="M220"/>
  <c r="M216"/>
  <c r="M212"/>
  <c r="M208"/>
  <c r="M192"/>
  <c r="M188"/>
  <c r="M184"/>
  <c r="M164"/>
  <c r="M160"/>
  <c r="M148"/>
  <c r="M144"/>
  <c r="M140"/>
  <c r="M136"/>
  <c r="M116"/>
  <c r="M112"/>
  <c r="M96"/>
  <c r="M92"/>
  <c r="M88"/>
  <c r="M84"/>
  <c r="M80"/>
  <c r="M68"/>
  <c r="M64"/>
  <c r="M44"/>
  <c r="M40"/>
  <c r="M28"/>
  <c r="M16"/>
  <c r="N1384"/>
  <c r="Y1384"/>
  <c r="N1392"/>
  <c r="Y1392"/>
  <c r="Y1400"/>
  <c r="N1400"/>
  <c r="Y1408"/>
  <c r="Y1432"/>
  <c r="N1432"/>
  <c r="Y1440"/>
  <c r="N1440"/>
  <c r="N1448"/>
  <c r="N1480"/>
  <c r="Y1480"/>
  <c r="N1488"/>
  <c r="Y1488"/>
  <c r="Y1496"/>
  <c r="N1496"/>
  <c r="Y1504"/>
  <c r="Y1528"/>
  <c r="N1528"/>
  <c r="Y1536"/>
  <c r="N1536"/>
  <c r="N1544"/>
  <c r="Y1544"/>
  <c r="N1552"/>
  <c r="Y1552"/>
  <c r="N1576"/>
  <c r="Y1576"/>
  <c r="N1584"/>
  <c r="Y1584"/>
  <c r="N1592"/>
  <c r="Y1624"/>
  <c r="N1624"/>
  <c r="Y1628"/>
  <c r="N1628"/>
  <c r="Y1632"/>
  <c r="N1632"/>
  <c r="Y1640"/>
  <c r="Y1644"/>
  <c r="N3"/>
  <c r="X6"/>
  <c r="N12" l="1"/>
  <c r="X49"/>
  <c r="X33"/>
  <c r="M20"/>
  <c r="Y10"/>
  <c r="Y29"/>
  <c r="X4"/>
  <c r="X17"/>
  <c r="M30"/>
  <c r="N23"/>
  <c r="M43"/>
  <c r="AK6" i="2"/>
  <c r="AK10"/>
  <c r="AK8"/>
  <c r="AC14"/>
  <c r="AD14" s="1"/>
  <c r="Z1626" i="6"/>
  <c r="Z1458"/>
  <c r="Z1370"/>
  <c r="Z1386"/>
  <c r="Z1338"/>
  <c r="Z1506"/>
  <c r="Z1074"/>
  <c r="Z1346"/>
  <c r="Z1566"/>
  <c r="M178"/>
  <c r="X447"/>
  <c r="N1156"/>
  <c r="M274"/>
  <c r="X95"/>
  <c r="M466"/>
  <c r="Z1466"/>
  <c r="M370"/>
  <c r="M82"/>
  <c r="AL823"/>
  <c r="AM823" s="1"/>
  <c r="Z823"/>
  <c r="AL775"/>
  <c r="AM775" s="1"/>
  <c r="Z775"/>
  <c r="AL367"/>
  <c r="AM367" s="1"/>
  <c r="Z367"/>
  <c r="AL31"/>
  <c r="AM31" s="1"/>
  <c r="Z31"/>
  <c r="X1645"/>
  <c r="M1645"/>
  <c r="X1610"/>
  <c r="M1610"/>
  <c r="M1466"/>
  <c r="X1466"/>
  <c r="X1453"/>
  <c r="M1453"/>
  <c r="X1357"/>
  <c r="M1357"/>
  <c r="X1348"/>
  <c r="M1348"/>
  <c r="X1261"/>
  <c r="M1261"/>
  <c r="Y1173"/>
  <c r="N1173"/>
  <c r="Y1103"/>
  <c r="N1103"/>
  <c r="M903"/>
  <c r="X903"/>
  <c r="Y885"/>
  <c r="N885"/>
  <c r="Y850"/>
  <c r="N850"/>
  <c r="Y815"/>
  <c r="N815"/>
  <c r="Y754"/>
  <c r="N754"/>
  <c r="Y719"/>
  <c r="N719"/>
  <c r="X711"/>
  <c r="M711"/>
  <c r="Y693"/>
  <c r="N693"/>
  <c r="Y562"/>
  <c r="N562"/>
  <c r="X458"/>
  <c r="M458"/>
  <c r="X439"/>
  <c r="M439"/>
  <c r="X314"/>
  <c r="M314"/>
  <c r="Y275"/>
  <c r="N275"/>
  <c r="X247"/>
  <c r="M247"/>
  <c r="X122"/>
  <c r="M122"/>
  <c r="X74"/>
  <c r="M74"/>
  <c r="X26"/>
  <c r="M26"/>
  <c r="X7"/>
  <c r="M7"/>
  <c r="Y900"/>
  <c r="N900"/>
  <c r="Y1140"/>
  <c r="N1140"/>
  <c r="Y1380"/>
  <c r="N1380"/>
  <c r="AL1640"/>
  <c r="AM1640" s="1"/>
  <c r="Z1640"/>
  <c r="AL1004"/>
  <c r="AM1004" s="1"/>
  <c r="Z1004"/>
  <c r="AL872"/>
  <c r="AM872" s="1"/>
  <c r="Z872"/>
  <c r="N179"/>
  <c r="N1217"/>
  <c r="X1401"/>
  <c r="AL1039"/>
  <c r="AM1039" s="1"/>
  <c r="Z1039"/>
  <c r="Y1522"/>
  <c r="N1522"/>
  <c r="Y1487"/>
  <c r="N1487"/>
  <c r="Y1391"/>
  <c r="N1391"/>
  <c r="X1383"/>
  <c r="M1383"/>
  <c r="Y1365"/>
  <c r="N1365"/>
  <c r="Y1330"/>
  <c r="N1330"/>
  <c r="Y1295"/>
  <c r="N1295"/>
  <c r="X1252"/>
  <c r="M1252"/>
  <c r="X1060"/>
  <c r="M1060"/>
  <c r="Y1042"/>
  <c r="N1042"/>
  <c r="Y1007"/>
  <c r="N1007"/>
  <c r="X938"/>
  <c r="M938"/>
  <c r="X781"/>
  <c r="M781"/>
  <c r="X746"/>
  <c r="M746"/>
  <c r="X676"/>
  <c r="M676"/>
  <c r="Y623"/>
  <c r="N623"/>
  <c r="X615"/>
  <c r="M615"/>
  <c r="Y597"/>
  <c r="N597"/>
  <c r="X580"/>
  <c r="M580"/>
  <c r="X554"/>
  <c r="M554"/>
  <c r="X530"/>
  <c r="M530"/>
  <c r="Y515"/>
  <c r="N515"/>
  <c r="X487"/>
  <c r="M487"/>
  <c r="N467"/>
  <c r="Y467"/>
  <c r="X410"/>
  <c r="M410"/>
  <c r="X391"/>
  <c r="M391"/>
  <c r="Y371"/>
  <c r="N371"/>
  <c r="X266"/>
  <c r="M266"/>
  <c r="X218"/>
  <c r="M218"/>
  <c r="X199"/>
  <c r="M199"/>
  <c r="X170"/>
  <c r="M170"/>
  <c r="X151"/>
  <c r="M151"/>
  <c r="X55"/>
  <c r="M55"/>
  <c r="Y660"/>
  <c r="N660"/>
  <c r="AL1172"/>
  <c r="AM1172" s="1"/>
  <c r="Z1172"/>
  <c r="AL1052"/>
  <c r="AM1052" s="1"/>
  <c r="Z1052"/>
  <c r="AL391"/>
  <c r="AM391" s="1"/>
  <c r="Z391"/>
  <c r="Y1583"/>
  <c r="N1583"/>
  <c r="X1540"/>
  <c r="M1540"/>
  <c r="X1479"/>
  <c r="M1479"/>
  <c r="X1287"/>
  <c r="M1287"/>
  <c r="X1226"/>
  <c r="M1226"/>
  <c r="Y1199"/>
  <c r="N1199"/>
  <c r="X1156"/>
  <c r="M1156"/>
  <c r="X1095"/>
  <c r="M1095"/>
  <c r="Y1077"/>
  <c r="N1077"/>
  <c r="X1034"/>
  <c r="M1034"/>
  <c r="X973"/>
  <c r="M973"/>
  <c r="X964"/>
  <c r="M964"/>
  <c r="Y946"/>
  <c r="N946"/>
  <c r="Y911"/>
  <c r="N911"/>
  <c r="X877"/>
  <c r="M877"/>
  <c r="X842"/>
  <c r="M842"/>
  <c r="Y789"/>
  <c r="N789"/>
  <c r="X772"/>
  <c r="M772"/>
  <c r="X589"/>
  <c r="M589"/>
  <c r="X343"/>
  <c r="M343"/>
  <c r="X242"/>
  <c r="M242"/>
  <c r="Y227"/>
  <c r="N227"/>
  <c r="X103"/>
  <c r="M103"/>
  <c r="Y83"/>
  <c r="N83"/>
  <c r="X50"/>
  <c r="M50"/>
  <c r="Y756"/>
  <c r="N756"/>
  <c r="Y852"/>
  <c r="N852"/>
  <c r="Y1044"/>
  <c r="N1044"/>
  <c r="Y1332"/>
  <c r="N1332"/>
  <c r="Y1524"/>
  <c r="N1524"/>
  <c r="Y1620"/>
  <c r="N1620"/>
  <c r="AL1040"/>
  <c r="AM1040" s="1"/>
  <c r="Z1040"/>
  <c r="AL824"/>
  <c r="AM824" s="1"/>
  <c r="Z824"/>
  <c r="AL776"/>
  <c r="AM776" s="1"/>
  <c r="Z776"/>
  <c r="AL728"/>
  <c r="AM728" s="1"/>
  <c r="Z728"/>
  <c r="AL692"/>
  <c r="AM692" s="1"/>
  <c r="Z692"/>
  <c r="M1641"/>
  <c r="X1641"/>
  <c r="AL535"/>
  <c r="AM535" s="1"/>
  <c r="Z535"/>
  <c r="AL223"/>
  <c r="AM223" s="1"/>
  <c r="Z223"/>
  <c r="X1636"/>
  <c r="M1636"/>
  <c r="X1575"/>
  <c r="M1575"/>
  <c r="Y1557"/>
  <c r="N1557"/>
  <c r="X1549"/>
  <c r="M1549"/>
  <c r="X1514"/>
  <c r="M1514"/>
  <c r="Y1461"/>
  <c r="N1461"/>
  <c r="Y1426"/>
  <c r="N1426"/>
  <c r="X1418"/>
  <c r="M1418"/>
  <c r="X1322"/>
  <c r="M1322"/>
  <c r="Y1269"/>
  <c r="N1269"/>
  <c r="Y1234"/>
  <c r="N1234"/>
  <c r="X1191"/>
  <c r="M1191"/>
  <c r="X1165"/>
  <c r="M1165"/>
  <c r="Y1138"/>
  <c r="N1138"/>
  <c r="X1130"/>
  <c r="M1130"/>
  <c r="X1069"/>
  <c r="M1069"/>
  <c r="M999"/>
  <c r="X999"/>
  <c r="Y981"/>
  <c r="N981"/>
  <c r="X868"/>
  <c r="M868"/>
  <c r="M855"/>
  <c r="X855"/>
  <c r="X807"/>
  <c r="M807"/>
  <c r="X685"/>
  <c r="M685"/>
  <c r="Y658"/>
  <c r="N658"/>
  <c r="X650"/>
  <c r="M650"/>
  <c r="Y645"/>
  <c r="N645"/>
  <c r="X535"/>
  <c r="M535"/>
  <c r="X506"/>
  <c r="M506"/>
  <c r="X434"/>
  <c r="M434"/>
  <c r="Y419"/>
  <c r="N419"/>
  <c r="X362"/>
  <c r="M362"/>
  <c r="X338"/>
  <c r="M338"/>
  <c r="Y323"/>
  <c r="N323"/>
  <c r="X295"/>
  <c r="M295"/>
  <c r="X146"/>
  <c r="M146"/>
  <c r="Y131"/>
  <c r="N131"/>
  <c r="Y35"/>
  <c r="N35"/>
  <c r="M31"/>
  <c r="X31"/>
  <c r="Y564"/>
  <c r="N564"/>
  <c r="Y948"/>
  <c r="N948"/>
  <c r="Y1428"/>
  <c r="N1428"/>
  <c r="AL1268"/>
  <c r="AM1268" s="1"/>
  <c r="Z1268"/>
  <c r="AL1220"/>
  <c r="AM1220" s="1"/>
  <c r="Z1220"/>
  <c r="AL1148"/>
  <c r="AM1148" s="1"/>
  <c r="Z1148"/>
  <c r="AL1136"/>
  <c r="AM1136" s="1"/>
  <c r="Z1136"/>
  <c r="AL1124"/>
  <c r="AM1124" s="1"/>
  <c r="Z1124"/>
  <c r="AL1064"/>
  <c r="AM1064" s="1"/>
  <c r="Z1064"/>
  <c r="AL968"/>
  <c r="AM968" s="1"/>
  <c r="Z968"/>
  <c r="AL956"/>
  <c r="AM956" s="1"/>
  <c r="Z956"/>
  <c r="AL704"/>
  <c r="AM704" s="1"/>
  <c r="Z704"/>
  <c r="AL644"/>
  <c r="AM644" s="1"/>
  <c r="Z644"/>
  <c r="AL500"/>
  <c r="AM500" s="1"/>
  <c r="Z500"/>
  <c r="AL488"/>
  <c r="AM488" s="1"/>
  <c r="Z488"/>
  <c r="AL452"/>
  <c r="AM452" s="1"/>
  <c r="Z452"/>
  <c r="AL404"/>
  <c r="AM404" s="1"/>
  <c r="Z404"/>
  <c r="AL332"/>
  <c r="AM332" s="1"/>
  <c r="Z332"/>
  <c r="AL284"/>
  <c r="AM284" s="1"/>
  <c r="Z284"/>
  <c r="AL164"/>
  <c r="AM164" s="1"/>
  <c r="Z164"/>
  <c r="AL140"/>
  <c r="AM140" s="1"/>
  <c r="Z140"/>
  <c r="AL116"/>
  <c r="AM116" s="1"/>
  <c r="Z116"/>
  <c r="AL68"/>
  <c r="AM68" s="1"/>
  <c r="Z68"/>
  <c r="AL44"/>
  <c r="AM44" s="1"/>
  <c r="Z44"/>
  <c r="Y1649"/>
  <c r="N1649"/>
  <c r="X1632"/>
  <c r="M1632"/>
  <c r="Y1627"/>
  <c r="N1627"/>
  <c r="X1619"/>
  <c r="M1619"/>
  <c r="Y1614"/>
  <c r="N1614"/>
  <c r="X1606"/>
  <c r="M1606"/>
  <c r="Y1601"/>
  <c r="N1601"/>
  <c r="M1593"/>
  <c r="X1593"/>
  <c r="M1584"/>
  <c r="X1584"/>
  <c r="Y1579"/>
  <c r="N1579"/>
  <c r="M1571"/>
  <c r="X1571"/>
  <c r="N1566"/>
  <c r="Y1566"/>
  <c r="X1558"/>
  <c r="M1558"/>
  <c r="N1553"/>
  <c r="Y1553"/>
  <c r="M1545"/>
  <c r="X1545"/>
  <c r="M1536"/>
  <c r="X1536"/>
  <c r="Y1531"/>
  <c r="N1531"/>
  <c r="X1523"/>
  <c r="M1523"/>
  <c r="N1518"/>
  <c r="Y1518"/>
  <c r="X1510"/>
  <c r="M1510"/>
  <c r="Y1505"/>
  <c r="N1505"/>
  <c r="X1497"/>
  <c r="M1497"/>
  <c r="M1488"/>
  <c r="X1488"/>
  <c r="N1483"/>
  <c r="Y1483"/>
  <c r="M1475"/>
  <c r="X1475"/>
  <c r="Y1470"/>
  <c r="N1470"/>
  <c r="X1462"/>
  <c r="M1462"/>
  <c r="Y1457"/>
  <c r="N1457"/>
  <c r="X1449"/>
  <c r="M1449"/>
  <c r="N1435"/>
  <c r="Y1435"/>
  <c r="X1427"/>
  <c r="M1427"/>
  <c r="Y1422"/>
  <c r="N1422"/>
  <c r="X1414"/>
  <c r="M1414"/>
  <c r="N1409"/>
  <c r="Y1409"/>
  <c r="M1392"/>
  <c r="X1392"/>
  <c r="N1387"/>
  <c r="Y1387"/>
  <c r="X1379"/>
  <c r="M1379"/>
  <c r="Y1374"/>
  <c r="N1374"/>
  <c r="X1366"/>
  <c r="M1366"/>
  <c r="Y1361"/>
  <c r="N1361"/>
  <c r="X1353"/>
  <c r="M1353"/>
  <c r="Y1339"/>
  <c r="N1339"/>
  <c r="X1331"/>
  <c r="M1331"/>
  <c r="Y1326"/>
  <c r="N1326"/>
  <c r="M1318"/>
  <c r="X1318"/>
  <c r="Y1313"/>
  <c r="N1313"/>
  <c r="M1305"/>
  <c r="X1305"/>
  <c r="M1296"/>
  <c r="X1296"/>
  <c r="N1291"/>
  <c r="Y1291"/>
  <c r="M1283"/>
  <c r="X1283"/>
  <c r="Y1278"/>
  <c r="N1278"/>
  <c r="X1270"/>
  <c r="M1270"/>
  <c r="N1265"/>
  <c r="Y1265"/>
  <c r="X1257"/>
  <c r="M1257"/>
  <c r="M1248"/>
  <c r="X1248"/>
  <c r="Y1243"/>
  <c r="N1243"/>
  <c r="X1235"/>
  <c r="M1235"/>
  <c r="N1230"/>
  <c r="Y1230"/>
  <c r="M1222"/>
  <c r="X1222"/>
  <c r="X1209"/>
  <c r="M1209"/>
  <c r="X1200"/>
  <c r="M1200"/>
  <c r="Y1195"/>
  <c r="N1195"/>
  <c r="X1187"/>
  <c r="M1187"/>
  <c r="Y1182"/>
  <c r="N1182"/>
  <c r="X1174"/>
  <c r="M1174"/>
  <c r="Y1169"/>
  <c r="N1169"/>
  <c r="X1161"/>
  <c r="M1161"/>
  <c r="M1152"/>
  <c r="X1152"/>
  <c r="Y1147"/>
  <c r="N1147"/>
  <c r="M1139"/>
  <c r="X1139"/>
  <c r="N1134"/>
  <c r="Y1134"/>
  <c r="X960"/>
  <c r="M960"/>
  <c r="N1618"/>
  <c r="N1236"/>
  <c r="M1344"/>
  <c r="X1126"/>
  <c r="M1126"/>
  <c r="Y1121"/>
  <c r="N1121"/>
  <c r="X1104"/>
  <c r="M1104"/>
  <c r="Y1086"/>
  <c r="N1086"/>
  <c r="Y1073"/>
  <c r="N1073"/>
  <c r="M1056"/>
  <c r="X1056"/>
  <c r="M1008"/>
  <c r="X1008"/>
  <c r="M995"/>
  <c r="X995"/>
  <c r="X969"/>
  <c r="M969"/>
  <c r="N881"/>
  <c r="Y881"/>
  <c r="X873"/>
  <c r="M873"/>
  <c r="N859"/>
  <c r="Y859"/>
  <c r="X851"/>
  <c r="M851"/>
  <c r="Y846"/>
  <c r="N846"/>
  <c r="M777"/>
  <c r="X777"/>
  <c r="X768"/>
  <c r="M768"/>
  <c r="Y763"/>
  <c r="N763"/>
  <c r="X755"/>
  <c r="M755"/>
  <c r="N737"/>
  <c r="Y737"/>
  <c r="X720"/>
  <c r="M720"/>
  <c r="M694"/>
  <c r="X694"/>
  <c r="M633"/>
  <c r="X633"/>
  <c r="X611"/>
  <c r="M611"/>
  <c r="M598"/>
  <c r="X598"/>
  <c r="N558"/>
  <c r="Y558"/>
  <c r="N525"/>
  <c r="Y525"/>
  <c r="N501"/>
  <c r="Y501"/>
  <c r="X497"/>
  <c r="M497"/>
  <c r="N477"/>
  <c r="Y477"/>
  <c r="X473"/>
  <c r="M473"/>
  <c r="Y429"/>
  <c r="N429"/>
  <c r="X420"/>
  <c r="M420"/>
  <c r="X377"/>
  <c r="M377"/>
  <c r="M372"/>
  <c r="X372"/>
  <c r="N362"/>
  <c r="Y362"/>
  <c r="X300"/>
  <c r="M300"/>
  <c r="Y290"/>
  <c r="N290"/>
  <c r="X281"/>
  <c r="M281"/>
  <c r="M276"/>
  <c r="X276"/>
  <c r="Y242"/>
  <c r="N242"/>
  <c r="M233"/>
  <c r="X233"/>
  <c r="X209"/>
  <c r="M209"/>
  <c r="X204"/>
  <c r="M204"/>
  <c r="Y194"/>
  <c r="N194"/>
  <c r="X185"/>
  <c r="M185"/>
  <c r="Y170"/>
  <c r="N170"/>
  <c r="X161"/>
  <c r="M161"/>
  <c r="N74"/>
  <c r="Y74"/>
  <c r="X60"/>
  <c r="M60"/>
  <c r="M41"/>
  <c r="X41"/>
  <c r="X36"/>
  <c r="M36"/>
  <c r="M12"/>
  <c r="X12"/>
  <c r="Y4"/>
  <c r="N4"/>
  <c r="Y124"/>
  <c r="N124"/>
  <c r="Y196"/>
  <c r="N196"/>
  <c r="Y268"/>
  <c r="N268"/>
  <c r="Y340"/>
  <c r="N340"/>
  <c r="Y508"/>
  <c r="N508"/>
  <c r="Y532"/>
  <c r="N532"/>
  <c r="Y608"/>
  <c r="N608"/>
  <c r="Y656"/>
  <c r="N656"/>
  <c r="Y752"/>
  <c r="N752"/>
  <c r="Y992"/>
  <c r="N992"/>
  <c r="Y1088"/>
  <c r="N1088"/>
  <c r="Y1143"/>
  <c r="N1143"/>
  <c r="X1100"/>
  <c r="M1100"/>
  <c r="Y1047"/>
  <c r="N1047"/>
  <c r="M1013"/>
  <c r="X1013"/>
  <c r="X917"/>
  <c r="M917"/>
  <c r="N855"/>
  <c r="Y855"/>
  <c r="X786"/>
  <c r="M786"/>
  <c r="Y759"/>
  <c r="N759"/>
  <c r="M725"/>
  <c r="X725"/>
  <c r="X716"/>
  <c r="M716"/>
  <c r="Y663"/>
  <c r="N663"/>
  <c r="M629"/>
  <c r="X629"/>
  <c r="X620"/>
  <c r="M620"/>
  <c r="Y602"/>
  <c r="N602"/>
  <c r="X594"/>
  <c r="M594"/>
  <c r="X581"/>
  <c r="M581"/>
  <c r="X572"/>
  <c r="M572"/>
  <c r="X559"/>
  <c r="M559"/>
  <c r="X550"/>
  <c r="M550"/>
  <c r="X531"/>
  <c r="M531"/>
  <c r="X502"/>
  <c r="M502"/>
  <c r="M406"/>
  <c r="X406"/>
  <c r="X387"/>
  <c r="M387"/>
  <c r="Y319"/>
  <c r="N319"/>
  <c r="X310"/>
  <c r="M310"/>
  <c r="X291"/>
  <c r="M291"/>
  <c r="X214"/>
  <c r="M214"/>
  <c r="Y199"/>
  <c r="N199"/>
  <c r="X166"/>
  <c r="M166"/>
  <c r="X147"/>
  <c r="M147"/>
  <c r="Y127"/>
  <c r="N127"/>
  <c r="X118"/>
  <c r="M118"/>
  <c r="X99"/>
  <c r="M99"/>
  <c r="Y31"/>
  <c r="N31"/>
  <c r="X27"/>
  <c r="M27"/>
  <c r="Y7"/>
  <c r="N7"/>
  <c r="Y604"/>
  <c r="N604"/>
  <c r="Y988"/>
  <c r="N988"/>
  <c r="Y1084"/>
  <c r="N1084"/>
  <c r="Y1276"/>
  <c r="N1276"/>
  <c r="Y1372"/>
  <c r="N1372"/>
  <c r="N1420"/>
  <c r="Y1420"/>
  <c r="Y1468"/>
  <c r="N1468"/>
  <c r="AL1450"/>
  <c r="AM1450" s="1"/>
  <c r="Z1450"/>
  <c r="AL1378"/>
  <c r="AM1378" s="1"/>
  <c r="Z1378"/>
  <c r="AL1294"/>
  <c r="AM1294" s="1"/>
  <c r="Z1294"/>
  <c r="AL1270"/>
  <c r="AM1270" s="1"/>
  <c r="Z1270"/>
  <c r="AL1210"/>
  <c r="AM1210" s="1"/>
  <c r="Z1210"/>
  <c r="AL418"/>
  <c r="AM418" s="1"/>
  <c r="Z418"/>
  <c r="AL214"/>
  <c r="AM214" s="1"/>
  <c r="Z214"/>
  <c r="AL202"/>
  <c r="AM202" s="1"/>
  <c r="Z202"/>
  <c r="AL154"/>
  <c r="AM154" s="1"/>
  <c r="Z154"/>
  <c r="AL46"/>
  <c r="AM46" s="1"/>
  <c r="Z46"/>
  <c r="M1646"/>
  <c r="X1646"/>
  <c r="X1633"/>
  <c r="M1633"/>
  <c r="M1611"/>
  <c r="X1611"/>
  <c r="X1598"/>
  <c r="M1598"/>
  <c r="Y1593"/>
  <c r="N1593"/>
  <c r="X1576"/>
  <c r="M1576"/>
  <c r="N1571"/>
  <c r="Y1571"/>
  <c r="X1563"/>
  <c r="M1563"/>
  <c r="Y1558"/>
  <c r="N1558"/>
  <c r="X1550"/>
  <c r="M1550"/>
  <c r="X1537"/>
  <c r="M1537"/>
  <c r="M1515"/>
  <c r="X1515"/>
  <c r="N1510"/>
  <c r="Y1510"/>
  <c r="Y1497"/>
  <c r="N1497"/>
  <c r="M1489"/>
  <c r="X1489"/>
  <c r="X1480"/>
  <c r="M1480"/>
  <c r="X1467"/>
  <c r="M1467"/>
  <c r="Y1462"/>
  <c r="N1462"/>
  <c r="M1441"/>
  <c r="X1441"/>
  <c r="N1427"/>
  <c r="Y1427"/>
  <c r="X1406"/>
  <c r="M1406"/>
  <c r="X1393"/>
  <c r="M1393"/>
  <c r="Y1379"/>
  <c r="N1379"/>
  <c r="M1371"/>
  <c r="X1371"/>
  <c r="N1366"/>
  <c r="Y1366"/>
  <c r="M1358"/>
  <c r="X1358"/>
  <c r="Y1353"/>
  <c r="N1353"/>
  <c r="X1345"/>
  <c r="M1345"/>
  <c r="N1257"/>
  <c r="Y1257"/>
  <c r="Y1161"/>
  <c r="N1161"/>
  <c r="M1153"/>
  <c r="X1153"/>
  <c r="N1139"/>
  <c r="Y1139"/>
  <c r="M1118"/>
  <c r="X1118"/>
  <c r="N1078"/>
  <c r="Y1078"/>
  <c r="X1048"/>
  <c r="M1048"/>
  <c r="Y1043"/>
  <c r="N1043"/>
  <c r="Y1030"/>
  <c r="N1030"/>
  <c r="X1022"/>
  <c r="M1022"/>
  <c r="X1009"/>
  <c r="M1009"/>
  <c r="Y995"/>
  <c r="N995"/>
  <c r="Y982"/>
  <c r="N982"/>
  <c r="Y947"/>
  <c r="N947"/>
  <c r="Y934"/>
  <c r="N934"/>
  <c r="X913"/>
  <c r="M913"/>
  <c r="X782"/>
  <c r="M782"/>
  <c r="N777"/>
  <c r="Y777"/>
  <c r="M760"/>
  <c r="X760"/>
  <c r="Y755"/>
  <c r="N755"/>
  <c r="Y742"/>
  <c r="N742"/>
  <c r="Y729"/>
  <c r="N729"/>
  <c r="Y707"/>
  <c r="N707"/>
  <c r="M699"/>
  <c r="X699"/>
  <c r="N681"/>
  <c r="Y681"/>
  <c r="Y659"/>
  <c r="N659"/>
  <c r="X625"/>
  <c r="M625"/>
  <c r="N611"/>
  <c r="Y611"/>
  <c r="Y585"/>
  <c r="N585"/>
  <c r="N563"/>
  <c r="Y563"/>
  <c r="Y550"/>
  <c r="N550"/>
  <c r="X541"/>
  <c r="M541"/>
  <c r="X517"/>
  <c r="M517"/>
  <c r="M512"/>
  <c r="X512"/>
  <c r="M488"/>
  <c r="X488"/>
  <c r="N478"/>
  <c r="Y478"/>
  <c r="Y449"/>
  <c r="N449"/>
  <c r="M445"/>
  <c r="X445"/>
  <c r="M440"/>
  <c r="X440"/>
  <c r="M421"/>
  <c r="X421"/>
  <c r="X416"/>
  <c r="M416"/>
  <c r="X397"/>
  <c r="M397"/>
  <c r="M392"/>
  <c r="X392"/>
  <c r="Y377"/>
  <c r="N377"/>
  <c r="M373"/>
  <c r="X373"/>
  <c r="M344"/>
  <c r="X344"/>
  <c r="N334"/>
  <c r="Y334"/>
  <c r="M325"/>
  <c r="X325"/>
  <c r="X320"/>
  <c r="M320"/>
  <c r="Y310"/>
  <c r="N310"/>
  <c r="N305"/>
  <c r="Y305"/>
  <c r="X301"/>
  <c r="M301"/>
  <c r="M296"/>
  <c r="X296"/>
  <c r="X277"/>
  <c r="M277"/>
  <c r="Y262"/>
  <c r="N262"/>
  <c r="X253"/>
  <c r="M253"/>
  <c r="M248"/>
  <c r="X248"/>
  <c r="N233"/>
  <c r="Y233"/>
  <c r="M200"/>
  <c r="X200"/>
  <c r="Y190"/>
  <c r="N190"/>
  <c r="Y185"/>
  <c r="N185"/>
  <c r="Y161"/>
  <c r="N161"/>
  <c r="X157"/>
  <c r="M157"/>
  <c r="M152"/>
  <c r="X152"/>
  <c r="Y142"/>
  <c r="N142"/>
  <c r="X128"/>
  <c r="M128"/>
  <c r="X109"/>
  <c r="M109"/>
  <c r="Y89"/>
  <c r="N89"/>
  <c r="M85"/>
  <c r="X85"/>
  <c r="Y70"/>
  <c r="N70"/>
  <c r="M56"/>
  <c r="X56"/>
  <c r="Y41"/>
  <c r="N41"/>
  <c r="X37"/>
  <c r="M37"/>
  <c r="Y22"/>
  <c r="N22"/>
  <c r="X13"/>
  <c r="M13"/>
  <c r="Y24"/>
  <c r="N24"/>
  <c r="Y72"/>
  <c r="N72"/>
  <c r="Y96"/>
  <c r="N96"/>
  <c r="Y120"/>
  <c r="N120"/>
  <c r="Y144"/>
  <c r="N144"/>
  <c r="Y192"/>
  <c r="N192"/>
  <c r="Y216"/>
  <c r="N216"/>
  <c r="Y240"/>
  <c r="N240"/>
  <c r="Y264"/>
  <c r="N264"/>
  <c r="Y288"/>
  <c r="N288"/>
  <c r="Y312"/>
  <c r="N312"/>
  <c r="Y336"/>
  <c r="N336"/>
  <c r="Y384"/>
  <c r="N384"/>
  <c r="Y408"/>
  <c r="N408"/>
  <c r="Y432"/>
  <c r="N432"/>
  <c r="Y456"/>
  <c r="N456"/>
  <c r="Y480"/>
  <c r="N480"/>
  <c r="Y504"/>
  <c r="N504"/>
  <c r="Y528"/>
  <c r="N528"/>
  <c r="Y600"/>
  <c r="N600"/>
  <c r="Y648"/>
  <c r="N648"/>
  <c r="Y696"/>
  <c r="N696"/>
  <c r="Y744"/>
  <c r="N744"/>
  <c r="Y792"/>
  <c r="N792"/>
  <c r="Y840"/>
  <c r="N840"/>
  <c r="Y936"/>
  <c r="N936"/>
  <c r="Y984"/>
  <c r="N984"/>
  <c r="Y1032"/>
  <c r="N1032"/>
  <c r="Y1080"/>
  <c r="N1080"/>
  <c r="Y1128"/>
  <c r="N1128"/>
  <c r="Y1176"/>
  <c r="N1176"/>
  <c r="Y1272"/>
  <c r="N1272"/>
  <c r="Y1368"/>
  <c r="N1368"/>
  <c r="Y1416"/>
  <c r="N1416"/>
  <c r="N1464"/>
  <c r="Y1464"/>
  <c r="Y1512"/>
  <c r="N1512"/>
  <c r="M156"/>
  <c r="Y482"/>
  <c r="N333"/>
  <c r="Y1178"/>
  <c r="X65"/>
  <c r="N410"/>
  <c r="N1025"/>
  <c r="M729"/>
  <c r="M1105"/>
  <c r="N220"/>
  <c r="X1179"/>
  <c r="Y1038"/>
  <c r="X974"/>
  <c r="X808"/>
  <c r="Y785"/>
  <c r="X568"/>
  <c r="X468"/>
  <c r="Y65"/>
  <c r="N151"/>
  <c r="N406"/>
  <c r="N1017"/>
  <c r="M821"/>
  <c r="Y907"/>
  <c r="X104"/>
  <c r="M32"/>
  <c r="M396"/>
  <c r="N367"/>
  <c r="N1523"/>
  <c r="N218"/>
  <c r="N702"/>
  <c r="N405"/>
  <c r="N1305"/>
  <c r="M817"/>
  <c r="N484"/>
  <c r="X1275"/>
  <c r="X1231"/>
  <c r="X1113"/>
  <c r="X659"/>
  <c r="X469"/>
  <c r="Y453"/>
  <c r="Y238"/>
  <c r="Y146"/>
  <c r="M672"/>
  <c r="M339"/>
  <c r="M1615"/>
  <c r="N214"/>
  <c r="N694"/>
  <c r="N401"/>
  <c r="N700"/>
  <c r="Y1113"/>
  <c r="X1065"/>
  <c r="Z622"/>
  <c r="Y454"/>
  <c r="N50"/>
  <c r="N1414"/>
  <c r="M257"/>
  <c r="N292"/>
  <c r="N552"/>
  <c r="X1585"/>
  <c r="Y1213"/>
  <c r="Y1065"/>
  <c r="Y955"/>
  <c r="X843"/>
  <c r="X624"/>
  <c r="Y357"/>
  <c r="Y285"/>
  <c r="Y93"/>
  <c r="M1240"/>
  <c r="N463"/>
  <c r="N715"/>
  <c r="N811"/>
  <c r="N1099"/>
  <c r="M707"/>
  <c r="M1091"/>
  <c r="M1323"/>
  <c r="N46"/>
  <c r="N458"/>
  <c r="N790"/>
  <c r="N281"/>
  <c r="M61"/>
  <c r="M349"/>
  <c r="M1301"/>
  <c r="N364"/>
  <c r="X1214"/>
  <c r="Y1003"/>
  <c r="X603"/>
  <c r="X536"/>
  <c r="X401"/>
  <c r="Y338"/>
  <c r="X305"/>
  <c r="Y286"/>
  <c r="X934"/>
  <c r="M934"/>
  <c r="M921"/>
  <c r="X921"/>
  <c r="M912"/>
  <c r="X912"/>
  <c r="X886"/>
  <c r="M886"/>
  <c r="M864"/>
  <c r="X864"/>
  <c r="X790"/>
  <c r="M790"/>
  <c r="M681"/>
  <c r="X681"/>
  <c r="Y654"/>
  <c r="N654"/>
  <c r="M646"/>
  <c r="X646"/>
  <c r="Y606"/>
  <c r="N606"/>
  <c r="N593"/>
  <c r="Y593"/>
  <c r="M521"/>
  <c r="X521"/>
  <c r="Y506"/>
  <c r="N506"/>
  <c r="X449"/>
  <c r="M449"/>
  <c r="X425"/>
  <c r="M425"/>
  <c r="X353"/>
  <c r="M353"/>
  <c r="N309"/>
  <c r="Y309"/>
  <c r="N261"/>
  <c r="Y261"/>
  <c r="X252"/>
  <c r="M252"/>
  <c r="Y237"/>
  <c r="N237"/>
  <c r="M180"/>
  <c r="X180"/>
  <c r="N165"/>
  <c r="Y165"/>
  <c r="X132"/>
  <c r="M132"/>
  <c r="N122"/>
  <c r="Y122"/>
  <c r="M108"/>
  <c r="X108"/>
  <c r="X89"/>
  <c r="M89"/>
  <c r="Y45"/>
  <c r="N45"/>
  <c r="N26"/>
  <c r="Y26"/>
  <c r="Y76"/>
  <c r="N76"/>
  <c r="Y148"/>
  <c r="N148"/>
  <c r="Y316"/>
  <c r="N316"/>
  <c r="Y388"/>
  <c r="N388"/>
  <c r="Y460"/>
  <c r="N460"/>
  <c r="Y704"/>
  <c r="N704"/>
  <c r="Y800"/>
  <c r="N800"/>
  <c r="Y848"/>
  <c r="N848"/>
  <c r="Y944"/>
  <c r="N944"/>
  <c r="Y1136"/>
  <c r="N1136"/>
  <c r="Y1184"/>
  <c r="N1184"/>
  <c r="Y1280"/>
  <c r="N1280"/>
  <c r="Y1328"/>
  <c r="N1328"/>
  <c r="Y1376"/>
  <c r="N1376"/>
  <c r="Y1472"/>
  <c r="N1472"/>
  <c r="Y1520"/>
  <c r="N1520"/>
  <c r="Y1568"/>
  <c r="N1568"/>
  <c r="M1327"/>
  <c r="X1327"/>
  <c r="X1196"/>
  <c r="M1196"/>
  <c r="X1122"/>
  <c r="M1122"/>
  <c r="X847"/>
  <c r="M847"/>
  <c r="X483"/>
  <c r="M483"/>
  <c r="Y415"/>
  <c r="N415"/>
  <c r="Y391"/>
  <c r="N391"/>
  <c r="X286"/>
  <c r="M286"/>
  <c r="Y223"/>
  <c r="N223"/>
  <c r="X22"/>
  <c r="M22"/>
  <c r="AL658"/>
  <c r="AM658" s="1"/>
  <c r="Z658"/>
  <c r="AL262"/>
  <c r="AM262" s="1"/>
  <c r="Z262"/>
  <c r="N1283"/>
  <c r="Y1283"/>
  <c r="Y1270"/>
  <c r="N1270"/>
  <c r="X1249"/>
  <c r="M1249"/>
  <c r="Y1235"/>
  <c r="N1235"/>
  <c r="X1192"/>
  <c r="M1192"/>
  <c r="Y1174"/>
  <c r="N1174"/>
  <c r="M1166"/>
  <c r="X1166"/>
  <c r="X1131"/>
  <c r="M1131"/>
  <c r="X1096"/>
  <c r="M1096"/>
  <c r="M1070"/>
  <c r="X1070"/>
  <c r="X1057"/>
  <c r="M1057"/>
  <c r="X1035"/>
  <c r="M1035"/>
  <c r="X1000"/>
  <c r="M1000"/>
  <c r="M987"/>
  <c r="X987"/>
  <c r="N969"/>
  <c r="Y969"/>
  <c r="Y899"/>
  <c r="N899"/>
  <c r="Y873"/>
  <c r="N873"/>
  <c r="X747"/>
  <c r="M747"/>
  <c r="M712"/>
  <c r="X712"/>
  <c r="X686"/>
  <c r="M686"/>
  <c r="X673"/>
  <c r="M673"/>
  <c r="M664"/>
  <c r="X664"/>
  <c r="X638"/>
  <c r="M638"/>
  <c r="M616"/>
  <c r="X616"/>
  <c r="X590"/>
  <c r="M590"/>
  <c r="M555"/>
  <c r="X555"/>
  <c r="Y502"/>
  <c r="N502"/>
  <c r="Y473"/>
  <c r="N473"/>
  <c r="M229"/>
  <c r="X229"/>
  <c r="N209"/>
  <c r="Y209"/>
  <c r="M181"/>
  <c r="X181"/>
  <c r="Y48"/>
  <c r="N48"/>
  <c r="M113"/>
  <c r="N412"/>
  <c r="M70"/>
  <c r="M838"/>
  <c r="N929"/>
  <c r="N52"/>
  <c r="M812"/>
  <c r="N921"/>
  <c r="M576"/>
  <c r="M904"/>
  <c r="N271"/>
  <c r="M243"/>
  <c r="N1318"/>
  <c r="N28"/>
  <c r="N1619"/>
  <c r="M464"/>
  <c r="M947"/>
  <c r="N798"/>
  <c r="N1608"/>
  <c r="M8"/>
  <c r="N1091"/>
  <c r="N1331"/>
  <c r="M171"/>
  <c r="M803"/>
  <c r="M1083"/>
  <c r="N886"/>
  <c r="N1514"/>
  <c r="M1297"/>
  <c r="N100"/>
  <c r="N360"/>
  <c r="Y1449"/>
  <c r="X961"/>
  <c r="Y646"/>
  <c r="X133"/>
  <c r="M1078"/>
  <c r="X1078"/>
  <c r="X1043"/>
  <c r="M1043"/>
  <c r="M1030"/>
  <c r="X1030"/>
  <c r="X982"/>
  <c r="M982"/>
  <c r="N977"/>
  <c r="Y977"/>
  <c r="N667"/>
  <c r="Y667"/>
  <c r="Y619"/>
  <c r="N619"/>
  <c r="M540"/>
  <c r="X540"/>
  <c r="M492"/>
  <c r="X492"/>
  <c r="Y434"/>
  <c r="N434"/>
  <c r="N386"/>
  <c r="Y386"/>
  <c r="M228"/>
  <c r="X228"/>
  <c r="N213"/>
  <c r="Y213"/>
  <c r="N189"/>
  <c r="Y189"/>
  <c r="Y1466"/>
  <c r="N1466"/>
  <c r="Y1239"/>
  <c r="N1239"/>
  <c r="X1183"/>
  <c r="M1183"/>
  <c r="X1052"/>
  <c r="M1052"/>
  <c r="X978"/>
  <c r="M978"/>
  <c r="Y842"/>
  <c r="N842"/>
  <c r="Y829"/>
  <c r="N829"/>
  <c r="Y746"/>
  <c r="N746"/>
  <c r="X668"/>
  <c r="M668"/>
  <c r="X655"/>
  <c r="M655"/>
  <c r="N637"/>
  <c r="Y637"/>
  <c r="Y567"/>
  <c r="N567"/>
  <c r="Y511"/>
  <c r="N511"/>
  <c r="X219"/>
  <c r="M219"/>
  <c r="X195"/>
  <c r="M195"/>
  <c r="AL2"/>
  <c r="AM2" s="1"/>
  <c r="Z2"/>
  <c r="AL1474"/>
  <c r="AM1474" s="1"/>
  <c r="Z1474"/>
  <c r="AL1354"/>
  <c r="AM1354" s="1"/>
  <c r="Z1354"/>
  <c r="AL754"/>
  <c r="AM754" s="1"/>
  <c r="Z754"/>
  <c r="Y1641"/>
  <c r="N1641"/>
  <c r="N1545"/>
  <c r="Y1545"/>
  <c r="M1528"/>
  <c r="X1528"/>
  <c r="Y1475"/>
  <c r="N1475"/>
  <c r="N1222"/>
  <c r="Y1222"/>
  <c r="X952"/>
  <c r="M952"/>
  <c r="M939"/>
  <c r="X939"/>
  <c r="X865"/>
  <c r="M865"/>
  <c r="Y851"/>
  <c r="N851"/>
  <c r="Y838"/>
  <c r="N838"/>
  <c r="M830"/>
  <c r="X830"/>
  <c r="X769"/>
  <c r="M769"/>
  <c r="X734"/>
  <c r="M734"/>
  <c r="X721"/>
  <c r="M721"/>
  <c r="M577"/>
  <c r="X577"/>
  <c r="Y497"/>
  <c r="N497"/>
  <c r="Y430"/>
  <c r="N430"/>
  <c r="X368"/>
  <c r="M368"/>
  <c r="Y353"/>
  <c r="N353"/>
  <c r="Y257"/>
  <c r="N257"/>
  <c r="Y113"/>
  <c r="N113"/>
  <c r="M324"/>
  <c r="M816"/>
  <c r="Y1560"/>
  <c r="N21"/>
  <c r="N1564"/>
  <c r="Y314"/>
  <c r="N1424"/>
  <c r="M1227"/>
  <c r="M358"/>
  <c r="N560"/>
  <c r="N1040"/>
  <c r="M545"/>
  <c r="M3"/>
  <c r="N1616"/>
  <c r="M348"/>
  <c r="N1187"/>
  <c r="M51"/>
  <c r="M435"/>
  <c r="M795"/>
  <c r="M899"/>
  <c r="M1419"/>
  <c r="N530"/>
  <c r="N833"/>
  <c r="N172"/>
  <c r="N436"/>
  <c r="X1519"/>
  <c r="Z1498"/>
  <c r="X1262"/>
  <c r="X1144"/>
  <c r="Y894"/>
  <c r="Y750"/>
  <c r="X444"/>
  <c r="Y425"/>
  <c r="Y381"/>
  <c r="X176"/>
  <c r="Y1519"/>
  <c r="N1519"/>
  <c r="X1415"/>
  <c r="M1415"/>
  <c r="X1389"/>
  <c r="M1389"/>
  <c r="X1162"/>
  <c r="M1162"/>
  <c r="X1005"/>
  <c r="M1005"/>
  <c r="X996"/>
  <c r="M996"/>
  <c r="X909"/>
  <c r="M909"/>
  <c r="X874"/>
  <c r="M874"/>
  <c r="X839"/>
  <c r="M839"/>
  <c r="Y821"/>
  <c r="N821"/>
  <c r="X778"/>
  <c r="M778"/>
  <c r="Y751"/>
  <c r="N751"/>
  <c r="X717"/>
  <c r="M717"/>
  <c r="Y690"/>
  <c r="N690"/>
  <c r="X647"/>
  <c r="M647"/>
  <c r="Y531"/>
  <c r="N531"/>
  <c r="N387"/>
  <c r="Y387"/>
  <c r="Y291"/>
  <c r="N291"/>
  <c r="X282"/>
  <c r="M282"/>
  <c r="Y788"/>
  <c r="N788"/>
  <c r="Y1076"/>
  <c r="N1076"/>
  <c r="Y1364"/>
  <c r="N1364"/>
  <c r="Y1556"/>
  <c r="N1556"/>
  <c r="AL1260"/>
  <c r="AM1260" s="1"/>
  <c r="Z1260"/>
  <c r="AL1212"/>
  <c r="AM1212" s="1"/>
  <c r="Z1212"/>
  <c r="AL972"/>
  <c r="AM972" s="1"/>
  <c r="Z972"/>
  <c r="AL696"/>
  <c r="AM696" s="1"/>
  <c r="Z696"/>
  <c r="AL276"/>
  <c r="AM276" s="1"/>
  <c r="Z276"/>
  <c r="AL12"/>
  <c r="AM12" s="1"/>
  <c r="Z12"/>
  <c r="M1603"/>
  <c r="X1603"/>
  <c r="Y1537"/>
  <c r="N1537"/>
  <c r="M1494"/>
  <c r="X1494"/>
  <c r="X1110"/>
  <c r="M1110"/>
  <c r="N1105"/>
  <c r="Y1105"/>
  <c r="M835"/>
  <c r="X835"/>
  <c r="N782"/>
  <c r="Y782"/>
  <c r="M630"/>
  <c r="X630"/>
  <c r="Y498"/>
  <c r="N498"/>
  <c r="M484"/>
  <c r="X484"/>
  <c r="X465"/>
  <c r="M465"/>
  <c r="X436"/>
  <c r="M436"/>
  <c r="M321"/>
  <c r="X321"/>
  <c r="Y186"/>
  <c r="N186"/>
  <c r="M172"/>
  <c r="X172"/>
  <c r="N138"/>
  <c r="Y138"/>
  <c r="X129"/>
  <c r="M129"/>
  <c r="X124"/>
  <c r="M124"/>
  <c r="N90"/>
  <c r="Y90"/>
  <c r="M81"/>
  <c r="X81"/>
  <c r="Y61"/>
  <c r="N61"/>
  <c r="Y42"/>
  <c r="N42"/>
  <c r="X9"/>
  <c r="M9"/>
  <c r="Y44"/>
  <c r="N44"/>
  <c r="Y92"/>
  <c r="N92"/>
  <c r="Y140"/>
  <c r="N140"/>
  <c r="Y188"/>
  <c r="N188"/>
  <c r="Y236"/>
  <c r="N236"/>
  <c r="Y284"/>
  <c r="N284"/>
  <c r="Y332"/>
  <c r="N332"/>
  <c r="Y380"/>
  <c r="N380"/>
  <c r="Y428"/>
  <c r="N428"/>
  <c r="Y476"/>
  <c r="N476"/>
  <c r="Y524"/>
  <c r="N524"/>
  <c r="Y640"/>
  <c r="N640"/>
  <c r="Y784"/>
  <c r="N784"/>
  <c r="Y928"/>
  <c r="N928"/>
  <c r="Y1072"/>
  <c r="N1072"/>
  <c r="Y1120"/>
  <c r="N1120"/>
  <c r="Y1216"/>
  <c r="N1216"/>
  <c r="Y1360"/>
  <c r="N1360"/>
  <c r="AL398"/>
  <c r="AM398" s="1"/>
  <c r="Z398"/>
  <c r="AL230"/>
  <c r="AM230" s="1"/>
  <c r="Z230"/>
  <c r="AL218"/>
  <c r="AM218" s="1"/>
  <c r="Z218"/>
  <c r="AL206"/>
  <c r="AM206" s="1"/>
  <c r="Z206"/>
  <c r="AL194"/>
  <c r="AM194" s="1"/>
  <c r="Z194"/>
  <c r="Y1590"/>
  <c r="N1590"/>
  <c r="N1507"/>
  <c r="Y1507"/>
  <c r="N1481"/>
  <c r="Y1481"/>
  <c r="N1363"/>
  <c r="Y1363"/>
  <c r="X1320"/>
  <c r="M1320"/>
  <c r="X1246"/>
  <c r="M1246"/>
  <c r="M1233"/>
  <c r="X1233"/>
  <c r="X1224"/>
  <c r="M1224"/>
  <c r="M1211"/>
  <c r="X1211"/>
  <c r="X958"/>
  <c r="M958"/>
  <c r="X936"/>
  <c r="M936"/>
  <c r="X923"/>
  <c r="M923"/>
  <c r="M862"/>
  <c r="X862"/>
  <c r="M849"/>
  <c r="X849"/>
  <c r="Y835"/>
  <c r="N835"/>
  <c r="N822"/>
  <c r="Y822"/>
  <c r="N809"/>
  <c r="Y809"/>
  <c r="M779"/>
  <c r="X779"/>
  <c r="M705"/>
  <c r="X705"/>
  <c r="X600"/>
  <c r="M600"/>
  <c r="M561"/>
  <c r="X561"/>
  <c r="N494"/>
  <c r="Y494"/>
  <c r="N441"/>
  <c r="Y441"/>
  <c r="N417"/>
  <c r="Y417"/>
  <c r="X365"/>
  <c r="M365"/>
  <c r="Y321"/>
  <c r="N321"/>
  <c r="X269"/>
  <c r="M269"/>
  <c r="N230"/>
  <c r="Y230"/>
  <c r="X221"/>
  <c r="M221"/>
  <c r="N182"/>
  <c r="Y182"/>
  <c r="X173"/>
  <c r="M173"/>
  <c r="X72"/>
  <c r="M72"/>
  <c r="N57"/>
  <c r="Y57"/>
  <c r="X24"/>
  <c r="M24"/>
  <c r="N9"/>
  <c r="Y9"/>
  <c r="Y88"/>
  <c r="N88"/>
  <c r="Y136"/>
  <c r="N136"/>
  <c r="Y184"/>
  <c r="N184"/>
  <c r="Y232"/>
  <c r="N232"/>
  <c r="Y280"/>
  <c r="N280"/>
  <c r="Y328"/>
  <c r="N328"/>
  <c r="Y376"/>
  <c r="N376"/>
  <c r="Y424"/>
  <c r="N424"/>
  <c r="Y472"/>
  <c r="N472"/>
  <c r="Y520"/>
  <c r="N520"/>
  <c r="Y584"/>
  <c r="N584"/>
  <c r="Y728"/>
  <c r="N728"/>
  <c r="Y872"/>
  <c r="N872"/>
  <c r="Y920"/>
  <c r="N920"/>
  <c r="Y1064"/>
  <c r="N1064"/>
  <c r="Y1208"/>
  <c r="N1208"/>
  <c r="Y1256"/>
  <c r="N1256"/>
  <c r="Y1352"/>
  <c r="N1352"/>
  <c r="N1327"/>
  <c r="M138"/>
  <c r="M1546"/>
  <c r="N1493"/>
  <c r="M560"/>
  <c r="M708"/>
  <c r="M407"/>
  <c r="M935"/>
  <c r="M234"/>
  <c r="M426"/>
  <c r="M522"/>
  <c r="M1302"/>
  <c r="N769"/>
  <c r="M953"/>
  <c r="N592"/>
  <c r="Y1646"/>
  <c r="X1188"/>
  <c r="Z852"/>
  <c r="M48"/>
  <c r="M364"/>
  <c r="M1476"/>
  <c r="M1572"/>
  <c r="N603"/>
  <c r="N847"/>
  <c r="N1227"/>
  <c r="N1563"/>
  <c r="M119"/>
  <c r="M827"/>
  <c r="M931"/>
  <c r="M1459"/>
  <c r="M1547"/>
  <c r="N374"/>
  <c r="N1022"/>
  <c r="M1390"/>
  <c r="N301"/>
  <c r="N445"/>
  <c r="N577"/>
  <c r="N761"/>
  <c r="N865"/>
  <c r="N1153"/>
  <c r="N1249"/>
  <c r="M945"/>
  <c r="M1049"/>
  <c r="N68"/>
  <c r="N260"/>
  <c r="N452"/>
  <c r="N1172"/>
  <c r="N1268"/>
  <c r="X1560"/>
  <c r="X1529"/>
  <c r="Y1297"/>
  <c r="X1267"/>
  <c r="Z1188"/>
  <c r="Z1104"/>
  <c r="X1032"/>
  <c r="X918"/>
  <c r="Y817"/>
  <c r="X761"/>
  <c r="X656"/>
  <c r="Z420"/>
  <c r="Z324"/>
  <c r="Y282"/>
  <c r="Y249"/>
  <c r="Z156"/>
  <c r="AL1442"/>
  <c r="AM1442" s="1"/>
  <c r="Z1442"/>
  <c r="AL1418"/>
  <c r="AM1418" s="1"/>
  <c r="Z1418"/>
  <c r="AL1058"/>
  <c r="AM1058" s="1"/>
  <c r="Z1058"/>
  <c r="Y40"/>
  <c r="N40"/>
  <c r="X979"/>
  <c r="N1231"/>
  <c r="M18"/>
  <c r="M1145"/>
  <c r="X713"/>
  <c r="Y373"/>
  <c r="N1456"/>
  <c r="M244"/>
  <c r="M552"/>
  <c r="M696"/>
  <c r="M1284"/>
  <c r="M1368"/>
  <c r="N747"/>
  <c r="N943"/>
  <c r="N1039"/>
  <c r="N1123"/>
  <c r="N1467"/>
  <c r="M595"/>
  <c r="M1019"/>
  <c r="M1643"/>
  <c r="N62"/>
  <c r="M402"/>
  <c r="M1294"/>
  <c r="N33"/>
  <c r="N953"/>
  <c r="N1057"/>
  <c r="N1145"/>
  <c r="M297"/>
  <c r="M441"/>
  <c r="M665"/>
  <c r="M1433"/>
  <c r="N64"/>
  <c r="N256"/>
  <c r="N448"/>
  <c r="N1168"/>
  <c r="N1264"/>
  <c r="Y1633"/>
  <c r="Y1529"/>
  <c r="Y1459"/>
  <c r="Y1446"/>
  <c r="Y1358"/>
  <c r="Z1284"/>
  <c r="X1272"/>
  <c r="X1254"/>
  <c r="X1176"/>
  <c r="X1092"/>
  <c r="Y1062"/>
  <c r="Z1032"/>
  <c r="X1014"/>
  <c r="X1001"/>
  <c r="Y918"/>
  <c r="X800"/>
  <c r="Y699"/>
  <c r="X657"/>
  <c r="Y546"/>
  <c r="X336"/>
  <c r="Y234"/>
  <c r="X100"/>
  <c r="Z86"/>
  <c r="Y1458"/>
  <c r="N1458"/>
  <c r="M1293"/>
  <c r="X1293"/>
  <c r="X1258"/>
  <c r="M1258"/>
  <c r="Y1205"/>
  <c r="N1205"/>
  <c r="Y1135"/>
  <c r="N1135"/>
  <c r="Y725"/>
  <c r="N725"/>
  <c r="X23"/>
  <c r="M23"/>
  <c r="AL1322"/>
  <c r="AM1322" s="1"/>
  <c r="Z1322"/>
  <c r="AL638"/>
  <c r="AM638" s="1"/>
  <c r="Z638"/>
  <c r="M1581"/>
  <c r="N596"/>
  <c r="X1219"/>
  <c r="Y830"/>
  <c r="M215"/>
  <c r="M1031"/>
  <c r="N181"/>
  <c r="Y1489"/>
  <c r="Y109"/>
  <c r="Y1600"/>
  <c r="M480"/>
  <c r="M1280"/>
  <c r="N99"/>
  <c r="N195"/>
  <c r="N939"/>
  <c r="N1035"/>
  <c r="M743"/>
  <c r="M1259"/>
  <c r="N422"/>
  <c r="N630"/>
  <c r="N1014"/>
  <c r="N1550"/>
  <c r="M90"/>
  <c r="M306"/>
  <c r="M498"/>
  <c r="M1590"/>
  <c r="N229"/>
  <c r="N1433"/>
  <c r="M149"/>
  <c r="M437"/>
  <c r="N736"/>
  <c r="N832"/>
  <c r="N1160"/>
  <c r="Z1634"/>
  <c r="X1616"/>
  <c r="X1398"/>
  <c r="Z1344"/>
  <c r="X1332"/>
  <c r="Z1226"/>
  <c r="Z1092"/>
  <c r="X870"/>
  <c r="X840"/>
  <c r="Z492"/>
  <c r="Y421"/>
  <c r="Y378"/>
  <c r="Y349"/>
  <c r="Y325"/>
  <c r="Y157"/>
  <c r="X76"/>
  <c r="Z60"/>
  <c r="AL23"/>
  <c r="AM23" s="1"/>
  <c r="Z23"/>
  <c r="Y1650"/>
  <c r="N1650"/>
  <c r="X1642"/>
  <c r="M1642"/>
  <c r="X1607"/>
  <c r="M1607"/>
  <c r="X1485"/>
  <c r="M1485"/>
  <c r="X1380"/>
  <c r="M1380"/>
  <c r="Y1362"/>
  <c r="N1362"/>
  <c r="X1127"/>
  <c r="M1127"/>
  <c r="Y978"/>
  <c r="N978"/>
  <c r="Y559"/>
  <c r="N559"/>
  <c r="X551"/>
  <c r="M551"/>
  <c r="X503"/>
  <c r="M503"/>
  <c r="Y483"/>
  <c r="N483"/>
  <c r="X455"/>
  <c r="M455"/>
  <c r="X359"/>
  <c r="M359"/>
  <c r="X210"/>
  <c r="M210"/>
  <c r="Y147"/>
  <c r="N147"/>
  <c r="X114"/>
  <c r="M114"/>
  <c r="X71"/>
  <c r="M71"/>
  <c r="Y51"/>
  <c r="N51"/>
  <c r="Y644"/>
  <c r="N644"/>
  <c r="AL948"/>
  <c r="AM948" s="1"/>
  <c r="Z948"/>
  <c r="AL768"/>
  <c r="AM768" s="1"/>
  <c r="Z768"/>
  <c r="AL744"/>
  <c r="AM744" s="1"/>
  <c r="Z744"/>
  <c r="AL684"/>
  <c r="AM684" s="1"/>
  <c r="Z684"/>
  <c r="AL540"/>
  <c r="AM540" s="1"/>
  <c r="Z540"/>
  <c r="AL516"/>
  <c r="AM516" s="1"/>
  <c r="Z516"/>
  <c r="X1481"/>
  <c r="M1481"/>
  <c r="M1136"/>
  <c r="X1136"/>
  <c r="X1075"/>
  <c r="M1075"/>
  <c r="Y686"/>
  <c r="N686"/>
  <c r="Y673"/>
  <c r="N673"/>
  <c r="N638"/>
  <c r="Y638"/>
  <c r="X608"/>
  <c r="M608"/>
  <c r="N474"/>
  <c r="Y474"/>
  <c r="X388"/>
  <c r="M388"/>
  <c r="AL1562"/>
  <c r="AM1562" s="1"/>
  <c r="Z1562"/>
  <c r="Y278"/>
  <c r="N278"/>
  <c r="M804"/>
  <c r="N243"/>
  <c r="N1589"/>
  <c r="N692"/>
  <c r="N1460"/>
  <c r="M196"/>
  <c r="M508"/>
  <c r="M311"/>
  <c r="M1123"/>
  <c r="M330"/>
  <c r="M1206"/>
  <c r="N517"/>
  <c r="M1577"/>
  <c r="N688"/>
  <c r="Y1441"/>
  <c r="Y1118"/>
  <c r="X417"/>
  <c r="M52"/>
  <c r="X1376"/>
  <c r="Z1236"/>
  <c r="Y85"/>
  <c r="Y1648"/>
  <c r="M612"/>
  <c r="M1088"/>
  <c r="N114"/>
  <c r="N302"/>
  <c r="N1350"/>
  <c r="M186"/>
  <c r="M682"/>
  <c r="M766"/>
  <c r="M970"/>
  <c r="M1066"/>
  <c r="M1158"/>
  <c r="N225"/>
  <c r="N116"/>
  <c r="N308"/>
  <c r="N500"/>
  <c r="X1582"/>
  <c r="X1464"/>
  <c r="Z1332"/>
  <c r="Y1049"/>
  <c r="Y987"/>
  <c r="Y905"/>
  <c r="Y393"/>
  <c r="X77"/>
  <c r="X29"/>
  <c r="Y13"/>
  <c r="X1639"/>
  <c r="M1639"/>
  <c r="X1517"/>
  <c r="M1517"/>
  <c r="Y1333"/>
  <c r="N1333"/>
  <c r="X1290"/>
  <c r="M1290"/>
  <c r="Y1071"/>
  <c r="N1071"/>
  <c r="X1063"/>
  <c r="M1063"/>
  <c r="X1002"/>
  <c r="M1002"/>
  <c r="X583"/>
  <c r="M583"/>
  <c r="X490"/>
  <c r="M490"/>
  <c r="Y451"/>
  <c r="N451"/>
  <c r="X231"/>
  <c r="M231"/>
  <c r="AL1180"/>
  <c r="AM1180" s="1"/>
  <c r="Z1180"/>
  <c r="Z124"/>
  <c r="AL1181"/>
  <c r="AM1181" s="1"/>
  <c r="Z1181"/>
  <c r="AL1069"/>
  <c r="AM1069" s="1"/>
  <c r="Z1069"/>
  <c r="M1180"/>
  <c r="M1215"/>
  <c r="M1458"/>
  <c r="M1634"/>
  <c r="N1341"/>
  <c r="M933"/>
  <c r="M1349"/>
  <c r="X1426"/>
  <c r="X1148"/>
  <c r="X1020"/>
  <c r="Z253"/>
  <c r="Z61"/>
  <c r="X1637"/>
  <c r="M1637"/>
  <c r="M1532"/>
  <c r="X1532"/>
  <c r="Y1479"/>
  <c r="N1479"/>
  <c r="X1474"/>
  <c r="M1474"/>
  <c r="Y1255"/>
  <c r="N1255"/>
  <c r="X1244"/>
  <c r="M1244"/>
  <c r="Y1095"/>
  <c r="N1095"/>
  <c r="X1084"/>
  <c r="M1084"/>
  <c r="Y1031"/>
  <c r="N1031"/>
  <c r="X1023"/>
  <c r="M1023"/>
  <c r="X994"/>
  <c r="M994"/>
  <c r="X962"/>
  <c r="M962"/>
  <c r="Y874"/>
  <c r="N874"/>
  <c r="X869"/>
  <c r="M869"/>
  <c r="Y839"/>
  <c r="N839"/>
  <c r="X834"/>
  <c r="M834"/>
  <c r="X738"/>
  <c r="M738"/>
  <c r="Y682"/>
  <c r="N682"/>
  <c r="X677"/>
  <c r="M677"/>
  <c r="Y650"/>
  <c r="N650"/>
  <c r="X642"/>
  <c r="M642"/>
  <c r="X639"/>
  <c r="M639"/>
  <c r="Y618"/>
  <c r="N618"/>
  <c r="X613"/>
  <c r="M613"/>
  <c r="X607"/>
  <c r="M607"/>
  <c r="X604"/>
  <c r="M604"/>
  <c r="Y589"/>
  <c r="N589"/>
  <c r="Y583"/>
  <c r="N583"/>
  <c r="X578"/>
  <c r="M578"/>
  <c r="X575"/>
  <c r="M575"/>
  <c r="Y557"/>
  <c r="N557"/>
  <c r="Y554"/>
  <c r="N554"/>
  <c r="Y551"/>
  <c r="N551"/>
  <c r="X526"/>
  <c r="M526"/>
  <c r="X523"/>
  <c r="M523"/>
  <c r="X510"/>
  <c r="M510"/>
  <c r="X507"/>
  <c r="M507"/>
  <c r="Y503"/>
  <c r="N503"/>
  <c r="X494"/>
  <c r="M494"/>
  <c r="X491"/>
  <c r="M491"/>
  <c r="Y487"/>
  <c r="N487"/>
  <c r="X478"/>
  <c r="M478"/>
  <c r="Y471"/>
  <c r="N471"/>
  <c r="X459"/>
  <c r="M459"/>
  <c r="X446"/>
  <c r="M446"/>
  <c r="X443"/>
  <c r="M443"/>
  <c r="Y439"/>
  <c r="N439"/>
  <c r="X430"/>
  <c r="M430"/>
  <c r="Y423"/>
  <c r="N423"/>
  <c r="X414"/>
  <c r="M414"/>
  <c r="X398"/>
  <c r="M398"/>
  <c r="X395"/>
  <c r="M395"/>
  <c r="X382"/>
  <c r="M382"/>
  <c r="X379"/>
  <c r="M379"/>
  <c r="Y375"/>
  <c r="N375"/>
  <c r="M366"/>
  <c r="X366"/>
  <c r="X363"/>
  <c r="M363"/>
  <c r="Y359"/>
  <c r="N359"/>
  <c r="X350"/>
  <c r="M350"/>
  <c r="Y343"/>
  <c r="N343"/>
  <c r="X334"/>
  <c r="M334"/>
  <c r="X331"/>
  <c r="M331"/>
  <c r="X318"/>
  <c r="M318"/>
  <c r="X315"/>
  <c r="M315"/>
  <c r="X302"/>
  <c r="M302"/>
  <c r="Y295"/>
  <c r="N295"/>
  <c r="X270"/>
  <c r="M270"/>
  <c r="X267"/>
  <c r="M267"/>
  <c r="X254"/>
  <c r="M254"/>
  <c r="X251"/>
  <c r="M251"/>
  <c r="Y247"/>
  <c r="N247"/>
  <c r="X238"/>
  <c r="M238"/>
  <c r="X235"/>
  <c r="M235"/>
  <c r="Y231"/>
  <c r="N231"/>
  <c r="X222"/>
  <c r="M222"/>
  <c r="Y215"/>
  <c r="N215"/>
  <c r="X203"/>
  <c r="M203"/>
  <c r="X190"/>
  <c r="M190"/>
  <c r="X187"/>
  <c r="M187"/>
  <c r="Y183"/>
  <c r="N183"/>
  <c r="X174"/>
  <c r="M174"/>
  <c r="Y167"/>
  <c r="N167"/>
  <c r="X158"/>
  <c r="M158"/>
  <c r="X142"/>
  <c r="M142"/>
  <c r="X139"/>
  <c r="M139"/>
  <c r="X126"/>
  <c r="M126"/>
  <c r="X123"/>
  <c r="M123"/>
  <c r="Y119"/>
  <c r="N119"/>
  <c r="X110"/>
  <c r="M110"/>
  <c r="X107"/>
  <c r="M107"/>
  <c r="Y103"/>
  <c r="N103"/>
  <c r="X94"/>
  <c r="M94"/>
  <c r="Y87"/>
  <c r="N87"/>
  <c r="X78"/>
  <c r="M78"/>
  <c r="X75"/>
  <c r="M75"/>
  <c r="X62"/>
  <c r="M62"/>
  <c r="X59"/>
  <c r="M59"/>
  <c r="Y55"/>
  <c r="N55"/>
  <c r="X46"/>
  <c r="M46"/>
  <c r="Y39"/>
  <c r="N39"/>
  <c r="X14"/>
  <c r="M14"/>
  <c r="X11"/>
  <c r="M11"/>
  <c r="N1548"/>
  <c r="Y1548"/>
  <c r="AL337"/>
  <c r="AM337" s="1"/>
  <c r="Z337"/>
  <c r="X1442"/>
  <c r="M1442"/>
  <c r="X1346"/>
  <c r="M1346"/>
  <c r="Y1319"/>
  <c r="N1319"/>
  <c r="X1314"/>
  <c r="M1314"/>
  <c r="Y1287"/>
  <c r="N1287"/>
  <c r="X1151"/>
  <c r="M1151"/>
  <c r="X1119"/>
  <c r="M1119"/>
  <c r="X1090"/>
  <c r="M1090"/>
  <c r="Y1066"/>
  <c r="N1066"/>
  <c r="X988"/>
  <c r="M988"/>
  <c r="Y967"/>
  <c r="N967"/>
  <c r="Y906"/>
  <c r="N906"/>
  <c r="X898"/>
  <c r="M898"/>
  <c r="Y810"/>
  <c r="N810"/>
  <c r="X805"/>
  <c r="M805"/>
  <c r="Y775"/>
  <c r="N775"/>
  <c r="X764"/>
  <c r="M764"/>
  <c r="X735"/>
  <c r="M735"/>
  <c r="M892"/>
  <c r="M1452"/>
  <c r="N647"/>
  <c r="N1127"/>
  <c r="N1383"/>
  <c r="M427"/>
  <c r="M539"/>
  <c r="M703"/>
  <c r="M959"/>
  <c r="M1055"/>
  <c r="M1551"/>
  <c r="N714"/>
  <c r="N938"/>
  <c r="N1210"/>
  <c r="N1258"/>
  <c r="M610"/>
  <c r="M1058"/>
  <c r="M1378"/>
  <c r="M1554"/>
  <c r="N1597"/>
  <c r="Y1591"/>
  <c r="X1295"/>
  <c r="AL65"/>
  <c r="AM65" s="1"/>
  <c r="Z65"/>
  <c r="X1602"/>
  <c r="M1602"/>
  <c r="Y1578"/>
  <c r="N1578"/>
  <c r="N1517"/>
  <c r="Y1517"/>
  <c r="Y1511"/>
  <c r="N1511"/>
  <c r="X1500"/>
  <c r="M1500"/>
  <c r="Y1450"/>
  <c r="N1450"/>
  <c r="Y1415"/>
  <c r="N1415"/>
  <c r="X1404"/>
  <c r="M1404"/>
  <c r="X1247"/>
  <c r="M1247"/>
  <c r="Y1226"/>
  <c r="N1226"/>
  <c r="Y1194"/>
  <c r="N1194"/>
  <c r="X1189"/>
  <c r="M1189"/>
  <c r="X1116"/>
  <c r="M1116"/>
  <c r="X1087"/>
  <c r="M1087"/>
  <c r="Y1034"/>
  <c r="N1034"/>
  <c r="X1029"/>
  <c r="M1029"/>
  <c r="Y1002"/>
  <c r="N1002"/>
  <c r="Y935"/>
  <c r="N935"/>
  <c r="X930"/>
  <c r="M930"/>
  <c r="X895"/>
  <c r="M895"/>
  <c r="X863"/>
  <c r="M863"/>
  <c r="X837"/>
  <c r="M837"/>
  <c r="Y807"/>
  <c r="N807"/>
  <c r="X802"/>
  <c r="M802"/>
  <c r="X773"/>
  <c r="M773"/>
  <c r="X674"/>
  <c r="M674"/>
  <c r="M1324"/>
  <c r="M1548"/>
  <c r="N615"/>
  <c r="N903"/>
  <c r="N999"/>
  <c r="N1351"/>
  <c r="M671"/>
  <c r="M927"/>
  <c r="N586"/>
  <c r="M206"/>
  <c r="M706"/>
  <c r="M1026"/>
  <c r="M1202"/>
  <c r="M997"/>
  <c r="M1173"/>
  <c r="M1557"/>
  <c r="X1525"/>
  <c r="X1493"/>
  <c r="X1461"/>
  <c r="X1455"/>
  <c r="X956"/>
  <c r="Y685"/>
  <c r="X1506"/>
  <c r="M1506"/>
  <c r="Y1418"/>
  <c r="N1418"/>
  <c r="X1410"/>
  <c r="M1410"/>
  <c r="X1372"/>
  <c r="M1372"/>
  <c r="X1340"/>
  <c r="M1340"/>
  <c r="Y1322"/>
  <c r="N1322"/>
  <c r="X1276"/>
  <c r="M1276"/>
  <c r="X1250"/>
  <c r="M1250"/>
  <c r="X1186"/>
  <c r="M1186"/>
  <c r="Y1162"/>
  <c r="N1162"/>
  <c r="X1154"/>
  <c r="M1154"/>
  <c r="X1125"/>
  <c r="M1125"/>
  <c r="Y1063"/>
  <c r="N1063"/>
  <c r="X1061"/>
  <c r="M1061"/>
  <c r="X991"/>
  <c r="M991"/>
  <c r="Y970"/>
  <c r="N970"/>
  <c r="X965"/>
  <c r="M965"/>
  <c r="X860"/>
  <c r="M860"/>
  <c r="Y778"/>
  <c r="N778"/>
  <c r="X767"/>
  <c r="M767"/>
  <c r="X732"/>
  <c r="M732"/>
  <c r="Y711"/>
  <c r="N711"/>
  <c r="X709"/>
  <c r="M709"/>
  <c r="Y679"/>
  <c r="N679"/>
  <c r="M700"/>
  <c r="N535"/>
  <c r="N871"/>
  <c r="N1223"/>
  <c r="N1575"/>
  <c r="M799"/>
  <c r="M1423"/>
  <c r="N1594"/>
  <c r="M645"/>
  <c r="M1093"/>
  <c r="Y1629"/>
  <c r="Z1581"/>
  <c r="Y1309"/>
  <c r="X1221"/>
  <c r="X1138"/>
  <c r="Y1117"/>
  <c r="X1109"/>
  <c r="X831"/>
  <c r="AL1469"/>
  <c r="AM1469" s="1"/>
  <c r="Z1469"/>
  <c r="AL1389"/>
  <c r="AM1389" s="1"/>
  <c r="Z1389"/>
  <c r="AL1213"/>
  <c r="AM1213" s="1"/>
  <c r="Z1213"/>
  <c r="AL733"/>
  <c r="AM733" s="1"/>
  <c r="Z733"/>
  <c r="AL701"/>
  <c r="AM701" s="1"/>
  <c r="Z701"/>
  <c r="AL509"/>
  <c r="AM509" s="1"/>
  <c r="Z509"/>
  <c r="X1621"/>
  <c r="M1621"/>
  <c r="M1583"/>
  <c r="X1583"/>
  <c r="Y1533"/>
  <c r="N1533"/>
  <c r="N1527"/>
  <c r="Y1527"/>
  <c r="M1522"/>
  <c r="X1522"/>
  <c r="X1516"/>
  <c r="M1516"/>
  <c r="Y1501"/>
  <c r="N1501"/>
  <c r="N1498"/>
  <c r="Y1498"/>
  <c r="X1484"/>
  <c r="M1484"/>
  <c r="Y1437"/>
  <c r="N1437"/>
  <c r="Y1434"/>
  <c r="N1434"/>
  <c r="Y1431"/>
  <c r="N1431"/>
  <c r="X1420"/>
  <c r="M1420"/>
  <c r="Y1405"/>
  <c r="N1405"/>
  <c r="N1402"/>
  <c r="Y1402"/>
  <c r="Y1399"/>
  <c r="N1399"/>
  <c r="X1397"/>
  <c r="M1397"/>
  <c r="M1394"/>
  <c r="X1394"/>
  <c r="X1391"/>
  <c r="M1391"/>
  <c r="M1388"/>
  <c r="X1388"/>
  <c r="N1373"/>
  <c r="Y1373"/>
  <c r="X1365"/>
  <c r="M1365"/>
  <c r="Y1338"/>
  <c r="N1338"/>
  <c r="M1333"/>
  <c r="X1333"/>
  <c r="Y1306"/>
  <c r="N1306"/>
  <c r="Y1303"/>
  <c r="N1303"/>
  <c r="X1292"/>
  <c r="M1292"/>
  <c r="Y1277"/>
  <c r="N1277"/>
  <c r="X1269"/>
  <c r="M1269"/>
  <c r="X1266"/>
  <c r="M1266"/>
  <c r="X1263"/>
  <c r="M1263"/>
  <c r="X1260"/>
  <c r="M1260"/>
  <c r="Y1242"/>
  <c r="N1242"/>
  <c r="X1228"/>
  <c r="M1228"/>
  <c r="Y1207"/>
  <c r="N1207"/>
  <c r="M1205"/>
  <c r="X1205"/>
  <c r="Y1181"/>
  <c r="N1181"/>
  <c r="Y1175"/>
  <c r="N1175"/>
  <c r="X1170"/>
  <c r="M1170"/>
  <c r="X1167"/>
  <c r="M1167"/>
  <c r="X1164"/>
  <c r="M1164"/>
  <c r="Y1149"/>
  <c r="N1149"/>
  <c r="Y1146"/>
  <c r="N1146"/>
  <c r="X1141"/>
  <c r="M1141"/>
  <c r="M1135"/>
  <c r="X1135"/>
  <c r="M1132"/>
  <c r="X1132"/>
  <c r="Y1111"/>
  <c r="N1111"/>
  <c r="X1106"/>
  <c r="M1106"/>
  <c r="Y1082"/>
  <c r="N1082"/>
  <c r="N1079"/>
  <c r="Y1079"/>
  <c r="X1074"/>
  <c r="M1074"/>
  <c r="Y1053"/>
  <c r="N1053"/>
  <c r="M1045"/>
  <c r="X1045"/>
  <c r="X1039"/>
  <c r="M1039"/>
  <c r="Y1021"/>
  <c r="N1021"/>
  <c r="X1010"/>
  <c r="M1010"/>
  <c r="X1007"/>
  <c r="M1007"/>
  <c r="X1004"/>
  <c r="M1004"/>
  <c r="N989"/>
  <c r="Y989"/>
  <c r="Y986"/>
  <c r="N986"/>
  <c r="Y983"/>
  <c r="N983"/>
  <c r="X981"/>
  <c r="M981"/>
  <c r="M975"/>
  <c r="X975"/>
  <c r="N954"/>
  <c r="Y954"/>
  <c r="Y951"/>
  <c r="N951"/>
  <c r="AL1245"/>
  <c r="AM1245" s="1"/>
  <c r="Z1245"/>
  <c r="AL1149"/>
  <c r="AM1149" s="1"/>
  <c r="Z1149"/>
  <c r="AL669"/>
  <c r="AM669" s="1"/>
  <c r="Z669"/>
  <c r="AL573"/>
  <c r="AM573" s="1"/>
  <c r="Z573"/>
  <c r="AL125"/>
  <c r="AM125" s="1"/>
  <c r="Z125"/>
  <c r="AL13"/>
  <c r="AM13" s="1"/>
  <c r="Z13"/>
  <c r="M1650"/>
  <c r="X1650"/>
  <c r="X1644"/>
  <c r="M1644"/>
  <c r="Y1626"/>
  <c r="N1626"/>
  <c r="M1586"/>
  <c r="X1586"/>
  <c r="Y1565"/>
  <c r="N1565"/>
  <c r="M636"/>
  <c r="M828"/>
  <c r="M1436"/>
  <c r="N1495"/>
  <c r="M347"/>
  <c r="N1098"/>
  <c r="N1274"/>
  <c r="M542"/>
  <c r="M770"/>
  <c r="M1218"/>
  <c r="M1490"/>
  <c r="M1538"/>
  <c r="Y1370"/>
  <c r="X1362"/>
  <c r="Z909"/>
  <c r="Z893"/>
  <c r="Z109"/>
  <c r="AL1501"/>
  <c r="AM1501" s="1"/>
  <c r="Z1501"/>
  <c r="AL1421"/>
  <c r="AM1421" s="1"/>
  <c r="Z1421"/>
  <c r="AL1373"/>
  <c r="AM1373" s="1"/>
  <c r="Z1373"/>
  <c r="AL1133"/>
  <c r="AM1133" s="1"/>
  <c r="Z1133"/>
  <c r="AL1085"/>
  <c r="AM1085" s="1"/>
  <c r="Z1085"/>
  <c r="AL685"/>
  <c r="AM685" s="1"/>
  <c r="Z685"/>
  <c r="AL269"/>
  <c r="AM269" s="1"/>
  <c r="Z269"/>
  <c r="AL237"/>
  <c r="AM237" s="1"/>
  <c r="Z237"/>
  <c r="AL221"/>
  <c r="AM221" s="1"/>
  <c r="Z221"/>
  <c r="AL189"/>
  <c r="AM189" s="1"/>
  <c r="Z189"/>
  <c r="AL173"/>
  <c r="AM173" s="1"/>
  <c r="Z173"/>
  <c r="Y1623"/>
  <c r="N1623"/>
  <c r="X1618"/>
  <c r="M1618"/>
  <c r="X1589"/>
  <c r="M1589"/>
  <c r="M1580"/>
  <c r="X1580"/>
  <c r="Y1562"/>
  <c r="N1562"/>
  <c r="M796"/>
  <c r="M1212"/>
  <c r="M1308"/>
  <c r="N1367"/>
  <c r="N1639"/>
  <c r="M299"/>
  <c r="M411"/>
  <c r="M1487"/>
  <c r="M866"/>
  <c r="M1157"/>
  <c r="N826"/>
  <c r="M754"/>
  <c r="N669"/>
  <c r="N797"/>
  <c r="N925"/>
  <c r="X914"/>
  <c r="Y861"/>
  <c r="M751"/>
  <c r="N794"/>
  <c r="M789"/>
  <c r="Y919"/>
  <c r="Y823"/>
  <c r="N762"/>
  <c r="M722"/>
  <c r="N765"/>
  <c r="N893"/>
  <c r="M597"/>
  <c r="X562"/>
  <c r="Y890"/>
  <c r="N890"/>
  <c r="M882"/>
  <c r="X882"/>
  <c r="M757"/>
  <c r="X757"/>
  <c r="X626"/>
  <c r="M626"/>
  <c r="X342"/>
  <c r="M342"/>
  <c r="M262"/>
  <c r="X262"/>
  <c r="X198"/>
  <c r="M198"/>
  <c r="X150"/>
  <c r="M150"/>
  <c r="Y668"/>
  <c r="N668"/>
  <c r="Y764"/>
  <c r="N764"/>
  <c r="Y796"/>
  <c r="N796"/>
  <c r="Y892"/>
  <c r="N892"/>
  <c r="Y1180"/>
  <c r="N1180"/>
  <c r="Y1212"/>
  <c r="N1212"/>
  <c r="Y1308"/>
  <c r="N1308"/>
  <c r="Y1340"/>
  <c r="N1340"/>
  <c r="M908"/>
  <c r="M911"/>
  <c r="N698"/>
  <c r="N922"/>
  <c r="M850"/>
  <c r="N733"/>
  <c r="M885"/>
  <c r="Y666"/>
  <c r="X86"/>
  <c r="M876"/>
  <c r="M879"/>
  <c r="M658"/>
  <c r="N573"/>
  <c r="X454"/>
  <c r="Z855"/>
  <c r="Z751"/>
  <c r="C11" i="15"/>
  <c r="Z831" i="6"/>
  <c r="J4" i="2"/>
  <c r="K4" s="1"/>
  <c r="N59" i="6"/>
  <c r="N123"/>
  <c r="N187"/>
  <c r="N251"/>
  <c r="N315"/>
  <c r="N411"/>
  <c r="N475"/>
  <c r="M570"/>
  <c r="M602"/>
  <c r="M634"/>
  <c r="M666"/>
  <c r="M698"/>
  <c r="M730"/>
  <c r="M762"/>
  <c r="M794"/>
  <c r="M826"/>
  <c r="N580"/>
  <c r="N836"/>
  <c r="N1092"/>
  <c r="N1348"/>
  <c r="N1572"/>
  <c r="X663"/>
  <c r="X596"/>
  <c r="Y155"/>
  <c r="X111"/>
  <c r="X34"/>
  <c r="N27"/>
  <c r="N91"/>
  <c r="N219"/>
  <c r="N283"/>
  <c r="N347"/>
  <c r="N379"/>
  <c r="N443"/>
  <c r="N507"/>
  <c r="N539"/>
  <c r="M858"/>
  <c r="N575"/>
  <c r="N607"/>
  <c r="N639"/>
  <c r="N671"/>
  <c r="N703"/>
  <c r="N735"/>
  <c r="N767"/>
  <c r="N799"/>
  <c r="N831"/>
  <c r="N863"/>
  <c r="N895"/>
  <c r="N927"/>
  <c r="N959"/>
  <c r="N991"/>
  <c r="N1023"/>
  <c r="N1055"/>
  <c r="N1087"/>
  <c r="N1119"/>
  <c r="N1151"/>
  <c r="M63"/>
  <c r="M127"/>
  <c r="M159"/>
  <c r="M191"/>
  <c r="M223"/>
  <c r="M255"/>
  <c r="M287"/>
  <c r="M319"/>
  <c r="M351"/>
  <c r="M383"/>
  <c r="M415"/>
  <c r="M479"/>
  <c r="M511"/>
  <c r="M543"/>
  <c r="N578"/>
  <c r="N610"/>
  <c r="N642"/>
  <c r="N674"/>
  <c r="N706"/>
  <c r="N738"/>
  <c r="N770"/>
  <c r="N802"/>
  <c r="N805"/>
  <c r="N804"/>
  <c r="N1060"/>
  <c r="N1316"/>
  <c r="N1412"/>
  <c r="Z1007"/>
  <c r="Z975"/>
  <c r="Z871"/>
  <c r="Z799"/>
  <c r="M15"/>
  <c r="M564"/>
  <c r="M660"/>
  <c r="M756"/>
  <c r="M884"/>
  <c r="M1012"/>
  <c r="M1108"/>
  <c r="M1268"/>
  <c r="M194"/>
  <c r="M354"/>
  <c r="M514"/>
  <c r="N1284"/>
  <c r="N1508"/>
  <c r="X1204"/>
  <c r="X695"/>
  <c r="X567"/>
  <c r="Y11"/>
  <c r="M628"/>
  <c r="M788"/>
  <c r="M948"/>
  <c r="M1140"/>
  <c r="M66"/>
  <c r="M162"/>
  <c r="M290"/>
  <c r="M450"/>
  <c r="N773"/>
  <c r="N772"/>
  <c r="N741"/>
  <c r="N740"/>
  <c r="N996"/>
  <c r="N1252"/>
  <c r="N1604"/>
  <c r="Z743"/>
  <c r="Z631"/>
  <c r="M692"/>
  <c r="M820"/>
  <c r="M916"/>
  <c r="M1044"/>
  <c r="M1172"/>
  <c r="M1236"/>
  <c r="M130"/>
  <c r="M226"/>
  <c r="M322"/>
  <c r="M418"/>
  <c r="M482"/>
  <c r="M546"/>
  <c r="N43"/>
  <c r="N75"/>
  <c r="N107"/>
  <c r="N139"/>
  <c r="N171"/>
  <c r="N203"/>
  <c r="N235"/>
  <c r="N267"/>
  <c r="N299"/>
  <c r="N331"/>
  <c r="N363"/>
  <c r="N395"/>
  <c r="N427"/>
  <c r="N459"/>
  <c r="N491"/>
  <c r="N523"/>
  <c r="N709"/>
  <c r="N708"/>
  <c r="N964"/>
  <c r="N1220"/>
  <c r="N1444"/>
  <c r="Y1573"/>
  <c r="X1428"/>
  <c r="Z1103"/>
  <c r="X367"/>
  <c r="M724"/>
  <c r="M852"/>
  <c r="M980"/>
  <c r="M1076"/>
  <c r="M98"/>
  <c r="M258"/>
  <c r="M386"/>
  <c r="N1028"/>
  <c r="M47"/>
  <c r="M79"/>
  <c r="M143"/>
  <c r="M175"/>
  <c r="M207"/>
  <c r="M239"/>
  <c r="M271"/>
  <c r="M303"/>
  <c r="M335"/>
  <c r="M399"/>
  <c r="M431"/>
  <c r="M463"/>
  <c r="M495"/>
  <c r="M527"/>
  <c r="N677"/>
  <c r="M573"/>
  <c r="M605"/>
  <c r="M637"/>
  <c r="M669"/>
  <c r="M701"/>
  <c r="M733"/>
  <c r="M765"/>
  <c r="M797"/>
  <c r="M829"/>
  <c r="M861"/>
  <c r="M893"/>
  <c r="M925"/>
  <c r="M957"/>
  <c r="M989"/>
  <c r="M1021"/>
  <c r="M1053"/>
  <c r="M1085"/>
  <c r="M1117"/>
  <c r="M1149"/>
  <c r="M1181"/>
  <c r="N676"/>
  <c r="N932"/>
  <c r="N1188"/>
  <c r="N1540"/>
  <c r="N1636"/>
  <c r="Z1407"/>
  <c r="Z1263"/>
  <c r="Z1231"/>
  <c r="Z1207"/>
  <c r="Y1090"/>
  <c r="Z999"/>
  <c r="Z959"/>
  <c r="X922"/>
  <c r="Z783"/>
  <c r="M599"/>
  <c r="M631"/>
  <c r="M727"/>
  <c r="M759"/>
  <c r="M791"/>
  <c r="M823"/>
  <c r="M887"/>
  <c r="M919"/>
  <c r="M951"/>
  <c r="M983"/>
  <c r="M1015"/>
  <c r="M1047"/>
  <c r="M1079"/>
  <c r="N581"/>
  <c r="N613"/>
  <c r="N612"/>
  <c r="N868"/>
  <c r="N1124"/>
  <c r="N1476"/>
  <c r="Z1399"/>
  <c r="Y1381"/>
  <c r="Y1349"/>
  <c r="Z639"/>
  <c r="Z623"/>
  <c r="AL1513"/>
  <c r="AM1513" s="1"/>
  <c r="Z1513"/>
  <c r="AL1393"/>
  <c r="AM1393" s="1"/>
  <c r="Z1393"/>
  <c r="AL1377"/>
  <c r="AM1377" s="1"/>
  <c r="Z1377"/>
  <c r="AL1369"/>
  <c r="AM1369" s="1"/>
  <c r="Z1369"/>
  <c r="AL1089"/>
  <c r="AM1089" s="1"/>
  <c r="Z1089"/>
  <c r="AL985"/>
  <c r="AM985" s="1"/>
  <c r="Z985"/>
  <c r="AL969"/>
  <c r="AM969" s="1"/>
  <c r="Z969"/>
  <c r="AL953"/>
  <c r="AM953" s="1"/>
  <c r="Z953"/>
  <c r="AL937"/>
  <c r="AM937" s="1"/>
  <c r="Z937"/>
  <c r="AL809"/>
  <c r="AM809" s="1"/>
  <c r="Z809"/>
  <c r="AL801"/>
  <c r="AM801" s="1"/>
  <c r="Z801"/>
  <c r="AL769"/>
  <c r="AM769" s="1"/>
  <c r="Z769"/>
  <c r="AL721"/>
  <c r="AM721" s="1"/>
  <c r="Z721"/>
  <c r="AL577"/>
  <c r="AM577" s="1"/>
  <c r="Z577"/>
  <c r="AL569"/>
  <c r="AM569" s="1"/>
  <c r="Z569"/>
  <c r="AL489"/>
  <c r="AM489" s="1"/>
  <c r="Z489"/>
  <c r="AL473"/>
  <c r="AM473" s="1"/>
  <c r="Z473"/>
  <c r="AL465"/>
  <c r="AM465" s="1"/>
  <c r="Z465"/>
  <c r="AL449"/>
  <c r="AM449" s="1"/>
  <c r="Z449"/>
  <c r="AL425"/>
  <c r="AM425" s="1"/>
  <c r="Z425"/>
  <c r="AL409"/>
  <c r="AM409" s="1"/>
  <c r="Z409"/>
  <c r="AL385"/>
  <c r="AM385" s="1"/>
  <c r="Z385"/>
  <c r="AL377"/>
  <c r="AM377" s="1"/>
  <c r="Z377"/>
  <c r="AL361"/>
  <c r="AM361" s="1"/>
  <c r="Z361"/>
  <c r="AL353"/>
  <c r="AM353" s="1"/>
  <c r="Z353"/>
  <c r="AL313"/>
  <c r="AM313" s="1"/>
  <c r="Z313"/>
  <c r="AL305"/>
  <c r="AM305" s="1"/>
  <c r="Z305"/>
  <c r="AL249"/>
  <c r="AM249" s="1"/>
  <c r="Z249"/>
  <c r="AL217"/>
  <c r="AM217" s="1"/>
  <c r="Z217"/>
  <c r="AL129"/>
  <c r="AM129" s="1"/>
  <c r="Z129"/>
  <c r="AL113"/>
  <c r="AM113" s="1"/>
  <c r="Z113"/>
  <c r="AL105"/>
  <c r="AM105" s="1"/>
  <c r="Z105"/>
  <c r="AL89"/>
  <c r="AM89" s="1"/>
  <c r="Z89"/>
  <c r="AL81"/>
  <c r="AM81" s="1"/>
  <c r="Z81"/>
  <c r="AL73"/>
  <c r="AM73" s="1"/>
  <c r="Z73"/>
  <c r="Y1645"/>
  <c r="N1645"/>
  <c r="N1642"/>
  <c r="Y1642"/>
  <c r="Y1613"/>
  <c r="N1613"/>
  <c r="Y1610"/>
  <c r="N1610"/>
  <c r="N1581"/>
  <c r="Y1581"/>
  <c r="X1573"/>
  <c r="M1573"/>
  <c r="Y1549"/>
  <c r="N1549"/>
  <c r="M1541"/>
  <c r="X1541"/>
  <c r="X1477"/>
  <c r="M1477"/>
  <c r="Y1453"/>
  <c r="N1453"/>
  <c r="Y1421"/>
  <c r="N1421"/>
  <c r="X1413"/>
  <c r="M1413"/>
  <c r="Y1389"/>
  <c r="N1389"/>
  <c r="Y1357"/>
  <c r="N1357"/>
  <c r="Y1325"/>
  <c r="N1325"/>
  <c r="X1317"/>
  <c r="M1317"/>
  <c r="Y1293"/>
  <c r="N1293"/>
  <c r="X1285"/>
  <c r="M1285"/>
  <c r="Y1261"/>
  <c r="N1261"/>
  <c r="Y1229"/>
  <c r="N1229"/>
  <c r="N1197"/>
  <c r="Y1197"/>
  <c r="Y1165"/>
  <c r="N1165"/>
  <c r="N1133"/>
  <c r="Y1133"/>
  <c r="Y1101"/>
  <c r="N1101"/>
  <c r="Y1069"/>
  <c r="N1069"/>
  <c r="Y1037"/>
  <c r="N1037"/>
  <c r="Y1005"/>
  <c r="N1005"/>
  <c r="Y973"/>
  <c r="N973"/>
  <c r="Y941"/>
  <c r="N941"/>
  <c r="Y909"/>
  <c r="N909"/>
  <c r="Y877"/>
  <c r="N877"/>
  <c r="AL1537"/>
  <c r="AM1537" s="1"/>
  <c r="Z1537"/>
  <c r="AL1529"/>
  <c r="AM1529" s="1"/>
  <c r="Z1529"/>
  <c r="AL1497"/>
  <c r="AM1497" s="1"/>
  <c r="Z1497"/>
  <c r="AL1481"/>
  <c r="AM1481" s="1"/>
  <c r="Z1481"/>
  <c r="AL1465"/>
  <c r="AM1465" s="1"/>
  <c r="Z1465"/>
  <c r="AL1457"/>
  <c r="AM1457" s="1"/>
  <c r="Z1457"/>
  <c r="AL1057"/>
  <c r="AM1057" s="1"/>
  <c r="Z1057"/>
  <c r="AL1025"/>
  <c r="AM1025" s="1"/>
  <c r="Z1025"/>
  <c r="AL1017"/>
  <c r="AM1017" s="1"/>
  <c r="Z1017"/>
  <c r="AL977"/>
  <c r="AM977" s="1"/>
  <c r="Z977"/>
  <c r="AL961"/>
  <c r="AM961" s="1"/>
  <c r="Z961"/>
  <c r="AL945"/>
  <c r="AM945" s="1"/>
  <c r="Z945"/>
  <c r="AL929"/>
  <c r="AM929" s="1"/>
  <c r="Z929"/>
  <c r="AL921"/>
  <c r="AM921" s="1"/>
  <c r="Z921"/>
  <c r="AL817"/>
  <c r="AM817" s="1"/>
  <c r="Z817"/>
  <c r="AL729"/>
  <c r="AM729" s="1"/>
  <c r="Z729"/>
  <c r="AL713"/>
  <c r="AM713" s="1"/>
  <c r="Z713"/>
  <c r="AL553"/>
  <c r="AM553" s="1"/>
  <c r="Z553"/>
  <c r="N1543"/>
  <c r="N1482"/>
  <c r="M890"/>
  <c r="M954"/>
  <c r="M986"/>
  <c r="M1018"/>
  <c r="M1050"/>
  <c r="M1082"/>
  <c r="M1114"/>
  <c r="M1146"/>
  <c r="M1178"/>
  <c r="M1210"/>
  <c r="M1242"/>
  <c r="M1274"/>
  <c r="M1306"/>
  <c r="M1338"/>
  <c r="M1370"/>
  <c r="M1402"/>
  <c r="M1434"/>
  <c r="M1498"/>
  <c r="M1530"/>
  <c r="M1562"/>
  <c r="M1594"/>
  <c r="M1626"/>
  <c r="M1509"/>
  <c r="Z1609"/>
  <c r="Z1569"/>
  <c r="Y1541"/>
  <c r="Y1447"/>
  <c r="X1279"/>
  <c r="Y1026"/>
  <c r="Z321"/>
  <c r="Z545"/>
  <c r="Z1371"/>
  <c r="Y1506"/>
  <c r="Z1283"/>
  <c r="Z1091"/>
  <c r="Z995"/>
  <c r="N1191"/>
  <c r="N1130"/>
  <c r="N1386"/>
  <c r="M1445"/>
  <c r="M1605"/>
  <c r="Y1599"/>
  <c r="Z1473"/>
  <c r="M1300"/>
  <c r="M1364"/>
  <c r="M1396"/>
  <c r="M1460"/>
  <c r="M1492"/>
  <c r="M1524"/>
  <c r="M1556"/>
  <c r="M1588"/>
  <c r="M1620"/>
  <c r="M1111"/>
  <c r="M1143"/>
  <c r="M1175"/>
  <c r="M1207"/>
  <c r="M1239"/>
  <c r="M1271"/>
  <c r="M1303"/>
  <c r="M1335"/>
  <c r="M1367"/>
  <c r="M1399"/>
  <c r="M1431"/>
  <c r="M1463"/>
  <c r="M1495"/>
  <c r="M1527"/>
  <c r="M1559"/>
  <c r="M1591"/>
  <c r="M1623"/>
  <c r="N1354"/>
  <c r="M1253"/>
  <c r="X1599"/>
  <c r="Y1413"/>
  <c r="Y1375"/>
  <c r="Z369"/>
  <c r="AL1571"/>
  <c r="AM1571" s="1"/>
  <c r="Z1571"/>
  <c r="AL1419"/>
  <c r="AM1419" s="1"/>
  <c r="Z1419"/>
  <c r="AL1339"/>
  <c r="AM1339" s="1"/>
  <c r="Z1339"/>
  <c r="AL1163"/>
  <c r="AM1163" s="1"/>
  <c r="Z1163"/>
  <c r="AL1155"/>
  <c r="AM1155" s="1"/>
  <c r="Z1155"/>
  <c r="AL1123"/>
  <c r="AM1123" s="1"/>
  <c r="Z1123"/>
  <c r="AL1083"/>
  <c r="AM1083" s="1"/>
  <c r="Z1083"/>
  <c r="AL1075"/>
  <c r="AM1075" s="1"/>
  <c r="Z1075"/>
  <c r="AL963"/>
  <c r="AM963" s="1"/>
  <c r="Z963"/>
  <c r="AL947"/>
  <c r="AM947" s="1"/>
  <c r="Z947"/>
  <c r="AL907"/>
  <c r="AM907" s="1"/>
  <c r="Z907"/>
  <c r="AL779"/>
  <c r="AM779" s="1"/>
  <c r="Z779"/>
  <c r="AL483"/>
  <c r="AM483" s="1"/>
  <c r="Z483"/>
  <c r="AL475"/>
  <c r="AM475" s="1"/>
  <c r="Z475"/>
  <c r="AL419"/>
  <c r="AM419" s="1"/>
  <c r="Z419"/>
  <c r="AL323"/>
  <c r="AM323" s="1"/>
  <c r="Z323"/>
  <c r="AL315"/>
  <c r="AM315" s="1"/>
  <c r="Z315"/>
  <c r="AL307"/>
  <c r="AM307" s="1"/>
  <c r="Z307"/>
  <c r="AL291"/>
  <c r="AM291" s="1"/>
  <c r="Z291"/>
  <c r="AL283"/>
  <c r="AM283" s="1"/>
  <c r="Z283"/>
  <c r="N1637"/>
  <c r="Y1637"/>
  <c r="Y1631"/>
  <c r="N1631"/>
  <c r="M1629"/>
  <c r="X1629"/>
  <c r="Y1605"/>
  <c r="N1605"/>
  <c r="M1597"/>
  <c r="X1597"/>
  <c r="Y1567"/>
  <c r="N1567"/>
  <c r="M1565"/>
  <c r="X1565"/>
  <c r="Y1538"/>
  <c r="N1538"/>
  <c r="Y1535"/>
  <c r="N1535"/>
  <c r="Y1509"/>
  <c r="N1509"/>
  <c r="N1503"/>
  <c r="Y1503"/>
  <c r="Y1477"/>
  <c r="N1477"/>
  <c r="Y1474"/>
  <c r="N1474"/>
  <c r="M1469"/>
  <c r="X1469"/>
  <c r="Y1445"/>
  <c r="N1445"/>
  <c r="Y1439"/>
  <c r="N1439"/>
  <c r="M1437"/>
  <c r="X1437"/>
  <c r="Y1410"/>
  <c r="N1410"/>
  <c r="Y1407"/>
  <c r="N1407"/>
  <c r="X1405"/>
  <c r="M1405"/>
  <c r="Y1378"/>
  <c r="N1378"/>
  <c r="X1373"/>
  <c r="M1373"/>
  <c r="Y1346"/>
  <c r="N1346"/>
  <c r="Y1343"/>
  <c r="N1343"/>
  <c r="X1341"/>
  <c r="M1341"/>
  <c r="N1317"/>
  <c r="Y1317"/>
  <c r="Y1314"/>
  <c r="N1314"/>
  <c r="Y1311"/>
  <c r="N1311"/>
  <c r="M1309"/>
  <c r="X1309"/>
  <c r="Y1285"/>
  <c r="N1285"/>
  <c r="Y1282"/>
  <c r="N1282"/>
  <c r="N1279"/>
  <c r="Y1279"/>
  <c r="M1277"/>
  <c r="X1277"/>
  <c r="Y1253"/>
  <c r="N1253"/>
  <c r="Y1250"/>
  <c r="N1250"/>
  <c r="Y1247"/>
  <c r="N1247"/>
  <c r="M1245"/>
  <c r="X1245"/>
  <c r="Y1221"/>
  <c r="N1221"/>
  <c r="Y1218"/>
  <c r="N1218"/>
  <c r="Y1215"/>
  <c r="N1215"/>
  <c r="X1213"/>
  <c r="M1213"/>
  <c r="Y1189"/>
  <c r="N1189"/>
  <c r="Y1186"/>
  <c r="N1186"/>
  <c r="Y1183"/>
  <c r="N1183"/>
  <c r="Y1157"/>
  <c r="N1157"/>
  <c r="Y1154"/>
  <c r="N1154"/>
  <c r="Y1125"/>
  <c r="N1125"/>
  <c r="N1122"/>
  <c r="Y1122"/>
  <c r="Y1093"/>
  <c r="N1093"/>
  <c r="Y1061"/>
  <c r="N1061"/>
  <c r="Y1058"/>
  <c r="N1058"/>
  <c r="Y1029"/>
  <c r="N1029"/>
  <c r="Y997"/>
  <c r="N997"/>
  <c r="Y994"/>
  <c r="N994"/>
  <c r="Y965"/>
  <c r="N965"/>
  <c r="Y962"/>
  <c r="N962"/>
  <c r="Y933"/>
  <c r="N933"/>
  <c r="Y930"/>
  <c r="N930"/>
  <c r="Y901"/>
  <c r="N901"/>
  <c r="Y898"/>
  <c r="N898"/>
  <c r="Y869"/>
  <c r="N869"/>
  <c r="Y866"/>
  <c r="N866"/>
  <c r="Y837"/>
  <c r="N837"/>
  <c r="Y834"/>
  <c r="N834"/>
  <c r="AL1635"/>
  <c r="AM1635" s="1"/>
  <c r="Z1635"/>
  <c r="AL1627"/>
  <c r="AM1627" s="1"/>
  <c r="Z1627"/>
  <c r="AL1347"/>
  <c r="AM1347" s="1"/>
  <c r="Z1347"/>
  <c r="AL1331"/>
  <c r="AM1331" s="1"/>
  <c r="Z1331"/>
  <c r="AL1307"/>
  <c r="AM1307" s="1"/>
  <c r="Z1307"/>
  <c r="AL1299"/>
  <c r="AM1299" s="1"/>
  <c r="Z1299"/>
  <c r="AL1171"/>
  <c r="AM1171" s="1"/>
  <c r="Z1171"/>
  <c r="AL1043"/>
  <c r="AM1043" s="1"/>
  <c r="Z1043"/>
  <c r="AL987"/>
  <c r="AM987" s="1"/>
  <c r="Z987"/>
  <c r="AL971"/>
  <c r="AM971" s="1"/>
  <c r="Z971"/>
  <c r="AL955"/>
  <c r="AM955" s="1"/>
  <c r="Z955"/>
  <c r="AL899"/>
  <c r="AM899" s="1"/>
  <c r="Z899"/>
  <c r="AL891"/>
  <c r="AM891" s="1"/>
  <c r="Z891"/>
  <c r="AL867"/>
  <c r="AM867" s="1"/>
  <c r="Z867"/>
  <c r="AL851"/>
  <c r="AM851" s="1"/>
  <c r="Z851"/>
  <c r="AL811"/>
  <c r="AM811" s="1"/>
  <c r="Z811"/>
  <c r="AL803"/>
  <c r="AM803" s="1"/>
  <c r="Z803"/>
  <c r="AL771"/>
  <c r="AM771" s="1"/>
  <c r="Z771"/>
  <c r="AL763"/>
  <c r="AM763" s="1"/>
  <c r="Z763"/>
  <c r="AL715"/>
  <c r="AM715" s="1"/>
  <c r="Z715"/>
  <c r="AL651"/>
  <c r="AM651" s="1"/>
  <c r="Z651"/>
  <c r="AL427"/>
  <c r="AM427" s="1"/>
  <c r="Z427"/>
  <c r="Y1634"/>
  <c r="N1634"/>
  <c r="Y1602"/>
  <c r="N1602"/>
  <c r="N1570"/>
  <c r="Y1570"/>
  <c r="X1533"/>
  <c r="M1533"/>
  <c r="M1501"/>
  <c r="X1501"/>
  <c r="Y1471"/>
  <c r="N1471"/>
  <c r="M1564"/>
  <c r="M1596"/>
  <c r="M1628"/>
  <c r="N1607"/>
  <c r="M1311"/>
  <c r="M1343"/>
  <c r="M1375"/>
  <c r="M1407"/>
  <c r="M1439"/>
  <c r="M1471"/>
  <c r="M1503"/>
  <c r="M1535"/>
  <c r="M1567"/>
  <c r="M1631"/>
  <c r="N1290"/>
  <c r="N1546"/>
  <c r="M1381"/>
  <c r="Y1485"/>
  <c r="Y1442"/>
  <c r="Y556"/>
  <c r="N556"/>
  <c r="Y588"/>
  <c r="N588"/>
  <c r="Y620"/>
  <c r="N620"/>
  <c r="Y652"/>
  <c r="N652"/>
  <c r="Y684"/>
  <c r="N684"/>
  <c r="Y716"/>
  <c r="N716"/>
  <c r="Y748"/>
  <c r="N748"/>
  <c r="Y780"/>
  <c r="N780"/>
  <c r="Y812"/>
  <c r="N812"/>
  <c r="Y844"/>
  <c r="N844"/>
  <c r="Y876"/>
  <c r="N876"/>
  <c r="Y908"/>
  <c r="N908"/>
  <c r="Y940"/>
  <c r="N940"/>
  <c r="Y972"/>
  <c r="N972"/>
  <c r="Y1004"/>
  <c r="N1004"/>
  <c r="Y1036"/>
  <c r="N1036"/>
  <c r="Y1068"/>
  <c r="N1068"/>
  <c r="Y1100"/>
  <c r="N1100"/>
  <c r="Y1132"/>
  <c r="N1132"/>
  <c r="Y1164"/>
  <c r="N1164"/>
  <c r="Y1196"/>
  <c r="N1196"/>
  <c r="Y1228"/>
  <c r="N1228"/>
  <c r="Y1260"/>
  <c r="N1260"/>
  <c r="Y1292"/>
  <c r="N1292"/>
  <c r="Y717"/>
  <c r="Y621"/>
  <c r="N653"/>
  <c r="N749"/>
  <c r="N781"/>
  <c r="N813"/>
  <c r="N845"/>
  <c r="Z1511"/>
  <c r="Z1502"/>
  <c r="Z1463"/>
  <c r="Z1415"/>
  <c r="Z1361"/>
  <c r="Z1223"/>
  <c r="Z1159"/>
  <c r="Z1471"/>
  <c r="Z1247"/>
  <c r="Z983"/>
  <c r="Z1374"/>
  <c r="Z37"/>
  <c r="Z1601"/>
  <c r="Z1648"/>
  <c r="Z1611"/>
  <c r="Z1577"/>
  <c r="Z1555"/>
  <c r="Z1437"/>
  <c r="Z1409"/>
  <c r="Z1275"/>
  <c r="Z1059"/>
  <c r="Z1641"/>
  <c r="Z1633"/>
  <c r="Z1534"/>
  <c r="Z1526"/>
  <c r="Z1489"/>
  <c r="Z1443"/>
  <c r="Z1411"/>
  <c r="Z1385"/>
  <c r="Z1324"/>
  <c r="Z1261"/>
  <c r="Z1197"/>
  <c r="Z1179"/>
  <c r="Z670"/>
  <c r="Z1351"/>
  <c r="Z1095"/>
  <c r="Z991"/>
  <c r="Z967"/>
  <c r="Z1015"/>
  <c r="Z1503"/>
  <c r="Z1423"/>
  <c r="Z1111"/>
  <c r="Z887"/>
  <c r="Z1165"/>
  <c r="Z1117"/>
  <c r="Z829"/>
  <c r="Z1269"/>
  <c r="Z8"/>
  <c r="Z656"/>
  <c r="Z648"/>
  <c r="Z640"/>
  <c r="Z632"/>
  <c r="Z624"/>
  <c r="Z616"/>
  <c r="Z608"/>
  <c r="Z600"/>
  <c r="Z592"/>
  <c r="Z584"/>
  <c r="Z576"/>
  <c r="Z568"/>
  <c r="Z560"/>
  <c r="Z552"/>
  <c r="Z544"/>
  <c r="Z536"/>
  <c r="Z528"/>
  <c r="Z520"/>
  <c r="Z512"/>
  <c r="Z504"/>
  <c r="Z496"/>
  <c r="Z480"/>
  <c r="Z472"/>
  <c r="Z464"/>
  <c r="Z456"/>
  <c r="Z448"/>
  <c r="Z440"/>
  <c r="Z432"/>
  <c r="Z416"/>
  <c r="Z408"/>
  <c r="Z400"/>
  <c r="Z392"/>
  <c r="Z384"/>
  <c r="Z376"/>
  <c r="Z368"/>
  <c r="Z360"/>
  <c r="Z352"/>
  <c r="Z344"/>
  <c r="Z336"/>
  <c r="Z328"/>
  <c r="Z320"/>
  <c r="Z312"/>
  <c r="Z304"/>
  <c r="Z296"/>
  <c r="Z288"/>
  <c r="Z280"/>
  <c r="Z264"/>
  <c r="Z256"/>
  <c r="Z248"/>
  <c r="Z240"/>
  <c r="Z232"/>
  <c r="Z224"/>
  <c r="Z216"/>
  <c r="Z208"/>
  <c r="Z200"/>
  <c r="Z192"/>
  <c r="Z184"/>
  <c r="Z176"/>
  <c r="Z168"/>
  <c r="Z160"/>
  <c r="Z152"/>
  <c r="Z144"/>
  <c r="Z136"/>
  <c r="Z128"/>
  <c r="Z120"/>
  <c r="Z112"/>
  <c r="Z104"/>
  <c r="Z96"/>
  <c r="Z88"/>
  <c r="Z80"/>
  <c r="Z72"/>
  <c r="Z64"/>
  <c r="Z56"/>
  <c r="Z48"/>
  <c r="Z40"/>
  <c r="Z33"/>
  <c r="Z25"/>
  <c r="Z17"/>
  <c r="Z9"/>
  <c r="N1388"/>
  <c r="Y1516"/>
  <c r="N1324"/>
  <c r="N1356"/>
  <c r="Z424"/>
  <c r="Z703"/>
  <c r="Z695"/>
  <c r="Z687"/>
  <c r="Z679"/>
  <c r="Z671"/>
  <c r="Z663"/>
  <c r="N1612"/>
  <c r="N1484"/>
  <c r="Z1349"/>
  <c r="Z1341"/>
  <c r="Z1333"/>
  <c r="Z1325"/>
  <c r="Z1317"/>
  <c r="Z1309"/>
  <c r="Z1301"/>
  <c r="Z1293"/>
  <c r="Z1285"/>
  <c r="Z1277"/>
  <c r="Z1262"/>
  <c r="Z1254"/>
  <c r="Z1246"/>
  <c r="Z1238"/>
  <c r="Z1230"/>
  <c r="Z1222"/>
  <c r="Z1214"/>
  <c r="Z1206"/>
  <c r="Z1198"/>
  <c r="Z1190"/>
  <c r="Z1182"/>
  <c r="Z1174"/>
  <c r="Z1166"/>
  <c r="Z1158"/>
  <c r="Z1150"/>
  <c r="Z1142"/>
  <c r="Z1134"/>
  <c r="Z1126"/>
  <c r="Z1118"/>
  <c r="Z1110"/>
  <c r="Z1102"/>
  <c r="Z1094"/>
  <c r="Z1086"/>
  <c r="Z1078"/>
  <c r="Z1070"/>
  <c r="Z1062"/>
  <c r="Z1054"/>
  <c r="Z1046"/>
  <c r="Z1038"/>
  <c r="Z1030"/>
  <c r="Z1022"/>
  <c r="Z1014"/>
  <c r="Z1006"/>
  <c r="Z998"/>
  <c r="Z990"/>
  <c r="Z982"/>
  <c r="Z974"/>
  <c r="Z966"/>
  <c r="Z958"/>
  <c r="Z950"/>
  <c r="Z942"/>
  <c r="Z934"/>
  <c r="Z926"/>
  <c r="Z918"/>
  <c r="Z910"/>
  <c r="Z902"/>
  <c r="Z894"/>
  <c r="Z886"/>
  <c r="Z878"/>
  <c r="Z870"/>
  <c r="Z862"/>
  <c r="Z854"/>
  <c r="Z846"/>
  <c r="Z838"/>
  <c r="Z830"/>
  <c r="Z822"/>
  <c r="Z814"/>
  <c r="Z806"/>
  <c r="Z798"/>
  <c r="Z790"/>
  <c r="Z782"/>
  <c r="Z774"/>
  <c r="Z766"/>
  <c r="Z758"/>
  <c r="Z750"/>
  <c r="Z742"/>
  <c r="Z734"/>
  <c r="Z726"/>
  <c r="Z718"/>
  <c r="Z710"/>
  <c r="Z1644"/>
  <c r="Z1636"/>
  <c r="Z1628"/>
  <c r="Z1620"/>
  <c r="Z1612"/>
  <c r="Z1604"/>
  <c r="Z1596"/>
  <c r="Z1588"/>
  <c r="Z1580"/>
  <c r="Z1572"/>
  <c r="Z1564"/>
  <c r="Z1556"/>
  <c r="Z1548"/>
  <c r="Z1540"/>
  <c r="Z1532"/>
  <c r="Z1524"/>
  <c r="Z1516"/>
  <c r="Z1508"/>
  <c r="Z1500"/>
  <c r="Z1492"/>
  <c r="Z1484"/>
  <c r="Z1476"/>
  <c r="Z1468"/>
  <c r="Z1460"/>
  <c r="Z1452"/>
  <c r="Z1444"/>
  <c r="Z1436"/>
  <c r="Z1428"/>
  <c r="Z1420"/>
  <c r="Z1412"/>
  <c r="Z1404"/>
  <c r="Z1396"/>
  <c r="Z1388"/>
  <c r="Z1380"/>
  <c r="Z1372"/>
  <c r="Z1364"/>
  <c r="Z1356"/>
  <c r="N1452"/>
  <c r="Z272"/>
  <c r="Y1580"/>
  <c r="Z1643"/>
  <c r="Z1619"/>
  <c r="Z1603"/>
  <c r="Z1595"/>
  <c r="Z1587"/>
  <c r="Z1579"/>
  <c r="Z1563"/>
  <c r="Z1547"/>
  <c r="Z1539"/>
  <c r="Z1531"/>
  <c r="Z1523"/>
  <c r="Z1515"/>
  <c r="Z1507"/>
  <c r="Z1499"/>
  <c r="Z1491"/>
  <c r="Z1483"/>
  <c r="Z1475"/>
  <c r="Z1467"/>
  <c r="Z1459"/>
  <c r="Z1451"/>
  <c r="Z1435"/>
  <c r="Z1427"/>
  <c r="Z1403"/>
  <c r="Z1395"/>
  <c r="Z1387"/>
  <c r="Z1379"/>
  <c r="Z1363"/>
  <c r="Z1355"/>
  <c r="Z1348"/>
  <c r="Z1340"/>
  <c r="Z1316"/>
  <c r="Z1308"/>
  <c r="Z1300"/>
  <c r="Z1292"/>
  <c r="Z1253"/>
  <c r="Z1237"/>
  <c r="Z1229"/>
  <c r="Z1221"/>
  <c r="Z1205"/>
  <c r="Z1189"/>
  <c r="Z1173"/>
  <c r="Z1157"/>
  <c r="Z1141"/>
  <c r="Z1125"/>
  <c r="Z1109"/>
  <c r="Z1101"/>
  <c r="Z1093"/>
  <c r="Z1077"/>
  <c r="Z1061"/>
  <c r="Z1053"/>
  <c r="Z1045"/>
  <c r="Z1037"/>
  <c r="Z1029"/>
  <c r="Z1021"/>
  <c r="Z1013"/>
  <c r="Z1005"/>
  <c r="Z997"/>
  <c r="Z989"/>
  <c r="Z981"/>
  <c r="Z973"/>
  <c r="Z965"/>
  <c r="Z957"/>
  <c r="Z949"/>
  <c r="Z941"/>
  <c r="Z933"/>
  <c r="Z925"/>
  <c r="Z917"/>
  <c r="Z901"/>
  <c r="Z885"/>
  <c r="Z877"/>
  <c r="Z869"/>
  <c r="Z861"/>
  <c r="Z853"/>
  <c r="Z845"/>
  <c r="Z837"/>
  <c r="Z821"/>
  <c r="Z813"/>
  <c r="Z805"/>
  <c r="Z797"/>
  <c r="Z789"/>
  <c r="Z781"/>
  <c r="Z773"/>
  <c r="Z765"/>
  <c r="Z757"/>
  <c r="Z749"/>
  <c r="Z741"/>
  <c r="Z725"/>
  <c r="Z717"/>
  <c r="Z709"/>
  <c r="Z702"/>
  <c r="Z694"/>
  <c r="Z686"/>
  <c r="Z655"/>
  <c r="Z615"/>
  <c r="Z607"/>
  <c r="Z599"/>
  <c r="Z591"/>
  <c r="Z583"/>
  <c r="Z575"/>
  <c r="Z567"/>
  <c r="Z559"/>
  <c r="Z551"/>
  <c r="Z543"/>
  <c r="Z527"/>
  <c r="Z519"/>
  <c r="Z511"/>
  <c r="Z503"/>
  <c r="Z495"/>
  <c r="Z487"/>
  <c r="Z479"/>
  <c r="Z471"/>
  <c r="Z463"/>
  <c r="Z455"/>
  <c r="Z447"/>
  <c r="Z439"/>
  <c r="Z431"/>
  <c r="Z423"/>
  <c r="Z415"/>
  <c r="Z407"/>
  <c r="Z399"/>
  <c r="Z383"/>
  <c r="Z375"/>
  <c r="Z359"/>
  <c r="Z351"/>
  <c r="Z343"/>
  <c r="Z335"/>
  <c r="Z327"/>
  <c r="Z319"/>
  <c r="Z311"/>
  <c r="Z303"/>
  <c r="Z295"/>
  <c r="Z279"/>
  <c r="Z271"/>
  <c r="Z263"/>
  <c r="Z255"/>
  <c r="Z247"/>
  <c r="Z231"/>
  <c r="Z215"/>
  <c r="Z207"/>
  <c r="Z199"/>
  <c r="Z191"/>
  <c r="Z183"/>
  <c r="Z175"/>
  <c r="Z167"/>
  <c r="Z159"/>
  <c r="Z151"/>
  <c r="Z143"/>
  <c r="Z135"/>
  <c r="Z127"/>
  <c r="Z119"/>
  <c r="Z111"/>
  <c r="Z103"/>
  <c r="Z95"/>
  <c r="Z87"/>
  <c r="Z79"/>
  <c r="Z71"/>
  <c r="Z63"/>
  <c r="Z55"/>
  <c r="Z47"/>
  <c r="Z39"/>
  <c r="Z32"/>
  <c r="Z24"/>
  <c r="Z16"/>
  <c r="Z1650"/>
  <c r="Z1642"/>
  <c r="Z1618"/>
  <c r="Z1610"/>
  <c r="Z1602"/>
  <c r="Z1594"/>
  <c r="Z1586"/>
  <c r="Z1578"/>
  <c r="Z1570"/>
  <c r="Z1554"/>
  <c r="Z1546"/>
  <c r="Z1538"/>
  <c r="Z1530"/>
  <c r="Z1522"/>
  <c r="Z1514"/>
  <c r="Z1490"/>
  <c r="Z1482"/>
  <c r="Z1434"/>
  <c r="Z1426"/>
  <c r="Z1410"/>
  <c r="Z1402"/>
  <c r="Z1394"/>
  <c r="Z1362"/>
  <c r="Z1323"/>
  <c r="Z1315"/>
  <c r="Z1291"/>
  <c r="Z1252"/>
  <c r="Z1244"/>
  <c r="Z1228"/>
  <c r="Z1204"/>
  <c r="Z1196"/>
  <c r="Z1156"/>
  <c r="Z1140"/>
  <c r="Z1132"/>
  <c r="Z1116"/>
  <c r="Z1108"/>
  <c r="Z1100"/>
  <c r="Z1084"/>
  <c r="Z1076"/>
  <c r="Z1068"/>
  <c r="Z1060"/>
  <c r="Z1044"/>
  <c r="Z1028"/>
  <c r="Z1020"/>
  <c r="Z996"/>
  <c r="Z988"/>
  <c r="Z980"/>
  <c r="Z964"/>
  <c r="Z932"/>
  <c r="Z908"/>
  <c r="Z900"/>
  <c r="Z884"/>
  <c r="Z876"/>
  <c r="Z860"/>
  <c r="Z844"/>
  <c r="Z836"/>
  <c r="Z828"/>
  <c r="Z820"/>
  <c r="Z812"/>
  <c r="Z804"/>
  <c r="Z796"/>
  <c r="Z788"/>
  <c r="Z780"/>
  <c r="Z772"/>
  <c r="Z764"/>
  <c r="Z756"/>
  <c r="Z748"/>
  <c r="Z740"/>
  <c r="Z732"/>
  <c r="Z724"/>
  <c r="Z716"/>
  <c r="Z693"/>
  <c r="Z677"/>
  <c r="Z661"/>
  <c r="Z646"/>
  <c r="Z614"/>
  <c r="Z606"/>
  <c r="Z598"/>
  <c r="Z590"/>
  <c r="Z582"/>
  <c r="Z574"/>
  <c r="Z566"/>
  <c r="Z558"/>
  <c r="Z550"/>
  <c r="Z542"/>
  <c r="Z534"/>
  <c r="Z526"/>
  <c r="Z518"/>
  <c r="Z510"/>
  <c r="Z502"/>
  <c r="Z494"/>
  <c r="Z486"/>
  <c r="Z478"/>
  <c r="Z470"/>
  <c r="Z462"/>
  <c r="Z454"/>
  <c r="Z446"/>
  <c r="Z438"/>
  <c r="Z430"/>
  <c r="Z422"/>
  <c r="Z414"/>
  <c r="Z406"/>
  <c r="Z390"/>
  <c r="Z382"/>
  <c r="Z374"/>
  <c r="Z366"/>
  <c r="Z358"/>
  <c r="Z350"/>
  <c r="Z342"/>
  <c r="Z334"/>
  <c r="Z326"/>
  <c r="Z318"/>
  <c r="Z310"/>
  <c r="Z302"/>
  <c r="Z294"/>
  <c r="Z286"/>
  <c r="Z278"/>
  <c r="Z254"/>
  <c r="Z246"/>
  <c r="Z238"/>
  <c r="Z222"/>
  <c r="Z198"/>
  <c r="Z190"/>
  <c r="Z182"/>
  <c r="Z174"/>
  <c r="Z166"/>
  <c r="Z158"/>
  <c r="Z150"/>
  <c r="Z142"/>
  <c r="Z134"/>
  <c r="Z126"/>
  <c r="Z118"/>
  <c r="Z110"/>
  <c r="Z94"/>
  <c r="Z70"/>
  <c r="Z62"/>
  <c r="Z54"/>
  <c r="Z15"/>
  <c r="Z1649"/>
  <c r="Z1625"/>
  <c r="Z1617"/>
  <c r="Z1593"/>
  <c r="Z1585"/>
  <c r="Z1561"/>
  <c r="Z1553"/>
  <c r="Z1545"/>
  <c r="Z1521"/>
  <c r="Z1505"/>
  <c r="Z1449"/>
  <c r="Z1441"/>
  <c r="Z1433"/>
  <c r="Z1425"/>
  <c r="Z1417"/>
  <c r="Z1401"/>
  <c r="Z1330"/>
  <c r="Z1314"/>
  <c r="Z1306"/>
  <c r="Z1298"/>
  <c r="Z1290"/>
  <c r="Z1282"/>
  <c r="Z1274"/>
  <c r="Z1267"/>
  <c r="Z1259"/>
  <c r="Z1251"/>
  <c r="Z1243"/>
  <c r="Z1235"/>
  <c r="Z1227"/>
  <c r="Z1219"/>
  <c r="Z1211"/>
  <c r="Z1203"/>
  <c r="Z1195"/>
  <c r="Z1187"/>
  <c r="Z1147"/>
  <c r="Z1139"/>
  <c r="Z1131"/>
  <c r="Z1115"/>
  <c r="Z1107"/>
  <c r="Z1099"/>
  <c r="Z1067"/>
  <c r="Z1051"/>
  <c r="Z1035"/>
  <c r="Z1027"/>
  <c r="Z1019"/>
  <c r="Z1011"/>
  <c r="Z1003"/>
  <c r="Z979"/>
  <c r="Z939"/>
  <c r="Z931"/>
  <c r="Z923"/>
  <c r="Z915"/>
  <c r="Z883"/>
  <c r="Z875"/>
  <c r="Z859"/>
  <c r="Z843"/>
  <c r="Z835"/>
  <c r="Z827"/>
  <c r="Z819"/>
  <c r="Z795"/>
  <c r="Z787"/>
  <c r="Z755"/>
  <c r="Z747"/>
  <c r="Z739"/>
  <c r="Z731"/>
  <c r="Z723"/>
  <c r="Z708"/>
  <c r="Z700"/>
  <c r="Z676"/>
  <c r="Z668"/>
  <c r="Z660"/>
  <c r="Z653"/>
  <c r="Z645"/>
  <c r="Z637"/>
  <c r="Z629"/>
  <c r="Z621"/>
  <c r="Z613"/>
  <c r="Z605"/>
  <c r="Z597"/>
  <c r="Z589"/>
  <c r="Z581"/>
  <c r="Z565"/>
  <c r="Z557"/>
  <c r="Z549"/>
  <c r="Z541"/>
  <c r="Z533"/>
  <c r="Z525"/>
  <c r="Z517"/>
  <c r="Z501"/>
  <c r="Z493"/>
  <c r="Z485"/>
  <c r="Z477"/>
  <c r="Z469"/>
  <c r="Z461"/>
  <c r="Z453"/>
  <c r="Z445"/>
  <c r="Z437"/>
  <c r="Z429"/>
  <c r="Z421"/>
  <c r="Z413"/>
  <c r="Z405"/>
  <c r="Z397"/>
  <c r="Z389"/>
  <c r="Z381"/>
  <c r="Z373"/>
  <c r="Z365"/>
  <c r="Z357"/>
  <c r="Z349"/>
  <c r="Z341"/>
  <c r="Z333"/>
  <c r="Z325"/>
  <c r="Z317"/>
  <c r="Z309"/>
  <c r="Z301"/>
  <c r="Z293"/>
  <c r="Z285"/>
  <c r="Z277"/>
  <c r="Z261"/>
  <c r="Z245"/>
  <c r="Z229"/>
  <c r="Z213"/>
  <c r="Z205"/>
  <c r="Z197"/>
  <c r="Z181"/>
  <c r="Z165"/>
  <c r="Z157"/>
  <c r="Z149"/>
  <c r="Z141"/>
  <c r="Z133"/>
  <c r="Z117"/>
  <c r="Z101"/>
  <c r="Z93"/>
  <c r="Z85"/>
  <c r="Z77"/>
  <c r="Z69"/>
  <c r="Z53"/>
  <c r="Z45"/>
  <c r="Z30"/>
  <c r="Z22"/>
  <c r="Z14"/>
  <c r="Z7"/>
  <c r="Z1632"/>
  <c r="Z1624"/>
  <c r="Z1616"/>
  <c r="Z1608"/>
  <c r="Z1600"/>
  <c r="Z1592"/>
  <c r="Z1584"/>
  <c r="Z1576"/>
  <c r="Z1568"/>
  <c r="Z1560"/>
  <c r="Z1552"/>
  <c r="Z1544"/>
  <c r="Z1536"/>
  <c r="Z1528"/>
  <c r="Z1520"/>
  <c r="Z1512"/>
  <c r="Z1504"/>
  <c r="Z1496"/>
  <c r="Z1488"/>
  <c r="Z1480"/>
  <c r="Z1472"/>
  <c r="Z1464"/>
  <c r="Z1456"/>
  <c r="Z1448"/>
  <c r="Z1440"/>
  <c r="Z1432"/>
  <c r="Z1424"/>
  <c r="Z1416"/>
  <c r="Z1408"/>
  <c r="Z1400"/>
  <c r="Z1392"/>
  <c r="Z1384"/>
  <c r="Z1376"/>
  <c r="Z1368"/>
  <c r="Z1360"/>
  <c r="Z1353"/>
  <c r="Z1345"/>
  <c r="Z1337"/>
  <c r="Z1329"/>
  <c r="Z1321"/>
  <c r="Z1313"/>
  <c r="Z1305"/>
  <c r="Z1297"/>
  <c r="Z1289"/>
  <c r="Z1281"/>
  <c r="Z1273"/>
  <c r="Z1266"/>
  <c r="Z1258"/>
  <c r="Z1250"/>
  <c r="Z1242"/>
  <c r="Z1234"/>
  <c r="Z1218"/>
  <c r="Z1202"/>
  <c r="Z1194"/>
  <c r="Z1186"/>
  <c r="Z1178"/>
  <c r="Z1170"/>
  <c r="Z1162"/>
  <c r="Z1154"/>
  <c r="Z1146"/>
  <c r="Z1138"/>
  <c r="Z1130"/>
  <c r="Z1122"/>
  <c r="Z1114"/>
  <c r="Z1106"/>
  <c r="Z1098"/>
  <c r="Z1090"/>
  <c r="Z1082"/>
  <c r="Z1066"/>
  <c r="Z1050"/>
  <c r="Z1042"/>
  <c r="Z1034"/>
  <c r="Z1026"/>
  <c r="Z1018"/>
  <c r="Z1010"/>
  <c r="Z1002"/>
  <c r="Z994"/>
  <c r="Z986"/>
  <c r="Z978"/>
  <c r="Z970"/>
  <c r="Z962"/>
  <c r="Z954"/>
  <c r="Z946"/>
  <c r="Z938"/>
  <c r="Z930"/>
  <c r="Z922"/>
  <c r="Z906"/>
  <c r="Z898"/>
  <c r="Z890"/>
  <c r="Z882"/>
  <c r="Z874"/>
  <c r="Z866"/>
  <c r="Z858"/>
  <c r="Z850"/>
  <c r="Z842"/>
  <c r="Z834"/>
  <c r="Z826"/>
  <c r="Z818"/>
  <c r="Z810"/>
  <c r="Z802"/>
  <c r="Z794"/>
  <c r="Z786"/>
  <c r="Z778"/>
  <c r="Z770"/>
  <c r="Z762"/>
  <c r="Z746"/>
  <c r="Z738"/>
  <c r="Z730"/>
  <c r="Z714"/>
  <c r="Z707"/>
  <c r="Z699"/>
  <c r="Z691"/>
  <c r="Z683"/>
  <c r="Z675"/>
  <c r="Z667"/>
  <c r="Z659"/>
  <c r="Z652"/>
  <c r="Z628"/>
  <c r="Z620"/>
  <c r="Z612"/>
  <c r="Z604"/>
  <c r="Z596"/>
  <c r="Z588"/>
  <c r="Z580"/>
  <c r="Z572"/>
  <c r="Z564"/>
  <c r="Z548"/>
  <c r="Z532"/>
  <c r="Z524"/>
  <c r="Z484"/>
  <c r="Z476"/>
  <c r="Z460"/>
  <c r="Z428"/>
  <c r="Z412"/>
  <c r="Z388"/>
  <c r="Z380"/>
  <c r="Z372"/>
  <c r="Z356"/>
  <c r="Z348"/>
  <c r="Z308"/>
  <c r="Z300"/>
  <c r="Z268"/>
  <c r="Z260"/>
  <c r="Z252"/>
  <c r="Z244"/>
  <c r="Z236"/>
  <c r="Z228"/>
  <c r="Z220"/>
  <c r="Z212"/>
  <c r="Z204"/>
  <c r="Z196"/>
  <c r="Z188"/>
  <c r="Z180"/>
  <c r="Z172"/>
  <c r="Z148"/>
  <c r="Z108"/>
  <c r="Z100"/>
  <c r="Z92"/>
  <c r="Z76"/>
  <c r="Z29"/>
  <c r="Z21"/>
  <c r="Z1647"/>
  <c r="Z1639"/>
  <c r="Z1631"/>
  <c r="Z1623"/>
  <c r="Z1615"/>
  <c r="Z1607"/>
  <c r="Z1599"/>
  <c r="Z1591"/>
  <c r="Z1583"/>
  <c r="Z1575"/>
  <c r="Z1567"/>
  <c r="Z1559"/>
  <c r="Z1551"/>
  <c r="Z1543"/>
  <c r="Z1535"/>
  <c r="Z1527"/>
  <c r="Z1519"/>
  <c r="Z1495"/>
  <c r="Z1487"/>
  <c r="Z1479"/>
  <c r="Z1455"/>
  <c r="Z1447"/>
  <c r="Z1439"/>
  <c r="Z1431"/>
  <c r="Z1391"/>
  <c r="Z1383"/>
  <c r="Z1375"/>
  <c r="Z1367"/>
  <c r="Z1359"/>
  <c r="Z1352"/>
  <c r="Z1336"/>
  <c r="Z1328"/>
  <c r="Z1320"/>
  <c r="Z1312"/>
  <c r="Z1304"/>
  <c r="Z1296"/>
  <c r="Z1288"/>
  <c r="Z1280"/>
  <c r="Z1272"/>
  <c r="Z1265"/>
  <c r="Z1257"/>
  <c r="Z1249"/>
  <c r="Z1241"/>
  <c r="Z1233"/>
  <c r="Z1225"/>
  <c r="Z1217"/>
  <c r="Z1209"/>
  <c r="Z1201"/>
  <c r="Z1193"/>
  <c r="Z1185"/>
  <c r="Z1177"/>
  <c r="Z1169"/>
  <c r="Z1161"/>
  <c r="Z1153"/>
  <c r="Z1145"/>
  <c r="Z1137"/>
  <c r="Z1129"/>
  <c r="Z1121"/>
  <c r="Z1113"/>
  <c r="Z1105"/>
  <c r="Z1097"/>
  <c r="Z1081"/>
  <c r="Z1073"/>
  <c r="Z1065"/>
  <c r="Z1049"/>
  <c r="Z1041"/>
  <c r="Z1033"/>
  <c r="Z1009"/>
  <c r="Z1001"/>
  <c r="Z993"/>
  <c r="Z913"/>
  <c r="Z905"/>
  <c r="Z897"/>
  <c r="Z889"/>
  <c r="Z881"/>
  <c r="Z873"/>
  <c r="Z865"/>
  <c r="Z857"/>
  <c r="Z849"/>
  <c r="Z841"/>
  <c r="Z833"/>
  <c r="Z825"/>
  <c r="Z793"/>
  <c r="Z785"/>
  <c r="Z777"/>
  <c r="Z761"/>
  <c r="Z753"/>
  <c r="Z745"/>
  <c r="Z737"/>
  <c r="Z706"/>
  <c r="Z698"/>
  <c r="Z690"/>
  <c r="Z682"/>
  <c r="Z674"/>
  <c r="Z643"/>
  <c r="Z635"/>
  <c r="Z627"/>
  <c r="Z619"/>
  <c r="Z611"/>
  <c r="Z603"/>
  <c r="Z595"/>
  <c r="Z587"/>
  <c r="Z579"/>
  <c r="Z571"/>
  <c r="Z563"/>
  <c r="Z555"/>
  <c r="Z547"/>
  <c r="Z539"/>
  <c r="Z531"/>
  <c r="Z523"/>
  <c r="Z515"/>
  <c r="Z507"/>
  <c r="Z499"/>
  <c r="Z491"/>
  <c r="Z467"/>
  <c r="Z459"/>
  <c r="Z451"/>
  <c r="Z443"/>
  <c r="Z435"/>
  <c r="Z411"/>
  <c r="Z403"/>
  <c r="Z395"/>
  <c r="Z387"/>
  <c r="Z379"/>
  <c r="Z371"/>
  <c r="Z363"/>
  <c r="Z355"/>
  <c r="Z347"/>
  <c r="Z339"/>
  <c r="Z331"/>
  <c r="Z299"/>
  <c r="Z275"/>
  <c r="Z267"/>
  <c r="Z259"/>
  <c r="Z251"/>
  <c r="Z243"/>
  <c r="Z235"/>
  <c r="Z227"/>
  <c r="Z219"/>
  <c r="Z211"/>
  <c r="Z203"/>
  <c r="Z195"/>
  <c r="Z187"/>
  <c r="Z179"/>
  <c r="Z171"/>
  <c r="Z163"/>
  <c r="Z155"/>
  <c r="Z147"/>
  <c r="Z139"/>
  <c r="Z131"/>
  <c r="Z123"/>
  <c r="Z115"/>
  <c r="Z107"/>
  <c r="Z99"/>
  <c r="Z91"/>
  <c r="Z83"/>
  <c r="Z75"/>
  <c r="Z67"/>
  <c r="Z59"/>
  <c r="Z51"/>
  <c r="Z43"/>
  <c r="Z36"/>
  <c r="Z28"/>
  <c r="Z20"/>
  <c r="Z5"/>
  <c r="Z1646"/>
  <c r="Z1638"/>
  <c r="Z1630"/>
  <c r="Z1622"/>
  <c r="Z1614"/>
  <c r="Z1606"/>
  <c r="Z1598"/>
  <c r="Z1590"/>
  <c r="Z1582"/>
  <c r="Z1574"/>
  <c r="Z1558"/>
  <c r="Z1550"/>
  <c r="Z1518"/>
  <c r="Z1510"/>
  <c r="Z1494"/>
  <c r="Z1486"/>
  <c r="Z1478"/>
  <c r="Z1470"/>
  <c r="Z1462"/>
  <c r="Z1454"/>
  <c r="Z1446"/>
  <c r="Z1438"/>
  <c r="Z1430"/>
  <c r="Z1422"/>
  <c r="Z1414"/>
  <c r="Z1406"/>
  <c r="Z1398"/>
  <c r="Z1390"/>
  <c r="Z1382"/>
  <c r="Z1366"/>
  <c r="Z1358"/>
  <c r="Z1343"/>
  <c r="Z1335"/>
  <c r="Z1327"/>
  <c r="Z1319"/>
  <c r="Z1311"/>
  <c r="Z1303"/>
  <c r="Z1295"/>
  <c r="Z1287"/>
  <c r="Z1279"/>
  <c r="Z1271"/>
  <c r="Z1256"/>
  <c r="Z1248"/>
  <c r="Z1240"/>
  <c r="Z1232"/>
  <c r="Z1224"/>
  <c r="Z1216"/>
  <c r="Z1208"/>
  <c r="Z1200"/>
  <c r="Z1192"/>
  <c r="Z1184"/>
  <c r="Z1176"/>
  <c r="Z1168"/>
  <c r="Z1160"/>
  <c r="Z1152"/>
  <c r="Z1128"/>
  <c r="Z1112"/>
  <c r="Z1088"/>
  <c r="Z1072"/>
  <c r="Z1056"/>
  <c r="Z1048"/>
  <c r="Z1024"/>
  <c r="Z1016"/>
  <c r="Z1008"/>
  <c r="Z992"/>
  <c r="Z984"/>
  <c r="Z976"/>
  <c r="Z960"/>
  <c r="Z952"/>
  <c r="Z944"/>
  <c r="Z936"/>
  <c r="Z928"/>
  <c r="Z920"/>
  <c r="Z912"/>
  <c r="Z904"/>
  <c r="Z896"/>
  <c r="Z888"/>
  <c r="Z880"/>
  <c r="Z864"/>
  <c r="Z856"/>
  <c r="Z848"/>
  <c r="Z840"/>
  <c r="Z832"/>
  <c r="Z816"/>
  <c r="Z808"/>
  <c r="Z800"/>
  <c r="Z792"/>
  <c r="Z784"/>
  <c r="Z760"/>
  <c r="Z752"/>
  <c r="Z720"/>
  <c r="Z712"/>
  <c r="Z705"/>
  <c r="Z697"/>
  <c r="Z689"/>
  <c r="Z681"/>
  <c r="Z673"/>
  <c r="Z665"/>
  <c r="Z657"/>
  <c r="Z650"/>
  <c r="Z642"/>
  <c r="Z634"/>
  <c r="Z626"/>
  <c r="Z610"/>
  <c r="Z602"/>
  <c r="Z594"/>
  <c r="Z586"/>
  <c r="Z578"/>
  <c r="Z570"/>
  <c r="Z562"/>
  <c r="Z546"/>
  <c r="Z538"/>
  <c r="Z530"/>
  <c r="Z522"/>
  <c r="Z514"/>
  <c r="Z506"/>
  <c r="Z490"/>
  <c r="Z482"/>
  <c r="Z474"/>
  <c r="Z466"/>
  <c r="Z458"/>
  <c r="Z450"/>
  <c r="Z442"/>
  <c r="Z434"/>
  <c r="Z410"/>
  <c r="Z402"/>
  <c r="Z394"/>
  <c r="Z386"/>
  <c r="Z378"/>
  <c r="Z370"/>
  <c r="Z362"/>
  <c r="Z354"/>
  <c r="Z346"/>
  <c r="Z338"/>
  <c r="Z322"/>
  <c r="Z314"/>
  <c r="Z298"/>
  <c r="Z290"/>
  <c r="Z282"/>
  <c r="Z274"/>
  <c r="Z266"/>
  <c r="Z258"/>
  <c r="Z250"/>
  <c r="Z242"/>
  <c r="Z234"/>
  <c r="Z226"/>
  <c r="Z178"/>
  <c r="Z170"/>
  <c r="Z146"/>
  <c r="Z138"/>
  <c r="Z130"/>
  <c r="Z122"/>
  <c r="Z114"/>
  <c r="Z106"/>
  <c r="Z98"/>
  <c r="Z90"/>
  <c r="Z82"/>
  <c r="Z74"/>
  <c r="Z66"/>
  <c r="Z58"/>
  <c r="Z50"/>
  <c r="Z42"/>
  <c r="Z35"/>
  <c r="Z27"/>
  <c r="Z19"/>
  <c r="Z11"/>
  <c r="Z4"/>
  <c r="Z1645"/>
  <c r="Z1637"/>
  <c r="Z1629"/>
  <c r="Z1621"/>
  <c r="Z1613"/>
  <c r="Z1605"/>
  <c r="Z1597"/>
  <c r="Z1589"/>
  <c r="Z1573"/>
  <c r="Z1565"/>
  <c r="Z1557"/>
  <c r="Z1549"/>
  <c r="Z1541"/>
  <c r="Z1533"/>
  <c r="Z1525"/>
  <c r="Z1517"/>
  <c r="Z1509"/>
  <c r="Z1493"/>
  <c r="Z1485"/>
  <c r="Z1477"/>
  <c r="Z1461"/>
  <c r="Z1453"/>
  <c r="Z1445"/>
  <c r="Z1429"/>
  <c r="Z1413"/>
  <c r="Z1405"/>
  <c r="Z1397"/>
  <c r="Z1381"/>
  <c r="Z1365"/>
  <c r="Z1357"/>
  <c r="Z1350"/>
  <c r="Z1342"/>
  <c r="Z1334"/>
  <c r="Z1326"/>
  <c r="Z1318"/>
  <c r="Z1310"/>
  <c r="Z1302"/>
  <c r="Z1286"/>
  <c r="Z1255"/>
  <c r="Z1239"/>
  <c r="Z1215"/>
  <c r="Z1199"/>
  <c r="Z1191"/>
  <c r="Z1183"/>
  <c r="Z1175"/>
  <c r="Z1167"/>
  <c r="Z1151"/>
  <c r="Z1143"/>
  <c r="Z1135"/>
  <c r="Z1127"/>
  <c r="Z1119"/>
  <c r="Z1087"/>
  <c r="Z1079"/>
  <c r="Z1071"/>
  <c r="Z1063"/>
  <c r="Z1047"/>
  <c r="Z1031"/>
  <c r="Z1023"/>
  <c r="Z951"/>
  <c r="Z943"/>
  <c r="Z935"/>
  <c r="Z927"/>
  <c r="Z919"/>
  <c r="Z911"/>
  <c r="Z903"/>
  <c r="Z895"/>
  <c r="Z863"/>
  <c r="Z847"/>
  <c r="Z839"/>
  <c r="Z815"/>
  <c r="Z807"/>
  <c r="Z791"/>
  <c r="Z767"/>
  <c r="Z759"/>
  <c r="Z735"/>
  <c r="Z727"/>
  <c r="Z719"/>
  <c r="Z688"/>
  <c r="Z680"/>
  <c r="Z672"/>
  <c r="Z664"/>
  <c r="Z649"/>
  <c r="Z641"/>
  <c r="Z633"/>
  <c r="Z625"/>
  <c r="Z617"/>
  <c r="Z609"/>
  <c r="Z601"/>
  <c r="Z593"/>
  <c r="Z585"/>
  <c r="Z561"/>
  <c r="Z537"/>
  <c r="Z529"/>
  <c r="Z521"/>
  <c r="Z513"/>
  <c r="Z505"/>
  <c r="Z497"/>
  <c r="Z481"/>
  <c r="Z457"/>
  <c r="Z441"/>
  <c r="Z433"/>
  <c r="Z417"/>
  <c r="Z401"/>
  <c r="Z393"/>
  <c r="Z345"/>
  <c r="Z329"/>
  <c r="Z297"/>
  <c r="Z289"/>
  <c r="Z281"/>
  <c r="Z273"/>
  <c r="Z265"/>
  <c r="Z257"/>
  <c r="Z241"/>
  <c r="Z233"/>
  <c r="Z225"/>
  <c r="Z209"/>
  <c r="Z201"/>
  <c r="Z193"/>
  <c r="Z185"/>
  <c r="Z177"/>
  <c r="Z169"/>
  <c r="Z161"/>
  <c r="Z153"/>
  <c r="Z145"/>
  <c r="Z137"/>
  <c r="Z121"/>
  <c r="Z97"/>
  <c r="Z57"/>
  <c r="Z49"/>
  <c r="Z41"/>
  <c r="Z34"/>
  <c r="Z26"/>
  <c r="Z18"/>
  <c r="Z10"/>
  <c r="Z3"/>
  <c r="E1" i="8"/>
  <c r="B13" i="4"/>
  <c r="AA2" i="2"/>
  <c r="AG6" s="1"/>
  <c r="AB10"/>
  <c r="AK12" s="1"/>
  <c r="AA11"/>
  <c r="Y2" i="6"/>
  <c r="B13" i="2"/>
  <c r="AH2"/>
  <c r="X2" i="6"/>
  <c r="AJ1" s="1"/>
  <c r="AI6" i="2"/>
  <c r="AA3"/>
  <c r="AK9" l="1"/>
  <c r="AB2"/>
  <c r="D13"/>
  <c r="D13" i="13"/>
  <c r="AA10" i="2"/>
  <c r="AK11" s="1"/>
  <c r="AG2"/>
  <c r="AF2"/>
  <c r="AK5"/>
  <c r="AK1" l="1"/>
  <c r="AB3"/>
  <c r="AH6"/>
  <c r="AI2"/>
  <c r="AJ2" l="1"/>
  <c r="AE2"/>
  <c r="D3"/>
  <c r="Y3" i="13" l="1"/>
  <c r="AH6" s="1"/>
  <c r="Y11"/>
  <c r="Z11" s="1"/>
  <c r="Y6"/>
  <c r="Z6" s="1"/>
  <c r="AJ7" s="1"/>
  <c r="Y2"/>
  <c r="AE6" s="1"/>
  <c r="Z7"/>
  <c r="AG2" s="1"/>
  <c r="Y10"/>
  <c r="Z10" s="1"/>
  <c r="AJ11" s="1"/>
  <c r="H4"/>
  <c r="Y4"/>
  <c r="K8"/>
  <c r="X1"/>
  <c r="Y1" s="1"/>
  <c r="AH11" i="2"/>
  <c r="L8" i="13" l="1"/>
  <c r="H8"/>
  <c r="J8" s="1"/>
  <c r="J4"/>
  <c r="K4" s="1"/>
  <c r="AJ5"/>
  <c r="AJ10"/>
  <c r="Z5"/>
  <c r="AJ6" s="1"/>
  <c r="AJ9"/>
  <c r="AJ3"/>
  <c r="L4"/>
  <c r="Z3"/>
  <c r="AJ8"/>
  <c r="AA10"/>
  <c r="AJ12" s="1"/>
  <c r="AJ1" l="1"/>
  <c r="D3" s="1"/>
  <c r="AA3"/>
  <c r="AA2"/>
  <c r="AG6"/>
  <c r="AD2" l="1"/>
  <c r="AH2"/>
  <c r="AI2"/>
  <c r="AG11" l="1"/>
</calcChain>
</file>

<file path=xl/sharedStrings.xml><?xml version="1.0" encoding="utf-8"?>
<sst xmlns="http://schemas.openxmlformats.org/spreadsheetml/2006/main" count="226" uniqueCount="139">
  <si>
    <t>Loc</t>
  </si>
  <si>
    <t>Mov Loc</t>
  </si>
  <si>
    <t>Scan Serial</t>
  </si>
  <si>
    <t>Scan Mov</t>
  </si>
  <si>
    <t>Scan Product</t>
  </si>
  <si>
    <t>Mov Blank</t>
  </si>
  <si>
    <t>Mov Class</t>
  </si>
  <si>
    <t>Mov Serial</t>
  </si>
  <si>
    <t>Rec_Home</t>
  </si>
  <si>
    <t>Scan Blank</t>
  </si>
  <si>
    <t>Check</t>
  </si>
  <si>
    <t>Move</t>
  </si>
  <si>
    <t>Product</t>
  </si>
  <si>
    <t>Serial</t>
  </si>
  <si>
    <t>Location</t>
  </si>
  <si>
    <t>Record Ctrl "q"</t>
  </si>
  <si>
    <t>New Loc Ctrl "w"</t>
  </si>
  <si>
    <t>J2 Yes</t>
  </si>
  <si>
    <t>J2 No</t>
  </si>
  <si>
    <t>Key True</t>
  </si>
  <si>
    <t>Mov Clear</t>
  </si>
  <si>
    <t>Serial but not ok</t>
  </si>
  <si>
    <t>*GO*</t>
  </si>
  <si>
    <t>*NONE*</t>
  </si>
  <si>
    <t>*LOC*</t>
  </si>
  <si>
    <t>Prod Blank</t>
  </si>
  <si>
    <t>Mov Prod</t>
  </si>
  <si>
    <t>*REM*</t>
  </si>
  <si>
    <t>*BAD*</t>
  </si>
  <si>
    <t>*CLR*</t>
  </si>
  <si>
    <t>Record</t>
  </si>
  <si>
    <t>*ADD*</t>
  </si>
  <si>
    <t>Serial same</t>
  </si>
  <si>
    <t>Mov</t>
  </si>
  <si>
    <t>Fail GO</t>
  </si>
  <si>
    <t>Import Status:</t>
  </si>
  <si>
    <t>Export Status:</t>
  </si>
  <si>
    <t>Mov (10Ch)</t>
  </si>
  <si>
    <t>Pal_Ref</t>
  </si>
  <si>
    <t xml:space="preserve">         SPECIAL COPY THE BELOW INTO THE "UPStockSerial.csv"</t>
  </si>
  <si>
    <t>Automatically Entered Below from the Record Tab</t>
  </si>
  <si>
    <t>Is This export Auto Complete?</t>
  </si>
  <si>
    <t>*LCT*</t>
  </si>
  <si>
    <t>Product Code</t>
  </si>
  <si>
    <t>*PRD*</t>
  </si>
  <si>
    <t>*SPR*</t>
  </si>
  <si>
    <t>off</t>
  </si>
  <si>
    <t>File Creation DateTime:</t>
  </si>
  <si>
    <t>Current Date (readable)</t>
  </si>
  <si>
    <t>on</t>
  </si>
  <si>
    <t>Audio</t>
  </si>
  <si>
    <t>ON</t>
  </si>
  <si>
    <t>OFF</t>
  </si>
  <si>
    <t>SoundMe</t>
  </si>
  <si>
    <t>Items Remaining</t>
  </si>
  <si>
    <t>-</t>
  </si>
  <si>
    <t>Advanced Settings Flags / Toggles</t>
  </si>
  <si>
    <t>Advanced Settings Menu</t>
  </si>
  <si>
    <t>Type in the two pallet ranges from lowest number to highest</t>
  </si>
  <si>
    <t>Toggle10</t>
  </si>
  <si>
    <t>Auto Add "D" to SKU</t>
  </si>
  <si>
    <t>Total to Scan</t>
  </si>
  <si>
    <t>Enter the total number of items to scan for this job</t>
  </si>
  <si>
    <t>Total Pallets</t>
  </si>
  <si>
    <t>Pallet Range</t>
  </si>
  <si>
    <t>Export Blank LOC</t>
  </si>
  <si>
    <t>Messages</t>
  </si>
  <si>
    <t>Allow Any SKU (Ignore errors)</t>
  </si>
  <si>
    <t>Long SKU</t>
  </si>
  <si>
    <r>
      <t>Last 2 Movs</t>
    </r>
    <r>
      <rPr>
        <b/>
        <sz val="8"/>
        <color theme="0"/>
        <rFont val="Calibri"/>
        <family val="2"/>
        <scheme val="minor"/>
      </rPr>
      <t xml:space="preserve"> </t>
    </r>
    <r>
      <rPr>
        <b/>
        <sz val="10"/>
        <color theme="0"/>
        <rFont val="Calibri"/>
        <family val="2"/>
        <scheme val="minor"/>
      </rPr>
      <t>(Newest First)</t>
    </r>
  </si>
  <si>
    <t>AutoSave</t>
  </si>
  <si>
    <t>Ignore LOC req. - NEW LOC MODE</t>
  </si>
  <si>
    <t>Allow Any Serial (Ignore errors)</t>
  </si>
  <si>
    <t>SerialScan In</t>
  </si>
  <si>
    <t>Serial Match</t>
  </si>
  <si>
    <t>Require Long_SKU Instead</t>
  </si>
  <si>
    <t>Serial_no is an Index Number</t>
  </si>
  <si>
    <t>Recon_type will be required in place of Product Code when scanning</t>
  </si>
  <si>
    <t>Use this if the serial_no contained Numbers initially and is thinking that data already exists</t>
  </si>
  <si>
    <t>Do not modify - Diciplinary Action will result</t>
  </si>
  <si>
    <t>DANGEROUS SETTING</t>
  </si>
  <si>
    <t>Defaults:</t>
  </si>
  <si>
    <t>WARNING: Some setting changes affect the accuracy and bypass the safety protections put in place. These can have undesired effect for the Stock data in Translogix.</t>
  </si>
  <si>
    <t>This setting will add a D where it is missing. This doesn't work in reverse (I.e. It won't remove D)</t>
  </si>
  <si>
    <t>Don't update locations, this will ensure they are blank on export</t>
  </si>
  <si>
    <t>WHEN OFF - Requires a location to match system. WHEN ON - Location can be anything you want</t>
  </si>
  <si>
    <t>Current Pallet Location</t>
  </si>
  <si>
    <t>Physical Loc (AA000)</t>
  </si>
  <si>
    <t>WH Location</t>
  </si>
  <si>
    <r>
      <t xml:space="preserve">Loc </t>
    </r>
    <r>
      <rPr>
        <b/>
        <sz val="8"/>
        <color theme="0"/>
        <rFont val="Calibri"/>
        <family val="2"/>
        <scheme val="minor"/>
      </rPr>
      <t>(Pallet then Physical)</t>
    </r>
  </si>
  <si>
    <t>Serial_no</t>
  </si>
  <si>
    <t>Long_SKU</t>
  </si>
  <si>
    <t>WH_LOC</t>
  </si>
  <si>
    <t>Current Scanned Item - Data in Translogix</t>
  </si>
  <si>
    <t>Mov_no</t>
  </si>
  <si>
    <t>Total Stock QTY</t>
  </si>
  <si>
    <t>Customer</t>
  </si>
  <si>
    <t>GO</t>
  </si>
  <si>
    <t>Items Scanned</t>
  </si>
  <si>
    <t>Export WH_LOC</t>
  </si>
  <si>
    <t>Will Trigger Auto Save at every scan. Effects Record Speed</t>
  </si>
  <si>
    <t>wh_loc</t>
  </si>
  <si>
    <t>Will export the WH_LOC entered.</t>
  </si>
  <si>
    <t>code</t>
  </si>
  <si>
    <t>name</t>
  </si>
  <si>
    <t>Import Date:</t>
  </si>
  <si>
    <t>UNLOCKED</t>
  </si>
  <si>
    <r>
      <t xml:space="preserve">Loc </t>
    </r>
    <r>
      <rPr>
        <b/>
        <sz val="8"/>
        <color theme="1" tint="0.34998626667073579"/>
        <rFont val="Calibri"/>
        <family val="2"/>
        <scheme val="minor"/>
      </rPr>
      <t>(Pallet then Physical)</t>
    </r>
  </si>
  <si>
    <r>
      <t>Last 2 Movs</t>
    </r>
    <r>
      <rPr>
        <b/>
        <sz val="8"/>
        <color theme="1" tint="0.34998626667073579"/>
        <rFont val="Calibri"/>
        <family val="2"/>
        <scheme val="minor"/>
      </rPr>
      <t xml:space="preserve"> </t>
    </r>
    <r>
      <rPr>
        <b/>
        <sz val="10"/>
        <color theme="1" tint="0.34998626667073579"/>
        <rFont val="Calibri"/>
        <family val="2"/>
        <scheme val="minor"/>
      </rPr>
      <t>(Newest First)</t>
    </r>
  </si>
  <si>
    <t>Character to Change</t>
  </si>
  <si>
    <t>Last Translogix Update:</t>
  </si>
  <si>
    <t>Fetch Location</t>
  </si>
  <si>
    <t>Fetch Product</t>
  </si>
  <si>
    <t>Remove Text</t>
  </si>
  <si>
    <t>Add Text</t>
  </si>
  <si>
    <t>Print "NONE"</t>
  </si>
  <si>
    <t>Print "BAD"</t>
  </si>
  <si>
    <t>Edit/Change LOCATION</t>
  </si>
  <si>
    <r>
      <t>Start Again</t>
    </r>
    <r>
      <rPr>
        <b/>
        <sz val="26"/>
        <color theme="1"/>
        <rFont val="Calibri"/>
        <family val="2"/>
        <scheme val="minor"/>
      </rPr>
      <t xml:space="preserve"> (Clear)</t>
    </r>
  </si>
  <si>
    <t>Record + New Loc</t>
  </si>
  <si>
    <t xml:space="preserve">      Reset/Fix Old Scanner</t>
  </si>
  <si>
    <t>CURRENTTIME</t>
  </si>
  <si>
    <t>Age (H:M:S)</t>
  </si>
  <si>
    <t>Mov_no in Translogix</t>
  </si>
  <si>
    <t>Type Letter above then hit Enter</t>
  </si>
  <si>
    <t>Append/Remove:</t>
  </si>
  <si>
    <t>Instructions</t>
  </si>
  <si>
    <t>Please Wait…</t>
  </si>
  <si>
    <t>Exporting…</t>
  </si>
  <si>
    <t>Status</t>
  </si>
  <si>
    <t>Date</t>
  </si>
  <si>
    <t>* Use this to set the Physical Location of the container stock e.g. Bulk Location of pallets</t>
  </si>
  <si>
    <t>* Use this to set the Location of the current scanned product(s) only.</t>
  </si>
  <si>
    <t>Use the buttons above to adjust the location above</t>
  </si>
  <si>
    <t>Auto Export to FTPBox</t>
  </si>
  <si>
    <t xml:space="preserve">This Excel Document has exported x2 files for Translogix to Import. Since this process shouldn't be Automated. You will need to now perform another step of Importing the x2 files in Translogix. See the "SOP 035 - PON &amp; PBP Scanning Process" for Import Process.  WH_LOC in Translogix&gt;Warehouse&gt;Location&gt;Import  and  STOCK SERIAL in Translogix&gt;Stock Enq&gt;Import                                                                                                                                                         -                                                                                                                                                                                                                                                                                                          (1) You must first open FTPBox software below (on the taskbar) to start the sync                                                                                                                                                       (2) Then go into Tranlogix &gt; Stock Enquiry &gt; Import &gt; "SF FTPBOX Stock Scan Serial Upload".                                                                                                                                                                                                                                                                                         (3) Then you must go into Translogix &gt; Adminstration &gt; Warehouse &gt; Location &gt; Import &gt; "SF 1 FTPBOX Name WH_LOC Scan Serial Upload". </t>
  </si>
  <si>
    <t xml:space="preserve">This Excel Document has exported the Serial numbers as a file for Translogix to Import. Since this process shouldn't be Automated, You will need to now perform another step of Importing the file into Translogix. See the "SOP 035 - PON &amp; PBP Scanning Process".    STOCK SERIAL in Translogix&gt;Stock Enq&gt;Import                                                                                                                                                        -                                                                                                                                                                                                                                                                                                          (1) You must first open FTPBox software below (on the taskbar) to start the sync                                                                                                                                                          (2) Then go into Tranlogix &gt; Stock Enquiry &gt; Import &gt; "SF FTPBOX Stock Scan Serial Upload".                                                                                                                                                                                                                                                                                         </t>
  </si>
  <si>
    <t>Serial Scanner Version 3.9</t>
  </si>
  <si>
    <t>Toggle12</t>
  </si>
</sst>
</file>

<file path=xl/styles.xml><?xml version="1.0" encoding="utf-8"?>
<styleSheet xmlns="http://schemas.openxmlformats.org/spreadsheetml/2006/main">
  <numFmts count="2">
    <numFmt numFmtId="164" formatCode="0.0000000"/>
    <numFmt numFmtId="165" formatCode="mm/dd/yyyy\ h:mm"/>
  </numFmts>
  <fonts count="99">
    <font>
      <sz val="11"/>
      <color theme="1"/>
      <name val="Calibri"/>
      <family val="2"/>
      <scheme val="minor"/>
    </font>
    <font>
      <sz val="11"/>
      <color rgb="FF006100"/>
      <name val="Calibri"/>
      <family val="2"/>
      <scheme val="minor"/>
    </font>
    <font>
      <b/>
      <sz val="11"/>
      <color theme="1"/>
      <name val="Calibri"/>
      <family val="2"/>
      <scheme val="minor"/>
    </font>
    <font>
      <b/>
      <sz val="28"/>
      <color theme="1"/>
      <name val="Calibri"/>
      <family val="2"/>
      <scheme val="minor"/>
    </font>
    <font>
      <b/>
      <sz val="48"/>
      <color theme="1"/>
      <name val="Calibri"/>
      <family val="2"/>
      <scheme val="minor"/>
    </font>
    <font>
      <b/>
      <sz val="26"/>
      <color theme="1"/>
      <name val="Calibri"/>
      <family val="2"/>
      <scheme val="minor"/>
    </font>
    <font>
      <b/>
      <sz val="28"/>
      <color theme="1" tint="0.499984740745262"/>
      <name val="Calibri"/>
      <family val="2"/>
      <scheme val="minor"/>
    </font>
    <font>
      <sz val="60"/>
      <color theme="1"/>
      <name val="Free 3 of 9"/>
      <family val="3"/>
    </font>
    <font>
      <sz val="60"/>
      <color theme="1"/>
      <name val="Calibri"/>
      <family val="2"/>
      <scheme val="minor"/>
    </font>
    <font>
      <sz val="11"/>
      <color theme="2" tint="-9.9978637043366805E-2"/>
      <name val="Calibri"/>
      <family val="2"/>
      <scheme val="minor"/>
    </font>
    <font>
      <sz val="11"/>
      <color theme="0" tint="-0.249977111117893"/>
      <name val="Calibri"/>
      <family val="2"/>
      <scheme val="minor"/>
    </font>
    <font>
      <b/>
      <sz val="11"/>
      <color theme="9" tint="-0.499984740745262"/>
      <name val="Calibri"/>
      <family val="2"/>
      <scheme val="minor"/>
    </font>
    <font>
      <b/>
      <sz val="20"/>
      <color theme="1"/>
      <name val="Calibri"/>
      <family val="2"/>
      <scheme val="minor"/>
    </font>
    <font>
      <b/>
      <sz val="12"/>
      <color theme="1"/>
      <name val="Calibri"/>
      <family val="2"/>
      <scheme val="minor"/>
    </font>
    <font>
      <b/>
      <sz val="11"/>
      <color theme="0" tint="-4.9989318521683403E-2"/>
      <name val="Calibri"/>
      <family val="2"/>
      <scheme val="minor"/>
    </font>
    <font>
      <sz val="11"/>
      <color theme="0" tint="-4.9989318521683403E-2"/>
      <name val="Calibri"/>
      <family val="2"/>
      <scheme val="minor"/>
    </font>
    <font>
      <b/>
      <sz val="11"/>
      <color theme="0" tint="-0.249977111117893"/>
      <name val="Bahnschrift"/>
      <family val="2"/>
    </font>
    <font>
      <sz val="11"/>
      <color rgb="FFFF0000"/>
      <name val="Calibri"/>
      <family val="2"/>
      <scheme val="minor"/>
    </font>
    <font>
      <b/>
      <sz val="16"/>
      <color theme="0"/>
      <name val="Calibri"/>
      <family val="2"/>
      <scheme val="minor"/>
    </font>
    <font>
      <b/>
      <sz val="11"/>
      <name val="Calibri"/>
      <family val="2"/>
      <scheme val="minor"/>
    </font>
    <font>
      <sz val="11"/>
      <color rgb="FFB1B6D3"/>
      <name val="Calibri"/>
      <family val="2"/>
      <scheme val="minor"/>
    </font>
    <font>
      <sz val="11"/>
      <color theme="9" tint="-0.249977111117893"/>
      <name val="Calibri"/>
      <family val="2"/>
      <scheme val="minor"/>
    </font>
    <font>
      <b/>
      <sz val="11"/>
      <color theme="0"/>
      <name val="Calibri"/>
      <family val="2"/>
      <scheme val="minor"/>
    </font>
    <font>
      <sz val="11"/>
      <color theme="0"/>
      <name val="Calibri"/>
      <family val="2"/>
      <scheme val="minor"/>
    </font>
    <font>
      <b/>
      <sz val="48"/>
      <color rgb="FFB1B6D3"/>
      <name val="Calibri"/>
      <family val="2"/>
      <scheme val="minor"/>
    </font>
    <font>
      <sz val="8"/>
      <color rgb="FFFF0000"/>
      <name val="Calibri"/>
      <family val="2"/>
      <scheme val="minor"/>
    </font>
    <font>
      <sz val="11"/>
      <color rgb="FFCCCFE2"/>
      <name val="Calibri"/>
      <family val="2"/>
      <scheme val="minor"/>
    </font>
    <font>
      <sz val="11"/>
      <color rgb="FF7C8975"/>
      <name val="Calibri"/>
      <family val="2"/>
      <scheme val="minor"/>
    </font>
    <font>
      <b/>
      <sz val="24"/>
      <color theme="1"/>
      <name val="Calibri"/>
      <family val="2"/>
      <scheme val="minor"/>
    </font>
    <font>
      <sz val="11"/>
      <color rgb="FFFFFF00"/>
      <name val="Calibri"/>
      <family val="2"/>
      <scheme val="minor"/>
    </font>
    <font>
      <b/>
      <sz val="11"/>
      <color rgb="FF3333FF"/>
      <name val="Calibri"/>
      <family val="2"/>
      <scheme val="minor"/>
    </font>
    <font>
      <b/>
      <sz val="11"/>
      <color rgb="FFFF0000"/>
      <name val="Calibri"/>
      <family val="2"/>
      <scheme val="minor"/>
    </font>
    <font>
      <b/>
      <sz val="36"/>
      <color theme="1"/>
      <name val="Calibri"/>
      <family val="2"/>
      <scheme val="minor"/>
    </font>
    <font>
      <b/>
      <sz val="14"/>
      <color theme="1"/>
      <name val="Calibri"/>
      <family val="2"/>
      <scheme val="minor"/>
    </font>
    <font>
      <sz val="9"/>
      <color theme="1"/>
      <name val="Calibri"/>
      <family val="2"/>
      <scheme val="minor"/>
    </font>
    <font>
      <b/>
      <sz val="10"/>
      <color theme="0"/>
      <name val="Calibri"/>
      <family val="2"/>
      <scheme val="minor"/>
    </font>
    <font>
      <b/>
      <sz val="8"/>
      <color theme="0"/>
      <name val="Calibri"/>
      <family val="2"/>
      <scheme val="minor"/>
    </font>
    <font>
      <b/>
      <sz val="12"/>
      <color theme="1" tint="0.34998626667073579"/>
      <name val="Calibri"/>
      <family val="2"/>
      <scheme val="minor"/>
    </font>
    <font>
      <b/>
      <sz val="20"/>
      <color theme="1" tint="0.249977111117893"/>
      <name val="Calibri"/>
      <family val="2"/>
      <scheme val="minor"/>
    </font>
    <font>
      <b/>
      <sz val="20"/>
      <color theme="1" tint="0.34998626667073579"/>
      <name val="Calibri"/>
      <family val="2"/>
      <scheme val="minor"/>
    </font>
    <font>
      <b/>
      <sz val="11"/>
      <color theme="2" tint="-9.9978637043366805E-2"/>
      <name val="Calibri"/>
      <family val="2"/>
      <scheme val="minor"/>
    </font>
    <font>
      <sz val="9"/>
      <color theme="0" tint="-0.14999847407452621"/>
      <name val="Calibri"/>
      <family val="2"/>
      <scheme val="minor"/>
    </font>
    <font>
      <sz val="8"/>
      <color theme="1"/>
      <name val="Calibri"/>
      <family val="2"/>
      <scheme val="minor"/>
    </font>
    <font>
      <sz val="8"/>
      <name val="Calibri"/>
      <family val="2"/>
      <scheme val="minor"/>
    </font>
    <font>
      <b/>
      <i/>
      <sz val="12"/>
      <color rgb="FFFFFF00"/>
      <name val="Calibri"/>
      <family val="2"/>
      <scheme val="minor"/>
    </font>
    <font>
      <b/>
      <sz val="9"/>
      <color theme="0"/>
      <name val="Calibri"/>
      <family val="2"/>
      <scheme val="minor"/>
    </font>
    <font>
      <b/>
      <sz val="11"/>
      <color theme="9" tint="-0.249977111117893"/>
      <name val="Calibri"/>
      <family val="2"/>
      <scheme val="minor"/>
    </font>
    <font>
      <sz val="11"/>
      <color theme="7" tint="0.39997558519241921"/>
      <name val="Calibri"/>
      <family val="2"/>
      <scheme val="minor"/>
    </font>
    <font>
      <b/>
      <sz val="12"/>
      <color theme="0"/>
      <name val="Calibri"/>
      <family val="2"/>
      <scheme val="minor"/>
    </font>
    <font>
      <b/>
      <sz val="14"/>
      <color theme="0"/>
      <name val="Calibri"/>
      <family val="2"/>
      <scheme val="minor"/>
    </font>
    <font>
      <b/>
      <sz val="11"/>
      <color theme="0" tint="-0.14999847407452621"/>
      <name val="Calibri"/>
      <family val="2"/>
      <scheme val="minor"/>
    </font>
    <font>
      <b/>
      <sz val="14"/>
      <color theme="0" tint="-4.9989318521683403E-2"/>
      <name val="Calibri"/>
      <family val="2"/>
      <scheme val="minor"/>
    </font>
    <font>
      <b/>
      <sz val="10"/>
      <color theme="0" tint="-0.14999847407452621"/>
      <name val="Calibri"/>
      <family val="2"/>
      <scheme val="minor"/>
    </font>
    <font>
      <b/>
      <sz val="11"/>
      <color theme="9"/>
      <name val="Calibri"/>
      <family val="2"/>
      <scheme val="minor"/>
    </font>
    <font>
      <b/>
      <sz val="11"/>
      <color rgb="FF92D050"/>
      <name val="Calibri"/>
      <family val="2"/>
      <scheme val="minor"/>
    </font>
    <font>
      <sz val="11"/>
      <name val="Calibri"/>
      <family val="2"/>
      <scheme val="minor"/>
    </font>
    <font>
      <b/>
      <i/>
      <sz val="9"/>
      <color rgb="FF00DFDA"/>
      <name val="Calibri"/>
      <family val="2"/>
      <scheme val="minor"/>
    </font>
    <font>
      <b/>
      <sz val="11"/>
      <color rgb="FF00DFDA"/>
      <name val="Calibri"/>
      <family val="2"/>
      <scheme val="minor"/>
    </font>
    <font>
      <sz val="11"/>
      <color theme="5" tint="-0.499984740745262"/>
      <name val="Calibri"/>
      <family val="2"/>
      <scheme val="minor"/>
    </font>
    <font>
      <b/>
      <sz val="16"/>
      <color theme="1" tint="0.34998626667073579"/>
      <name val="Calibri"/>
      <family val="2"/>
      <scheme val="minor"/>
    </font>
    <font>
      <b/>
      <sz val="8"/>
      <color theme="1" tint="0.34998626667073579"/>
      <name val="Calibri"/>
      <family val="2"/>
      <scheme val="minor"/>
    </font>
    <font>
      <b/>
      <sz val="10"/>
      <color theme="1" tint="0.34998626667073579"/>
      <name val="Calibri"/>
      <family val="2"/>
      <scheme val="minor"/>
    </font>
    <font>
      <b/>
      <sz val="14"/>
      <color theme="1" tint="0.34998626667073579"/>
      <name val="Calibri"/>
      <family val="2"/>
      <scheme val="minor"/>
    </font>
    <font>
      <sz val="9"/>
      <color theme="1" tint="0.34998626667073579"/>
      <name val="Calibri"/>
      <family val="2"/>
      <scheme val="minor"/>
    </font>
    <font>
      <sz val="11"/>
      <color theme="1" tint="0.34998626667073579"/>
      <name val="Calibri"/>
      <family val="2"/>
      <scheme val="minor"/>
    </font>
    <font>
      <b/>
      <sz val="11"/>
      <color theme="1" tint="0.34998626667073579"/>
      <name val="Calibri"/>
      <family val="2"/>
      <scheme val="minor"/>
    </font>
    <font>
      <b/>
      <i/>
      <sz val="9"/>
      <color theme="1" tint="0.34998626667073579"/>
      <name val="Calibri"/>
      <family val="2"/>
      <scheme val="minor"/>
    </font>
    <font>
      <b/>
      <sz val="11"/>
      <color theme="1" tint="0.499984740745262"/>
      <name val="Calibri"/>
      <family val="2"/>
      <scheme val="minor"/>
    </font>
    <font>
      <b/>
      <sz val="10"/>
      <color theme="1" tint="0.499984740745262"/>
      <name val="Calibri"/>
      <family val="2"/>
      <scheme val="minor"/>
    </font>
    <font>
      <b/>
      <sz val="28"/>
      <name val="Calibri"/>
      <family val="2"/>
      <scheme val="minor"/>
    </font>
    <font>
      <b/>
      <sz val="26"/>
      <name val="Calibri"/>
      <family val="2"/>
      <scheme val="minor"/>
    </font>
    <font>
      <b/>
      <sz val="12"/>
      <name val="Calibri"/>
      <family val="2"/>
      <scheme val="minor"/>
    </font>
    <font>
      <b/>
      <sz val="11"/>
      <color theme="0" tint="-0.499984740745262"/>
      <name val="Bahnschrift"/>
      <family val="2"/>
    </font>
    <font>
      <sz val="11"/>
      <color theme="9"/>
      <name val="Calibri"/>
      <family val="2"/>
      <scheme val="minor"/>
    </font>
    <font>
      <sz val="11"/>
      <color theme="5" tint="0.79998168889431442"/>
      <name val="Calibri"/>
      <family val="2"/>
      <scheme val="minor"/>
    </font>
    <font>
      <b/>
      <sz val="28"/>
      <color theme="0" tint="-0.249977111117893"/>
      <name val="Calibri"/>
      <family val="2"/>
      <scheme val="minor"/>
    </font>
    <font>
      <b/>
      <sz val="18"/>
      <color rgb="FF000000"/>
      <name val="Calibri"/>
      <family val="2"/>
      <scheme val="minor"/>
    </font>
    <font>
      <b/>
      <sz val="18"/>
      <color rgb="FF003366"/>
      <name val="Calibri"/>
      <family val="2"/>
      <scheme val="minor"/>
    </font>
    <font>
      <b/>
      <sz val="14"/>
      <color rgb="FF000000"/>
      <name val="Calibri"/>
      <family val="2"/>
      <scheme val="minor"/>
    </font>
    <font>
      <b/>
      <sz val="11"/>
      <color rgb="FF33CCCC"/>
      <name val="Calibri"/>
      <family val="2"/>
      <scheme val="minor"/>
    </font>
    <font>
      <b/>
      <sz val="11"/>
      <color rgb="FF993300"/>
      <name val="Calibri"/>
      <family val="2"/>
      <scheme val="minor"/>
    </font>
    <font>
      <b/>
      <sz val="8"/>
      <color rgb="FF339966"/>
      <name val="Calibri"/>
      <family val="2"/>
      <scheme val="minor"/>
    </font>
    <font>
      <b/>
      <sz val="14"/>
      <color rgb="FF339966"/>
      <name val="Calibri"/>
      <family val="2"/>
      <scheme val="minor"/>
    </font>
    <font>
      <b/>
      <sz val="8"/>
      <color rgb="FFFF9900"/>
      <name val="Calibri"/>
      <family val="2"/>
      <scheme val="minor"/>
    </font>
    <font>
      <b/>
      <sz val="14"/>
      <color rgb="FFFF9900"/>
      <name val="Calibri"/>
      <family val="2"/>
      <scheme val="minor"/>
    </font>
    <font>
      <b/>
      <sz val="14"/>
      <color rgb="FFFF0000"/>
      <name val="Calibri"/>
      <family val="2"/>
      <scheme val="minor"/>
    </font>
    <font>
      <b/>
      <sz val="12"/>
      <color rgb="FFFF9900"/>
      <name val="Calibri"/>
      <family val="2"/>
      <scheme val="minor"/>
    </font>
    <font>
      <b/>
      <sz val="8"/>
      <color rgb="FF000000"/>
      <name val="Calibri"/>
      <family val="2"/>
      <scheme val="minor"/>
    </font>
    <font>
      <b/>
      <sz val="8"/>
      <color rgb="FF33CCCC"/>
      <name val="Calibri"/>
      <family val="2"/>
      <scheme val="minor"/>
    </font>
    <font>
      <b/>
      <sz val="12"/>
      <color rgb="FF993300"/>
      <name val="Calibri"/>
      <family val="2"/>
      <scheme val="minor"/>
    </font>
    <font>
      <b/>
      <sz val="12"/>
      <color rgb="FF0000FF"/>
      <name val="Calibri"/>
      <family val="2"/>
      <scheme val="minor"/>
    </font>
    <font>
      <b/>
      <sz val="14"/>
      <color rgb="FF808080"/>
      <name val="Calibri"/>
      <family val="2"/>
      <scheme val="minor"/>
    </font>
    <font>
      <b/>
      <sz val="11"/>
      <color rgb="FF808080"/>
      <name val="Calibri"/>
      <family val="2"/>
      <scheme val="minor"/>
    </font>
    <font>
      <b/>
      <sz val="8"/>
      <color rgb="FF808080"/>
      <name val="Calibri"/>
      <family val="2"/>
      <scheme val="minor"/>
    </font>
    <font>
      <b/>
      <sz val="12"/>
      <color rgb="FF808080"/>
      <name val="Calibri"/>
      <family val="2"/>
      <scheme val="minor"/>
    </font>
    <font>
      <sz val="11"/>
      <color theme="1" tint="0.249977111117893"/>
      <name val="Calibri"/>
      <family val="2"/>
      <scheme val="minor"/>
    </font>
    <font>
      <b/>
      <sz val="11"/>
      <color theme="6" tint="0.79998168889431442"/>
      <name val="Calibri"/>
      <family val="2"/>
      <scheme val="minor"/>
    </font>
    <font>
      <sz val="11"/>
      <color theme="6" tint="0.79998168889431442"/>
      <name val="Calibri"/>
      <family val="2"/>
      <scheme val="minor"/>
    </font>
    <font>
      <sz val="11"/>
      <color theme="3" tint="-0.499984740745262"/>
      <name val="Calibri"/>
      <family val="2"/>
      <scheme val="minor"/>
    </font>
  </fonts>
  <fills count="33">
    <fill>
      <patternFill patternType="none"/>
    </fill>
    <fill>
      <patternFill patternType="gray125"/>
    </fill>
    <fill>
      <patternFill patternType="solid">
        <fgColor rgb="FFC6EFCE"/>
      </patternFill>
    </fill>
    <fill>
      <patternFill patternType="solid">
        <fgColor rgb="FFFFFF0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theme="7" tint="-0.249977111117893"/>
        <bgColor indexed="64"/>
      </patternFill>
    </fill>
    <fill>
      <patternFill patternType="solid">
        <fgColor rgb="FFCCCFE2"/>
        <bgColor indexed="64"/>
      </patternFill>
    </fill>
    <fill>
      <patternFill patternType="solid">
        <fgColor rgb="FFF0F1F6"/>
        <bgColor indexed="64"/>
      </patternFill>
    </fill>
    <fill>
      <patternFill patternType="solid">
        <fgColor rgb="FFE8E8E8"/>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1F1F5"/>
        <bgColor indexed="64"/>
      </patternFill>
    </fill>
    <fill>
      <patternFill patternType="solid">
        <fgColor theme="7" tint="0.39997558519241921"/>
        <bgColor indexed="64"/>
      </patternFill>
    </fill>
    <fill>
      <patternFill patternType="solid">
        <fgColor theme="7" tint="-0.499984740745262"/>
        <bgColor indexed="64"/>
      </patternFill>
    </fill>
    <fill>
      <patternFill patternType="solid">
        <fgColor rgb="FF7A629E"/>
        <bgColor indexed="64"/>
      </patternFill>
    </fill>
    <fill>
      <patternFill patternType="solid">
        <fgColor rgb="FF342943"/>
        <bgColor indexed="64"/>
      </patternFill>
    </fill>
    <fill>
      <patternFill patternType="solid">
        <fgColor theme="1"/>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1" tint="0.34998626667073579"/>
        <bgColor indexed="64"/>
      </patternFill>
    </fill>
    <fill>
      <patternFill patternType="solid">
        <fgColor theme="1" tint="4.9989318521683403E-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340">
    <xf numFmtId="0" fontId="0" fillId="0" borderId="0" xfId="0"/>
    <xf numFmtId="1" fontId="0" fillId="0" borderId="0" xfId="0" applyNumberFormat="1"/>
    <xf numFmtId="0" fontId="0" fillId="0" borderId="1" xfId="0" applyBorder="1"/>
    <xf numFmtId="1" fontId="0" fillId="0" borderId="1" xfId="0" applyNumberFormat="1" applyBorder="1" applyAlignment="1">
      <alignment horizontal="center"/>
    </xf>
    <xf numFmtId="0" fontId="0" fillId="0" borderId="1" xfId="0" applyBorder="1" applyAlignment="1">
      <alignment horizontal="center"/>
    </xf>
    <xf numFmtId="0" fontId="3" fillId="0" borderId="1" xfId="0" applyFont="1" applyBorder="1" applyAlignment="1" applyProtection="1">
      <alignment horizontal="center" vertical="center"/>
      <protection locked="0"/>
    </xf>
    <xf numFmtId="0" fontId="4" fillId="0" borderId="2" xfId="0" applyFont="1" applyBorder="1" applyAlignment="1" applyProtection="1">
      <alignment horizontal="center" vertical="center"/>
      <protection locked="0"/>
    </xf>
    <xf numFmtId="1" fontId="0" fillId="0" borderId="1" xfId="0" applyNumberFormat="1" applyBorder="1"/>
    <xf numFmtId="0" fontId="5" fillId="0" borderId="1" xfId="0" applyFont="1" applyBorder="1" applyAlignment="1">
      <alignment horizontal="center" vertical="center"/>
    </xf>
    <xf numFmtId="0" fontId="6" fillId="0" borderId="2" xfId="0" applyFont="1" applyBorder="1" applyAlignment="1">
      <alignment horizontal="center" vertical="center"/>
    </xf>
    <xf numFmtId="0" fontId="8" fillId="0" borderId="0" xfId="0" applyFont="1"/>
    <xf numFmtId="0" fontId="0" fillId="3" borderId="0" xfId="0" applyFill="1"/>
    <xf numFmtId="0" fontId="0" fillId="5" borderId="0" xfId="0" applyFill="1"/>
    <xf numFmtId="0" fontId="0" fillId="0" borderId="2" xfId="0" applyBorder="1"/>
    <xf numFmtId="0" fontId="0" fillId="6" borderId="1" xfId="0" applyFill="1" applyBorder="1"/>
    <xf numFmtId="0" fontId="2" fillId="5" borderId="0" xfId="0" applyFont="1" applyFill="1"/>
    <xf numFmtId="14" fontId="0" fillId="0" borderId="0" xfId="0" applyNumberFormat="1"/>
    <xf numFmtId="0" fontId="0" fillId="0" borderId="5" xfId="0" applyBorder="1"/>
    <xf numFmtId="0" fontId="2" fillId="3" borderId="0" xfId="0" applyFont="1" applyFill="1"/>
    <xf numFmtId="0" fontId="2" fillId="7" borderId="2" xfId="0" applyFont="1" applyFill="1" applyBorder="1"/>
    <xf numFmtId="0" fontId="0" fillId="8" borderId="0" xfId="0" applyFill="1"/>
    <xf numFmtId="0" fontId="12" fillId="0" borderId="2" xfId="0" applyFont="1" applyBorder="1" applyAlignment="1" applyProtection="1">
      <alignment horizontal="center" vertical="center"/>
      <protection locked="0"/>
    </xf>
    <xf numFmtId="0" fontId="14" fillId="6" borderId="1" xfId="0" applyFont="1" applyFill="1" applyBorder="1"/>
    <xf numFmtId="0" fontId="15" fillId="6" borderId="1" xfId="0" applyFont="1" applyFill="1" applyBorder="1"/>
    <xf numFmtId="0" fontId="0" fillId="10" borderId="0" xfId="0" applyFill="1"/>
    <xf numFmtId="0" fontId="4" fillId="0" borderId="8" xfId="0" applyFont="1" applyBorder="1" applyAlignment="1" applyProtection="1">
      <alignment horizontal="left" vertical="center"/>
      <protection locked="0"/>
    </xf>
    <xf numFmtId="0" fontId="4" fillId="13" borderId="4" xfId="0" applyFont="1" applyFill="1" applyBorder="1" applyAlignment="1">
      <alignment horizontal="center" vertical="center"/>
    </xf>
    <xf numFmtId="0" fontId="4" fillId="13" borderId="5" xfId="0" applyFont="1" applyFill="1" applyBorder="1" applyAlignment="1">
      <alignment horizontal="right" vertical="center"/>
    </xf>
    <xf numFmtId="0" fontId="16" fillId="8" borderId="0" xfId="0" applyFont="1" applyFill="1" applyAlignment="1">
      <alignment horizontal="right"/>
    </xf>
    <xf numFmtId="0" fontId="26" fillId="8" borderId="0" xfId="0" applyFont="1" applyFill="1"/>
    <xf numFmtId="0" fontId="26" fillId="10" borderId="0" xfId="0" applyFont="1" applyFill="1"/>
    <xf numFmtId="0" fontId="27" fillId="8" borderId="0" xfId="0" applyFont="1" applyFill="1"/>
    <xf numFmtId="0" fontId="32" fillId="0" borderId="2" xfId="0" applyFont="1" applyBorder="1" applyAlignment="1" applyProtection="1">
      <alignment horizontal="center" vertical="center"/>
      <protection locked="0"/>
    </xf>
    <xf numFmtId="0" fontId="33" fillId="0" borderId="2" xfId="0" applyFont="1" applyBorder="1" applyAlignment="1">
      <alignment horizontal="center" vertical="center"/>
    </xf>
    <xf numFmtId="0" fontId="38" fillId="6" borderId="1" xfId="0" applyFont="1" applyFill="1" applyBorder="1" applyAlignment="1">
      <alignment horizontal="center" vertical="center"/>
    </xf>
    <xf numFmtId="14" fontId="0" fillId="0" borderId="1" xfId="0" applyNumberFormat="1" applyBorder="1"/>
    <xf numFmtId="0" fontId="0" fillId="4" borderId="16" xfId="0" applyFill="1" applyBorder="1" applyProtection="1">
      <protection locked="0"/>
    </xf>
    <xf numFmtId="0" fontId="31" fillId="12" borderId="15" xfId="0" applyFont="1" applyFill="1" applyBorder="1"/>
    <xf numFmtId="0" fontId="0" fillId="14" borderId="18" xfId="0" applyFill="1" applyBorder="1"/>
    <xf numFmtId="0" fontId="0" fillId="14" borderId="19" xfId="0" applyFill="1" applyBorder="1"/>
    <xf numFmtId="0" fontId="0" fillId="15" borderId="19" xfId="0" applyFill="1" applyBorder="1"/>
    <xf numFmtId="0" fontId="0" fillId="15" borderId="20" xfId="0" applyFill="1" applyBorder="1"/>
    <xf numFmtId="0" fontId="0" fillId="15" borderId="21" xfId="0" applyFill="1" applyBorder="1"/>
    <xf numFmtId="0" fontId="0" fillId="15" borderId="17" xfId="0" applyFill="1" applyBorder="1"/>
    <xf numFmtId="0" fontId="0" fillId="15" borderId="25" xfId="0" applyFill="1" applyBorder="1"/>
    <xf numFmtId="0" fontId="0" fillId="0" borderId="26" xfId="0" applyBorder="1"/>
    <xf numFmtId="0" fontId="0" fillId="0" borderId="10" xfId="0" applyBorder="1"/>
    <xf numFmtId="0" fontId="2" fillId="12" borderId="2" xfId="0" applyFont="1" applyFill="1" applyBorder="1"/>
    <xf numFmtId="0" fontId="0" fillId="4" borderId="2" xfId="0" applyFill="1" applyBorder="1" applyProtection="1">
      <protection locked="0"/>
    </xf>
    <xf numFmtId="0" fontId="0" fillId="4" borderId="2" xfId="0" applyFill="1" applyBorder="1" applyAlignment="1" applyProtection="1">
      <alignment horizontal="center"/>
      <protection locked="0"/>
    </xf>
    <xf numFmtId="0" fontId="2" fillId="12" borderId="4" xfId="0" applyFont="1" applyFill="1" applyBorder="1"/>
    <xf numFmtId="0" fontId="0" fillId="4" borderId="4" xfId="0" applyFill="1" applyBorder="1" applyProtection="1">
      <protection locked="0"/>
    </xf>
    <xf numFmtId="0" fontId="40" fillId="12" borderId="11" xfId="0" applyFont="1" applyFill="1" applyBorder="1"/>
    <xf numFmtId="0" fontId="0" fillId="4" borderId="10" xfId="0" applyFill="1" applyBorder="1" applyProtection="1">
      <protection locked="0"/>
    </xf>
    <xf numFmtId="0" fontId="31" fillId="12" borderId="2" xfId="0" applyFont="1" applyFill="1" applyBorder="1"/>
    <xf numFmtId="0" fontId="0" fillId="4" borderId="10" xfId="0" applyFill="1" applyBorder="1" applyAlignment="1" applyProtection="1">
      <alignment horizontal="center"/>
      <protection locked="0"/>
    </xf>
    <xf numFmtId="0" fontId="0" fillId="4" borderId="22" xfId="0" applyFill="1" applyBorder="1" applyProtection="1">
      <protection locked="0"/>
    </xf>
    <xf numFmtId="0" fontId="30" fillId="12" borderId="2" xfId="0" applyFont="1" applyFill="1" applyBorder="1"/>
    <xf numFmtId="0" fontId="31" fillId="16" borderId="11" xfId="0" applyFont="1" applyFill="1" applyBorder="1"/>
    <xf numFmtId="0" fontId="25" fillId="16" borderId="10" xfId="0" applyFont="1" applyFill="1" applyBorder="1" applyAlignment="1">
      <alignment vertical="center"/>
    </xf>
    <xf numFmtId="0" fontId="31" fillId="16" borderId="11" xfId="0" applyFont="1" applyFill="1" applyBorder="1" applyAlignment="1">
      <alignment vertical="top"/>
    </xf>
    <xf numFmtId="0" fontId="25" fillId="16" borderId="10" xfId="0" applyFont="1" applyFill="1" applyBorder="1" applyAlignment="1">
      <alignment horizontal="center" vertical="top"/>
    </xf>
    <xf numFmtId="0" fontId="19" fillId="12" borderId="2" xfId="0" applyFont="1" applyFill="1" applyBorder="1"/>
    <xf numFmtId="1" fontId="3" fillId="0" borderId="1" xfId="0" applyNumberFormat="1" applyFont="1" applyBorder="1" applyAlignment="1" applyProtection="1">
      <alignment horizontal="center" vertical="center"/>
      <protection locked="0"/>
    </xf>
    <xf numFmtId="0" fontId="19" fillId="12" borderId="4" xfId="0" applyFont="1" applyFill="1" applyBorder="1"/>
    <xf numFmtId="0" fontId="41" fillId="17" borderId="0" xfId="0" applyFont="1" applyFill="1" applyAlignment="1">
      <alignment vertical="top"/>
    </xf>
    <xf numFmtId="0" fontId="0" fillId="17" borderId="0" xfId="0" applyFill="1"/>
    <xf numFmtId="0" fontId="20" fillId="17" borderId="0" xfId="0" applyFont="1" applyFill="1"/>
    <xf numFmtId="0" fontId="0" fillId="17" borderId="1" xfId="0" applyFill="1" applyBorder="1"/>
    <xf numFmtId="0" fontId="0" fillId="17" borderId="3" xfId="0" applyFill="1" applyBorder="1"/>
    <xf numFmtId="0" fontId="2" fillId="17" borderId="1" xfId="0" applyFont="1" applyFill="1" applyBorder="1"/>
    <xf numFmtId="0" fontId="10" fillId="17" borderId="0" xfId="0" applyFont="1" applyFill="1"/>
    <xf numFmtId="0" fontId="11" fillId="17" borderId="5" xfId="0" applyFont="1" applyFill="1" applyBorder="1"/>
    <xf numFmtId="0" fontId="0" fillId="17" borderId="8" xfId="0" applyFill="1" applyBorder="1"/>
    <xf numFmtId="0" fontId="2" fillId="17" borderId="6" xfId="0" applyFont="1" applyFill="1" applyBorder="1" applyAlignment="1">
      <alignment horizontal="right"/>
    </xf>
    <xf numFmtId="0" fontId="0" fillId="17" borderId="7" xfId="0" applyFill="1" applyBorder="1"/>
    <xf numFmtId="0" fontId="0" fillId="17" borderId="11" xfId="0" applyFill="1" applyBorder="1"/>
    <xf numFmtId="0" fontId="2" fillId="17" borderId="6" xfId="0" applyFont="1" applyFill="1" applyBorder="1" applyAlignment="1">
      <alignment horizontal="center"/>
    </xf>
    <xf numFmtId="0" fontId="0" fillId="17" borderId="7" xfId="0" applyFill="1" applyBorder="1" applyAlignment="1">
      <alignment horizontal="center"/>
    </xf>
    <xf numFmtId="0" fontId="17" fillId="17" borderId="2" xfId="0" applyFont="1" applyFill="1" applyBorder="1"/>
    <xf numFmtId="0" fontId="34" fillId="17" borderId="1" xfId="0" applyFont="1" applyFill="1" applyBorder="1"/>
    <xf numFmtId="0" fontId="39" fillId="17" borderId="1" xfId="0" applyFont="1" applyFill="1" applyBorder="1" applyAlignment="1">
      <alignment horizontal="center" vertical="center"/>
    </xf>
    <xf numFmtId="0" fontId="18" fillId="18" borderId="1" xfId="0" applyFont="1" applyFill="1" applyBorder="1" applyAlignment="1">
      <alignment horizontal="center"/>
    </xf>
    <xf numFmtId="0" fontId="2" fillId="17" borderId="0" xfId="0" applyFont="1" applyFill="1" applyAlignment="1">
      <alignment horizontal="center"/>
    </xf>
    <xf numFmtId="0" fontId="9" fillId="17" borderId="0" xfId="0" applyFont="1" applyFill="1"/>
    <xf numFmtId="0" fontId="47" fillId="17" borderId="0" xfId="0" applyFont="1" applyFill="1"/>
    <xf numFmtId="0" fontId="23" fillId="9" borderId="12" xfId="0" applyFont="1" applyFill="1" applyBorder="1"/>
    <xf numFmtId="0" fontId="0" fillId="9" borderId="23" xfId="0" applyFill="1" applyBorder="1"/>
    <xf numFmtId="0" fontId="0" fillId="9" borderId="6" xfId="0" applyFill="1" applyBorder="1"/>
    <xf numFmtId="0" fontId="23" fillId="9" borderId="13" xfId="0" applyFont="1" applyFill="1" applyBorder="1"/>
    <xf numFmtId="0" fontId="23" fillId="9" borderId="14" xfId="0" applyFont="1" applyFill="1" applyBorder="1"/>
    <xf numFmtId="0" fontId="0" fillId="9" borderId="24" xfId="0" applyFill="1" applyBorder="1"/>
    <xf numFmtId="0" fontId="0" fillId="9" borderId="7" xfId="0" applyFill="1" applyBorder="1"/>
    <xf numFmtId="0" fontId="0" fillId="9" borderId="22" xfId="0" applyFill="1" applyBorder="1"/>
    <xf numFmtId="0" fontId="28" fillId="17" borderId="0" xfId="0" applyFont="1" applyFill="1"/>
    <xf numFmtId="0" fontId="44" fillId="17" borderId="0" xfId="0" applyFont="1" applyFill="1"/>
    <xf numFmtId="0" fontId="46" fillId="17" borderId="0" xfId="0" applyFont="1" applyFill="1"/>
    <xf numFmtId="0" fontId="18" fillId="18" borderId="2" xfId="0" applyFont="1" applyFill="1" applyBorder="1" applyAlignment="1">
      <alignment horizontal="center"/>
    </xf>
    <xf numFmtId="0" fontId="29" fillId="17" borderId="0" xfId="0" applyFont="1" applyFill="1"/>
    <xf numFmtId="0" fontId="21" fillId="17" borderId="0" xfId="0" applyFont="1" applyFill="1"/>
    <xf numFmtId="0" fontId="24" fillId="17" borderId="0" xfId="0" applyFont="1" applyFill="1" applyAlignment="1">
      <alignment horizontal="center" vertical="center"/>
    </xf>
    <xf numFmtId="0" fontId="22" fillId="18" borderId="11" xfId="0" applyFont="1" applyFill="1" applyBorder="1"/>
    <xf numFmtId="0" fontId="48" fillId="18" borderId="2" xfId="0" applyFont="1" applyFill="1" applyBorder="1" applyAlignment="1">
      <alignment horizontal="center" vertical="center"/>
    </xf>
    <xf numFmtId="0" fontId="18" fillId="9" borderId="27" xfId="0" applyFont="1" applyFill="1" applyBorder="1" applyAlignment="1">
      <alignment horizontal="center"/>
    </xf>
    <xf numFmtId="0" fontId="18" fillId="9" borderId="28" xfId="0" applyFont="1" applyFill="1" applyBorder="1" applyAlignment="1">
      <alignment horizontal="center"/>
    </xf>
    <xf numFmtId="0" fontId="49" fillId="9" borderId="29" xfId="0" applyFont="1" applyFill="1" applyBorder="1" applyAlignment="1">
      <alignment horizontal="center"/>
    </xf>
    <xf numFmtId="0" fontId="21" fillId="17" borderId="0" xfId="0" applyFont="1" applyFill="1" applyAlignment="1">
      <alignment horizontal="center"/>
    </xf>
    <xf numFmtId="0" fontId="0" fillId="19" borderId="12" xfId="0" applyFill="1" applyBorder="1"/>
    <xf numFmtId="0" fontId="0" fillId="19" borderId="13" xfId="0" applyFill="1" applyBorder="1"/>
    <xf numFmtId="0" fontId="0" fillId="19" borderId="14" xfId="0" applyFill="1" applyBorder="1"/>
    <xf numFmtId="0" fontId="0" fillId="19" borderId="23" xfId="0" applyFill="1" applyBorder="1"/>
    <xf numFmtId="0" fontId="0" fillId="19" borderId="24" xfId="0" applyFill="1" applyBorder="1"/>
    <xf numFmtId="0" fontId="0" fillId="19" borderId="23" xfId="0" applyFill="1" applyBorder="1" applyAlignment="1">
      <alignment horizontal="left"/>
    </xf>
    <xf numFmtId="0" fontId="0" fillId="19" borderId="0" xfId="0" applyFill="1"/>
    <xf numFmtId="0" fontId="0" fillId="19" borderId="6" xfId="0" applyFill="1" applyBorder="1"/>
    <xf numFmtId="0" fontId="0" fillId="19" borderId="22" xfId="0" applyFill="1" applyBorder="1"/>
    <xf numFmtId="0" fontId="0" fillId="19" borderId="7" xfId="0" applyFill="1" applyBorder="1"/>
    <xf numFmtId="0" fontId="50" fillId="18" borderId="2" xfId="0" applyFont="1" applyFill="1" applyBorder="1" applyAlignment="1">
      <alignment horizontal="center" vertical="center" wrapText="1"/>
    </xf>
    <xf numFmtId="0" fontId="52" fillId="18" borderId="2" xfId="0" applyFont="1" applyFill="1" applyBorder="1" applyAlignment="1">
      <alignment horizontal="center" vertical="center" wrapText="1"/>
    </xf>
    <xf numFmtId="0" fontId="0" fillId="0" borderId="30" xfId="0" applyBorder="1"/>
    <xf numFmtId="1" fontId="0" fillId="0" borderId="31" xfId="0" applyNumberFormat="1" applyBorder="1"/>
    <xf numFmtId="0" fontId="0" fillId="0" borderId="31" xfId="0" applyBorder="1"/>
    <xf numFmtId="0" fontId="0" fillId="0" borderId="32" xfId="0" applyBorder="1"/>
    <xf numFmtId="0" fontId="0" fillId="3" borderId="9" xfId="0" applyFill="1" applyBorder="1"/>
    <xf numFmtId="0" fontId="0" fillId="3" borderId="1" xfId="0" applyFill="1" applyBorder="1"/>
    <xf numFmtId="0" fontId="19" fillId="12" borderId="11" xfId="0" applyFont="1" applyFill="1" applyBorder="1"/>
    <xf numFmtId="0" fontId="0" fillId="21" borderId="0" xfId="0" applyFill="1"/>
    <xf numFmtId="0" fontId="48" fillId="5" borderId="2" xfId="0" applyFont="1" applyFill="1" applyBorder="1" applyAlignment="1">
      <alignment horizontal="center" vertical="center"/>
    </xf>
    <xf numFmtId="0" fontId="0" fillId="19" borderId="11" xfId="0" applyFill="1" applyBorder="1"/>
    <xf numFmtId="0" fontId="0" fillId="19" borderId="26" xfId="0" applyFill="1" applyBorder="1"/>
    <xf numFmtId="0" fontId="57" fillId="19" borderId="5" xfId="0" applyFont="1" applyFill="1" applyBorder="1" applyAlignment="1">
      <alignment horizontal="right"/>
    </xf>
    <xf numFmtId="0" fontId="13" fillId="11" borderId="6" xfId="0" applyFont="1" applyFill="1" applyBorder="1"/>
    <xf numFmtId="0" fontId="0" fillId="11" borderId="6" xfId="0" applyFill="1" applyBorder="1"/>
    <xf numFmtId="0" fontId="0" fillId="11" borderId="6" xfId="0" applyFill="1" applyBorder="1" applyAlignment="1">
      <alignment horizontal="right"/>
    </xf>
    <xf numFmtId="0" fontId="2" fillId="19" borderId="7" xfId="0" applyFont="1" applyFill="1" applyBorder="1" applyAlignment="1">
      <alignment horizontal="right"/>
    </xf>
    <xf numFmtId="0" fontId="54" fillId="19" borderId="26" xfId="0" applyFont="1" applyFill="1" applyBorder="1" applyAlignment="1">
      <alignment horizontal="center" vertical="center"/>
    </xf>
    <xf numFmtId="0" fontId="2" fillId="19" borderId="14" xfId="0" applyFont="1" applyFill="1" applyBorder="1" applyAlignment="1">
      <alignment horizontal="right"/>
    </xf>
    <xf numFmtId="0" fontId="54" fillId="19" borderId="11" xfId="0" applyFont="1" applyFill="1" applyBorder="1" applyAlignment="1">
      <alignment horizontal="center" vertical="center"/>
    </xf>
    <xf numFmtId="0" fontId="39" fillId="22" borderId="1" xfId="0" applyFont="1" applyFill="1" applyBorder="1" applyAlignment="1">
      <alignment horizontal="center" vertical="center"/>
    </xf>
    <xf numFmtId="0" fontId="59" fillId="23" borderId="1" xfId="0" applyFont="1" applyFill="1" applyBorder="1" applyAlignment="1">
      <alignment horizontal="center"/>
    </xf>
    <xf numFmtId="0" fontId="65" fillId="23" borderId="5" xfId="0" applyFont="1" applyFill="1" applyBorder="1" applyAlignment="1">
      <alignment horizontal="right"/>
    </xf>
    <xf numFmtId="0" fontId="64" fillId="23" borderId="11" xfId="0" applyFont="1" applyFill="1" applyBorder="1"/>
    <xf numFmtId="0" fontId="64" fillId="23" borderId="13" xfId="0" applyFont="1" applyFill="1" applyBorder="1"/>
    <xf numFmtId="0" fontId="64" fillId="23" borderId="14" xfId="0" applyFont="1" applyFill="1" applyBorder="1"/>
    <xf numFmtId="0" fontId="64" fillId="23" borderId="26" xfId="0" applyFont="1" applyFill="1" applyBorder="1"/>
    <xf numFmtId="0" fontId="64" fillId="23" borderId="0" xfId="0" applyFont="1" applyFill="1"/>
    <xf numFmtId="0" fontId="64" fillId="23" borderId="24" xfId="0" applyFont="1" applyFill="1" applyBorder="1"/>
    <xf numFmtId="0" fontId="65" fillId="23" borderId="11" xfId="0" applyFont="1" applyFill="1" applyBorder="1" applyAlignment="1">
      <alignment horizontal="center" vertical="center"/>
    </xf>
    <xf numFmtId="0" fontId="65" fillId="23" borderId="26" xfId="0" applyFont="1" applyFill="1" applyBorder="1" applyAlignment="1">
      <alignment horizontal="center" vertical="center"/>
    </xf>
    <xf numFmtId="0" fontId="64" fillId="22" borderId="12" xfId="0" applyFont="1" applyFill="1" applyBorder="1" applyAlignment="1">
      <alignment horizontal="center"/>
    </xf>
    <xf numFmtId="0" fontId="65" fillId="22" borderId="14" xfId="0" applyFont="1" applyFill="1" applyBorder="1" applyAlignment="1">
      <alignment horizontal="center"/>
    </xf>
    <xf numFmtId="0" fontId="65" fillId="22" borderId="7" xfId="0" applyFont="1" applyFill="1" applyBorder="1" applyAlignment="1">
      <alignment horizontal="center"/>
    </xf>
    <xf numFmtId="0" fontId="67" fillId="23" borderId="2" xfId="0" applyFont="1" applyFill="1" applyBorder="1" applyAlignment="1">
      <alignment horizontal="center" vertical="center" wrapText="1"/>
    </xf>
    <xf numFmtId="0" fontId="68" fillId="23" borderId="2" xfId="0" applyFont="1" applyFill="1" applyBorder="1" applyAlignment="1">
      <alignment horizontal="center" vertical="center" wrapText="1"/>
    </xf>
    <xf numFmtId="0" fontId="70" fillId="21" borderId="1" xfId="0" applyFont="1" applyFill="1" applyBorder="1" applyAlignment="1">
      <alignment horizontal="center" vertical="center"/>
    </xf>
    <xf numFmtId="0" fontId="71" fillId="21" borderId="6" xfId="0" applyFont="1" applyFill="1" applyBorder="1"/>
    <xf numFmtId="0" fontId="55" fillId="21" borderId="6" xfId="0" applyFont="1" applyFill="1" applyBorder="1"/>
    <xf numFmtId="0" fontId="55" fillId="21" borderId="6" xfId="0" applyFont="1" applyFill="1" applyBorder="1" applyAlignment="1">
      <alignment horizontal="right"/>
    </xf>
    <xf numFmtId="0" fontId="55" fillId="21" borderId="10" xfId="1" applyFont="1" applyFill="1" applyBorder="1" applyAlignment="1">
      <alignment horizontal="center" vertical="center"/>
    </xf>
    <xf numFmtId="14" fontId="55" fillId="21" borderId="10" xfId="1" applyNumberFormat="1" applyFont="1" applyFill="1" applyBorder="1" applyAlignment="1">
      <alignment horizontal="right" vertical="center"/>
    </xf>
    <xf numFmtId="0" fontId="71" fillId="21" borderId="2" xfId="0" applyFont="1" applyFill="1" applyBorder="1" applyAlignment="1">
      <alignment horizontal="center" vertical="center"/>
    </xf>
    <xf numFmtId="0" fontId="0" fillId="3" borderId="23" xfId="0" applyFill="1" applyBorder="1"/>
    <xf numFmtId="0" fontId="0" fillId="24" borderId="14" xfId="0" applyFill="1" applyBorder="1"/>
    <xf numFmtId="0" fontId="0" fillId="24" borderId="24" xfId="0" applyFill="1" applyBorder="1"/>
    <xf numFmtId="0" fontId="0" fillId="24" borderId="7" xfId="0" applyFill="1" applyBorder="1"/>
    <xf numFmtId="0" fontId="0" fillId="24" borderId="12" xfId="0" applyFill="1" applyBorder="1"/>
    <xf numFmtId="0" fontId="0" fillId="24" borderId="13" xfId="0" applyFill="1" applyBorder="1"/>
    <xf numFmtId="0" fontId="0" fillId="24" borderId="23" xfId="0" applyFill="1" applyBorder="1"/>
    <xf numFmtId="0" fontId="0" fillId="24" borderId="23" xfId="0" applyFill="1" applyBorder="1" applyAlignment="1">
      <alignment horizontal="left"/>
    </xf>
    <xf numFmtId="0" fontId="0" fillId="24" borderId="22" xfId="0" applyFill="1" applyBorder="1"/>
    <xf numFmtId="0" fontId="0" fillId="24" borderId="6" xfId="0" applyFill="1" applyBorder="1"/>
    <xf numFmtId="0" fontId="63" fillId="5" borderId="0" xfId="0" applyFont="1" applyFill="1" applyAlignment="1">
      <alignment vertical="top"/>
    </xf>
    <xf numFmtId="0" fontId="39" fillId="5" borderId="1" xfId="0" applyFont="1" applyFill="1" applyBorder="1" applyAlignment="1">
      <alignment horizontal="center" vertical="center"/>
    </xf>
    <xf numFmtId="0" fontId="72" fillId="8" borderId="0" xfId="0" applyFont="1" applyFill="1" applyAlignment="1">
      <alignment horizontal="right"/>
    </xf>
    <xf numFmtId="0" fontId="66" fillId="22" borderId="6" xfId="0" applyFont="1" applyFill="1" applyBorder="1" applyAlignment="1">
      <alignment horizontal="left" vertical="top"/>
    </xf>
    <xf numFmtId="0" fontId="69" fillId="21" borderId="33" xfId="0" applyFont="1" applyFill="1" applyBorder="1" applyAlignment="1">
      <alignment vertical="center"/>
    </xf>
    <xf numFmtId="0" fontId="69" fillId="21" borderId="9" xfId="0" applyFont="1" applyFill="1" applyBorder="1" applyAlignment="1">
      <alignment vertical="center"/>
    </xf>
    <xf numFmtId="0" fontId="69" fillId="21" borderId="3" xfId="0" applyFont="1" applyFill="1" applyBorder="1" applyAlignment="1">
      <alignment vertical="center"/>
    </xf>
    <xf numFmtId="0" fontId="73" fillId="4" borderId="2" xfId="0" applyFont="1" applyFill="1" applyBorder="1" applyProtection="1">
      <protection locked="0"/>
    </xf>
    <xf numFmtId="22" fontId="0" fillId="0" borderId="1" xfId="0" applyNumberFormat="1" applyBorder="1"/>
    <xf numFmtId="22" fontId="0" fillId="0" borderId="0" xfId="0" applyNumberFormat="1"/>
    <xf numFmtId="0" fontId="7" fillId="26" borderId="0" xfId="0" applyFont="1" applyFill="1"/>
    <xf numFmtId="0" fontId="0" fillId="26" borderId="0" xfId="0" applyFill="1"/>
    <xf numFmtId="0" fontId="7" fillId="27" borderId="0" xfId="0" applyFont="1" applyFill="1"/>
    <xf numFmtId="0" fontId="0" fillId="27" borderId="0" xfId="0" applyFill="1"/>
    <xf numFmtId="0" fontId="7" fillId="17" borderId="0" xfId="0" applyFont="1" applyFill="1"/>
    <xf numFmtId="0" fontId="0" fillId="0" borderId="8" xfId="0" applyBorder="1"/>
    <xf numFmtId="0" fontId="4" fillId="0" borderId="4" xfId="0" applyFont="1" applyBorder="1" applyAlignment="1">
      <alignment vertical="center"/>
    </xf>
    <xf numFmtId="0" fontId="7" fillId="0" borderId="5" xfId="0" applyFont="1" applyBorder="1" applyAlignment="1">
      <alignment vertical="center"/>
    </xf>
    <xf numFmtId="0" fontId="4" fillId="26" borderId="0" xfId="0" applyFont="1" applyFill="1"/>
    <xf numFmtId="0" fontId="4" fillId="27" borderId="0" xfId="0" applyFont="1" applyFill="1"/>
    <xf numFmtId="0" fontId="4" fillId="27" borderId="0" xfId="0" applyFont="1" applyFill="1" applyAlignment="1">
      <alignment vertical="center"/>
    </xf>
    <xf numFmtId="0" fontId="4" fillId="17" borderId="0" xfId="0" applyFont="1" applyFill="1" applyAlignment="1">
      <alignment vertical="center"/>
    </xf>
    <xf numFmtId="0" fontId="7" fillId="28" borderId="0" xfId="0" applyFont="1" applyFill="1"/>
    <xf numFmtId="0" fontId="4" fillId="28" borderId="0" xfId="0" applyFont="1" applyFill="1"/>
    <xf numFmtId="0" fontId="0" fillId="28" borderId="0" xfId="0" applyFill="1"/>
    <xf numFmtId="0" fontId="7" fillId="28" borderId="0" xfId="0" applyFont="1" applyFill="1" applyAlignment="1">
      <alignment vertical="center"/>
    </xf>
    <xf numFmtId="0" fontId="32" fillId="28" borderId="0" xfId="0" applyFont="1" applyFill="1" applyAlignment="1">
      <alignment vertical="center"/>
    </xf>
    <xf numFmtId="0" fontId="3" fillId="0" borderId="8" xfId="0" applyFont="1" applyBorder="1" applyAlignment="1">
      <alignment horizontal="left" vertical="center"/>
    </xf>
    <xf numFmtId="0" fontId="7" fillId="0" borderId="0" xfId="0" applyFont="1"/>
    <xf numFmtId="0" fontId="75" fillId="0" borderId="0" xfId="0" applyFont="1" applyAlignment="1">
      <alignment vertical="top"/>
    </xf>
    <xf numFmtId="0" fontId="95" fillId="8" borderId="2" xfId="0" applyFont="1" applyFill="1" applyBorder="1"/>
    <xf numFmtId="0" fontId="95" fillId="8" borderId="5" xfId="0" applyFont="1" applyFill="1" applyBorder="1"/>
    <xf numFmtId="0" fontId="95" fillId="8" borderId="0" xfId="0" applyFont="1" applyFill="1"/>
    <xf numFmtId="22" fontId="0" fillId="17" borderId="2" xfId="0" applyNumberFormat="1" applyFill="1" applyBorder="1"/>
    <xf numFmtId="0" fontId="64" fillId="29" borderId="2" xfId="0" applyFont="1" applyFill="1" applyBorder="1"/>
    <xf numFmtId="0" fontId="2" fillId="17" borderId="5" xfId="0" applyFont="1" applyFill="1" applyBorder="1" applyAlignment="1">
      <alignment horizontal="center"/>
    </xf>
    <xf numFmtId="0" fontId="0" fillId="17" borderId="8" xfId="0" applyFill="1" applyBorder="1" applyAlignment="1">
      <alignment horizontal="center"/>
    </xf>
    <xf numFmtId="0" fontId="2" fillId="24" borderId="24" xfId="0" applyFont="1" applyFill="1" applyBorder="1"/>
    <xf numFmtId="164" fontId="0" fillId="17" borderId="6" xfId="0" applyNumberFormat="1" applyFill="1" applyBorder="1"/>
    <xf numFmtId="0" fontId="0" fillId="17" borderId="2" xfId="0" applyFill="1" applyBorder="1"/>
    <xf numFmtId="0" fontId="56" fillId="19" borderId="22" xfId="0" applyFont="1" applyFill="1" applyBorder="1" applyAlignment="1">
      <alignment horizontal="left" vertical="top"/>
    </xf>
    <xf numFmtId="0" fontId="1" fillId="17" borderId="2" xfId="1" applyFill="1" applyBorder="1" applyAlignment="1">
      <alignment horizontal="center" vertical="center"/>
    </xf>
    <xf numFmtId="0" fontId="0" fillId="14" borderId="17" xfId="0" applyFill="1" applyBorder="1"/>
    <xf numFmtId="0" fontId="45" fillId="9" borderId="13" xfId="0" applyFont="1" applyFill="1" applyBorder="1"/>
    <xf numFmtId="0" fontId="0" fillId="3" borderId="12" xfId="0" applyFill="1" applyBorder="1"/>
    <xf numFmtId="0" fontId="0" fillId="3" borderId="14" xfId="0" applyFill="1" applyBorder="1"/>
    <xf numFmtId="0" fontId="0" fillId="3" borderId="24" xfId="0" applyFill="1" applyBorder="1"/>
    <xf numFmtId="0" fontId="0" fillId="24" borderId="0" xfId="0" applyFill="1"/>
    <xf numFmtId="0" fontId="23" fillId="17" borderId="2" xfId="0" applyFont="1" applyFill="1" applyBorder="1"/>
    <xf numFmtId="0" fontId="47" fillId="17" borderId="2" xfId="0" applyFont="1" applyFill="1" applyBorder="1" applyAlignment="1">
      <alignment wrapText="1"/>
    </xf>
    <xf numFmtId="165" fontId="1" fillId="17" borderId="2" xfId="1" applyNumberFormat="1" applyFill="1" applyBorder="1" applyAlignment="1">
      <alignment horizontal="center" vertical="center"/>
    </xf>
    <xf numFmtId="0" fontId="29" fillId="17" borderId="0" xfId="0" applyFont="1" applyFill="1" applyAlignment="1">
      <alignment vertical="top" wrapText="1"/>
    </xf>
    <xf numFmtId="1" fontId="64" fillId="29" borderId="2" xfId="0" applyNumberFormat="1" applyFont="1" applyFill="1" applyBorder="1"/>
    <xf numFmtId="0" fontId="55" fillId="4" borderId="2" xfId="0" applyFont="1" applyFill="1" applyBorder="1" applyProtection="1">
      <protection locked="0"/>
    </xf>
    <xf numFmtId="49" fontId="3" fillId="0" borderId="1" xfId="0" applyNumberFormat="1" applyFont="1" applyBorder="1" applyAlignment="1" applyProtection="1">
      <alignment horizontal="center" vertical="center"/>
      <protection locked="0"/>
    </xf>
    <xf numFmtId="49" fontId="0" fillId="0" borderId="31" xfId="0" applyNumberFormat="1" applyBorder="1"/>
    <xf numFmtId="49" fontId="0" fillId="0" borderId="0" xfId="0" applyNumberFormat="1"/>
    <xf numFmtId="49" fontId="0" fillId="21" borderId="0" xfId="0" applyNumberFormat="1" applyFill="1"/>
    <xf numFmtId="49" fontId="0" fillId="0" borderId="4" xfId="0" applyNumberFormat="1" applyBorder="1"/>
    <xf numFmtId="49" fontId="0" fillId="0" borderId="5" xfId="0" applyNumberFormat="1" applyBorder="1"/>
    <xf numFmtId="0" fontId="0" fillId="0" borderId="31" xfId="0" applyNumberFormat="1" applyBorder="1"/>
    <xf numFmtId="0" fontId="48" fillId="18" borderId="5" xfId="0" applyFont="1" applyFill="1" applyBorder="1" applyAlignment="1">
      <alignment horizontal="center"/>
    </xf>
    <xf numFmtId="0" fontId="48" fillId="18" borderId="8" xfId="0" applyFont="1" applyFill="1" applyBorder="1" applyAlignment="1">
      <alignment horizontal="center"/>
    </xf>
    <xf numFmtId="0" fontId="74" fillId="17" borderId="0" xfId="0" applyFont="1" applyFill="1" applyAlignment="1">
      <alignment horizontal="center" vertical="center"/>
    </xf>
    <xf numFmtId="0" fontId="48" fillId="18" borderId="5" xfId="0" applyFont="1" applyFill="1" applyBorder="1" applyAlignment="1">
      <alignment horizontal="center" vertical="center"/>
    </xf>
    <xf numFmtId="0" fontId="48" fillId="18" borderId="4" xfId="0" applyFont="1" applyFill="1" applyBorder="1" applyAlignment="1">
      <alignment horizontal="center" vertical="center"/>
    </xf>
    <xf numFmtId="0" fontId="48" fillId="18" borderId="8" xfId="0" applyFont="1" applyFill="1" applyBorder="1" applyAlignment="1">
      <alignment horizontal="center" vertical="center"/>
    </xf>
    <xf numFmtId="0" fontId="98" fillId="26" borderId="5" xfId="0" applyFont="1" applyFill="1" applyBorder="1" applyAlignment="1">
      <alignment horizontal="center"/>
    </xf>
    <xf numFmtId="0" fontId="98" fillId="26" borderId="4" xfId="0" applyFont="1" applyFill="1" applyBorder="1" applyAlignment="1">
      <alignment horizontal="center"/>
    </xf>
    <xf numFmtId="0" fontId="98" fillId="26" borderId="8" xfId="0" applyFont="1" applyFill="1" applyBorder="1" applyAlignment="1">
      <alignment horizontal="center"/>
    </xf>
    <xf numFmtId="0" fontId="48" fillId="5" borderId="11" xfId="0" applyFont="1" applyFill="1" applyBorder="1" applyAlignment="1">
      <alignment horizontal="center" vertical="center"/>
    </xf>
    <xf numFmtId="0" fontId="48" fillId="5" borderId="26" xfId="0" applyFont="1" applyFill="1" applyBorder="1" applyAlignment="1">
      <alignment horizontal="center" vertical="center"/>
    </xf>
    <xf numFmtId="0" fontId="48" fillId="5" borderId="10" xfId="0" applyFont="1" applyFill="1" applyBorder="1" applyAlignment="1">
      <alignment horizontal="center" vertical="center"/>
    </xf>
    <xf numFmtId="0" fontId="50" fillId="20" borderId="6" xfId="0" applyFont="1" applyFill="1" applyBorder="1" applyAlignment="1">
      <alignment horizontal="center" vertical="center"/>
    </xf>
    <xf numFmtId="0" fontId="50" fillId="20" borderId="22" xfId="0" applyFont="1" applyFill="1" applyBorder="1" applyAlignment="1">
      <alignment horizontal="center" vertical="center"/>
    </xf>
    <xf numFmtId="0" fontId="50" fillId="20" borderId="7" xfId="0" applyFont="1" applyFill="1" applyBorder="1" applyAlignment="1">
      <alignment horizontal="center" vertical="center"/>
    </xf>
    <xf numFmtId="0" fontId="50" fillId="18" borderId="5" xfId="0" applyFont="1" applyFill="1" applyBorder="1" applyAlignment="1">
      <alignment horizontal="center" vertical="center" wrapText="1"/>
    </xf>
    <xf numFmtId="0" fontId="50" fillId="18" borderId="8" xfId="0" applyFont="1" applyFill="1" applyBorder="1" applyAlignment="1">
      <alignment horizontal="center" vertical="center" wrapText="1"/>
    </xf>
    <xf numFmtId="0" fontId="48" fillId="5" borderId="5" xfId="0" applyFont="1" applyFill="1" applyBorder="1" applyAlignment="1">
      <alignment horizontal="center" vertical="center"/>
    </xf>
    <xf numFmtId="0" fontId="48" fillId="5" borderId="8" xfId="0" applyFont="1" applyFill="1" applyBorder="1" applyAlignment="1">
      <alignment horizontal="center" vertical="center"/>
    </xf>
    <xf numFmtId="0" fontId="48" fillId="5" borderId="12" xfId="0" applyFont="1" applyFill="1" applyBorder="1" applyAlignment="1">
      <alignment horizontal="center" vertical="center" wrapText="1"/>
    </xf>
    <xf numFmtId="0" fontId="48" fillId="5" borderId="14" xfId="0" applyFont="1" applyFill="1" applyBorder="1" applyAlignment="1">
      <alignment horizontal="center" vertical="center" wrapText="1"/>
    </xf>
    <xf numFmtId="0" fontId="48" fillId="5" borderId="23" xfId="0" applyFont="1" applyFill="1" applyBorder="1" applyAlignment="1">
      <alignment horizontal="center" vertical="center" wrapText="1"/>
    </xf>
    <xf numFmtId="0" fontId="48" fillId="5" borderId="24" xfId="0" applyFont="1" applyFill="1" applyBorder="1" applyAlignment="1">
      <alignment horizontal="center" vertical="center" wrapText="1"/>
    </xf>
    <xf numFmtId="0" fontId="48" fillId="5" borderId="6" xfId="0" applyFont="1" applyFill="1" applyBorder="1" applyAlignment="1">
      <alignment horizontal="center" vertical="center" wrapText="1"/>
    </xf>
    <xf numFmtId="0" fontId="48" fillId="5" borderId="7" xfId="0" applyFont="1" applyFill="1" applyBorder="1" applyAlignment="1">
      <alignment horizontal="center" vertical="center" wrapText="1"/>
    </xf>
    <xf numFmtId="0" fontId="1" fillId="17" borderId="5" xfId="1" applyFill="1" applyBorder="1" applyAlignment="1">
      <alignment horizontal="center" vertical="center"/>
    </xf>
    <xf numFmtId="0" fontId="1" fillId="17" borderId="8" xfId="1" applyFill="1" applyBorder="1" applyAlignment="1">
      <alignment horizontal="center" vertical="center"/>
    </xf>
    <xf numFmtId="0" fontId="53" fillId="19" borderId="12" xfId="0" applyFont="1" applyFill="1" applyBorder="1" applyAlignment="1">
      <alignment horizontal="center" vertical="center"/>
    </xf>
    <xf numFmtId="0" fontId="53" fillId="19" borderId="14" xfId="0" applyFont="1" applyFill="1" applyBorder="1" applyAlignment="1">
      <alignment horizontal="center" vertical="center"/>
    </xf>
    <xf numFmtId="0" fontId="0" fillId="0" borderId="0" xfId="0" applyAlignment="1">
      <alignment horizontal="center"/>
    </xf>
    <xf numFmtId="0" fontId="58" fillId="19" borderId="0" xfId="0" applyFont="1" applyFill="1" applyAlignment="1">
      <alignment horizontal="left"/>
    </xf>
    <xf numFmtId="0" fontId="51" fillId="18" borderId="3" xfId="0" applyFont="1" applyFill="1" applyBorder="1" applyAlignment="1">
      <alignment horizontal="center"/>
    </xf>
    <xf numFmtId="0" fontId="51" fillId="18" borderId="9" xfId="0" applyFont="1" applyFill="1" applyBorder="1" applyAlignment="1">
      <alignment horizontal="center"/>
    </xf>
    <xf numFmtId="0" fontId="37" fillId="17" borderId="3" xfId="0" applyFont="1" applyFill="1" applyBorder="1" applyAlignment="1">
      <alignment horizontal="center" vertical="center" wrapText="1"/>
    </xf>
    <xf numFmtId="0" fontId="37" fillId="17" borderId="9" xfId="0" applyFont="1" applyFill="1" applyBorder="1" applyAlignment="1">
      <alignment horizontal="center" vertical="center" wrapText="1"/>
    </xf>
    <xf numFmtId="0" fontId="50" fillId="18" borderId="13" xfId="0" applyFont="1" applyFill="1" applyBorder="1" applyAlignment="1">
      <alignment horizontal="center" vertical="center" wrapText="1"/>
    </xf>
    <xf numFmtId="0" fontId="50" fillId="18" borderId="14" xfId="0" applyFont="1" applyFill="1" applyBorder="1" applyAlignment="1">
      <alignment horizontal="center" vertical="center" wrapText="1"/>
    </xf>
    <xf numFmtId="0" fontId="18" fillId="18" borderId="12" xfId="0" applyFont="1" applyFill="1" applyBorder="1" applyAlignment="1">
      <alignment horizontal="center"/>
    </xf>
    <xf numFmtId="0" fontId="18" fillId="18" borderId="13" xfId="0" applyFont="1" applyFill="1" applyBorder="1" applyAlignment="1">
      <alignment horizontal="center"/>
    </xf>
    <xf numFmtId="0" fontId="18" fillId="18" borderId="14" xfId="0" applyFont="1" applyFill="1" applyBorder="1" applyAlignment="1">
      <alignment horizontal="center"/>
    </xf>
    <xf numFmtId="0" fontId="22" fillId="18" borderId="5" xfId="0" applyFont="1" applyFill="1" applyBorder="1" applyAlignment="1">
      <alignment horizontal="center"/>
    </xf>
    <xf numFmtId="0" fontId="19" fillId="18" borderId="4" xfId="0" applyFont="1" applyFill="1" applyBorder="1" applyAlignment="1">
      <alignment horizontal="center"/>
    </xf>
    <xf numFmtId="0" fontId="19" fillId="18" borderId="8" xfId="0" applyFont="1" applyFill="1" applyBorder="1" applyAlignment="1">
      <alignment horizontal="center"/>
    </xf>
    <xf numFmtId="0" fontId="43" fillId="16" borderId="11" xfId="0" applyFont="1" applyFill="1" applyBorder="1" applyAlignment="1">
      <alignment horizontal="center" vertical="top" wrapText="1"/>
    </xf>
    <xf numFmtId="0" fontId="43" fillId="16" borderId="10" xfId="0" applyFont="1" applyFill="1" applyBorder="1" applyAlignment="1">
      <alignment horizontal="center" vertical="top" wrapText="1"/>
    </xf>
    <xf numFmtId="0" fontId="42" fillId="16" borderId="12" xfId="0" applyFont="1" applyFill="1" applyBorder="1" applyAlignment="1">
      <alignment horizontal="center" vertical="top" wrapText="1"/>
    </xf>
    <xf numFmtId="0" fontId="42" fillId="16" borderId="6" xfId="0" applyFont="1" applyFill="1" applyBorder="1" applyAlignment="1">
      <alignment horizontal="center" vertical="top" wrapText="1"/>
    </xf>
    <xf numFmtId="0" fontId="43" fillId="16" borderId="12" xfId="0" applyFont="1" applyFill="1" applyBorder="1" applyAlignment="1">
      <alignment horizontal="center" vertical="top" wrapText="1"/>
    </xf>
    <xf numFmtId="0" fontId="43" fillId="16" borderId="6" xfId="0" applyFont="1" applyFill="1" applyBorder="1" applyAlignment="1">
      <alignment horizontal="center" vertical="top" wrapText="1"/>
    </xf>
    <xf numFmtId="0" fontId="0" fillId="10" borderId="11" xfId="0" applyFill="1" applyBorder="1" applyAlignment="1">
      <alignment horizontal="center" wrapText="1"/>
    </xf>
    <xf numFmtId="0" fontId="0" fillId="10" borderId="10" xfId="0" applyFill="1" applyBorder="1" applyAlignment="1">
      <alignment horizontal="center" wrapText="1"/>
    </xf>
    <xf numFmtId="0" fontId="43" fillId="16" borderId="11" xfId="0" applyFont="1" applyFill="1" applyBorder="1" applyAlignment="1">
      <alignment horizontal="left" vertical="top" wrapText="1"/>
    </xf>
    <xf numFmtId="0" fontId="43" fillId="16" borderId="10" xfId="0" applyFont="1" applyFill="1" applyBorder="1" applyAlignment="1">
      <alignment horizontal="left" vertical="top" wrapText="1"/>
    </xf>
    <xf numFmtId="0" fontId="21" fillId="30" borderId="5" xfId="0" applyFont="1" applyFill="1" applyBorder="1" applyAlignment="1">
      <alignment horizontal="center"/>
    </xf>
    <xf numFmtId="0" fontId="21" fillId="30" borderId="4" xfId="0" applyFont="1" applyFill="1" applyBorder="1" applyAlignment="1">
      <alignment horizontal="center"/>
    </xf>
    <xf numFmtId="0" fontId="21" fillId="30" borderId="8" xfId="0" applyFont="1" applyFill="1" applyBorder="1" applyAlignment="1">
      <alignment horizontal="center"/>
    </xf>
    <xf numFmtId="0" fontId="71" fillId="21" borderId="12" xfId="0" applyFont="1" applyFill="1" applyBorder="1" applyAlignment="1">
      <alignment horizontal="center" vertical="center" wrapText="1"/>
    </xf>
    <xf numFmtId="0" fontId="71" fillId="21" borderId="14" xfId="0" applyFont="1" applyFill="1" applyBorder="1" applyAlignment="1">
      <alignment horizontal="center" vertical="center" wrapText="1"/>
    </xf>
    <xf numFmtId="0" fontId="71" fillId="21" borderId="23" xfId="0" applyFont="1" applyFill="1" applyBorder="1" applyAlignment="1">
      <alignment horizontal="center" vertical="center" wrapText="1"/>
    </xf>
    <xf numFmtId="0" fontId="71" fillId="21" borderId="24" xfId="0" applyFont="1" applyFill="1" applyBorder="1" applyAlignment="1">
      <alignment horizontal="center" vertical="center" wrapText="1"/>
    </xf>
    <xf numFmtId="0" fontId="71" fillId="21" borderId="6" xfId="0" applyFont="1" applyFill="1" applyBorder="1" applyAlignment="1">
      <alignment horizontal="center" vertical="center" wrapText="1"/>
    </xf>
    <xf numFmtId="0" fontId="71" fillId="21" borderId="7" xfId="0" applyFont="1" applyFill="1" applyBorder="1" applyAlignment="1">
      <alignment horizontal="center" vertical="center" wrapText="1"/>
    </xf>
    <xf numFmtId="0" fontId="71" fillId="21" borderId="11" xfId="0" applyFont="1" applyFill="1" applyBorder="1" applyAlignment="1">
      <alignment horizontal="center" vertical="center"/>
    </xf>
    <xf numFmtId="0" fontId="71" fillId="21" borderId="26" xfId="0" applyFont="1" applyFill="1" applyBorder="1" applyAlignment="1">
      <alignment horizontal="center" vertical="center"/>
    </xf>
    <xf numFmtId="0" fontId="71" fillId="21" borderId="10" xfId="0" applyFont="1" applyFill="1" applyBorder="1" applyAlignment="1">
      <alignment horizontal="center" vertical="center"/>
    </xf>
    <xf numFmtId="0" fontId="62" fillId="23" borderId="3" xfId="0" applyFont="1" applyFill="1" applyBorder="1" applyAlignment="1">
      <alignment horizontal="center"/>
    </xf>
    <xf numFmtId="0" fontId="62" fillId="23" borderId="9" xfId="0" applyFont="1" applyFill="1" applyBorder="1" applyAlignment="1">
      <alignment horizontal="center"/>
    </xf>
    <xf numFmtId="0" fontId="67" fillId="25" borderId="5" xfId="0" applyFont="1" applyFill="1" applyBorder="1" applyAlignment="1">
      <alignment horizontal="center" vertical="center"/>
    </xf>
    <xf numFmtId="0" fontId="67" fillId="25" borderId="4" xfId="0" applyFont="1" applyFill="1" applyBorder="1" applyAlignment="1">
      <alignment horizontal="center" vertical="center"/>
    </xf>
    <xf numFmtId="0" fontId="67" fillId="25" borderId="8" xfId="0" applyFont="1" applyFill="1" applyBorder="1" applyAlignment="1">
      <alignment horizontal="center" vertical="center"/>
    </xf>
    <xf numFmtId="0" fontId="37" fillId="22" borderId="3" xfId="0" applyFont="1" applyFill="1" applyBorder="1" applyAlignment="1">
      <alignment horizontal="center" vertical="center" wrapText="1"/>
    </xf>
    <xf numFmtId="0" fontId="37" fillId="22" borderId="9" xfId="0" applyFont="1" applyFill="1" applyBorder="1" applyAlignment="1">
      <alignment horizontal="center" vertical="center" wrapText="1"/>
    </xf>
    <xf numFmtId="0" fontId="67" fillId="23" borderId="5" xfId="0" applyFont="1" applyFill="1" applyBorder="1" applyAlignment="1">
      <alignment horizontal="center" vertical="center" wrapText="1"/>
    </xf>
    <xf numFmtId="0" fontId="67" fillId="23" borderId="8" xfId="0" applyFont="1" applyFill="1" applyBorder="1" applyAlignment="1">
      <alignment horizontal="center" vertical="center" wrapText="1"/>
    </xf>
    <xf numFmtId="0" fontId="55" fillId="21" borderId="6" xfId="1" applyFont="1" applyFill="1" applyBorder="1" applyAlignment="1">
      <alignment horizontal="center" vertical="center"/>
    </xf>
    <xf numFmtId="0" fontId="55" fillId="21" borderId="7" xfId="1" applyFont="1" applyFill="1" applyBorder="1" applyAlignment="1">
      <alignment horizontal="center" vertical="center"/>
    </xf>
    <xf numFmtId="0" fontId="67" fillId="23" borderId="13" xfId="0" applyFont="1" applyFill="1" applyBorder="1" applyAlignment="1">
      <alignment horizontal="center" vertical="center" wrapText="1"/>
    </xf>
    <xf numFmtId="0" fontId="67" fillId="23" borderId="14" xfId="0" applyFont="1" applyFill="1" applyBorder="1" applyAlignment="1">
      <alignment horizontal="center" vertical="center" wrapText="1"/>
    </xf>
    <xf numFmtId="0" fontId="71" fillId="21" borderId="5" xfId="0" applyFont="1" applyFill="1" applyBorder="1" applyAlignment="1">
      <alignment horizontal="center" vertical="center"/>
    </xf>
    <xf numFmtId="0" fontId="71" fillId="21" borderId="8" xfId="0" applyFont="1" applyFill="1" applyBorder="1" applyAlignment="1">
      <alignment horizontal="center" vertical="center"/>
    </xf>
    <xf numFmtId="0" fontId="65" fillId="23" borderId="12" xfId="0" applyFont="1" applyFill="1" applyBorder="1" applyAlignment="1">
      <alignment horizontal="center" vertical="center"/>
    </xf>
    <xf numFmtId="0" fontId="65" fillId="23" borderId="14" xfId="0" applyFont="1" applyFill="1" applyBorder="1" applyAlignment="1">
      <alignment horizontal="center" vertical="center"/>
    </xf>
    <xf numFmtId="0" fontId="55" fillId="3" borderId="4" xfId="0" applyFont="1" applyFill="1" applyBorder="1" applyAlignment="1">
      <alignment horizontal="center"/>
    </xf>
    <xf numFmtId="0" fontId="55" fillId="6" borderId="12" xfId="0" applyFont="1" applyFill="1" applyBorder="1" applyAlignment="1" applyProtection="1">
      <alignment horizontal="center"/>
      <protection locked="0"/>
    </xf>
    <xf numFmtId="0" fontId="55" fillId="6" borderId="14" xfId="0" applyFont="1" applyFill="1" applyBorder="1" applyAlignment="1" applyProtection="1">
      <alignment horizontal="center"/>
      <protection locked="0"/>
    </xf>
    <xf numFmtId="0" fontId="48" fillId="18" borderId="6" xfId="0" applyFont="1" applyFill="1" applyBorder="1" applyAlignment="1">
      <alignment horizontal="center" vertical="center"/>
    </xf>
    <xf numFmtId="0" fontId="48" fillId="18" borderId="22" xfId="0" applyFont="1" applyFill="1" applyBorder="1" applyAlignment="1">
      <alignment horizontal="center" vertical="center"/>
    </xf>
    <xf numFmtId="0" fontId="0" fillId="31" borderId="12" xfId="0" applyFill="1" applyBorder="1" applyAlignment="1">
      <alignment horizontal="center" vertical="top" wrapText="1"/>
    </xf>
    <xf numFmtId="0" fontId="0" fillId="31" borderId="13" xfId="0" applyFill="1" applyBorder="1" applyAlignment="1">
      <alignment horizontal="center" vertical="top" wrapText="1"/>
    </xf>
    <xf numFmtId="0" fontId="0" fillId="31" borderId="14" xfId="0" applyFill="1" applyBorder="1" applyAlignment="1">
      <alignment horizontal="center" vertical="top" wrapText="1"/>
    </xf>
    <xf numFmtId="0" fontId="0" fillId="31" borderId="23" xfId="0" applyFill="1" applyBorder="1" applyAlignment="1">
      <alignment horizontal="center" vertical="top" wrapText="1"/>
    </xf>
    <xf numFmtId="0" fontId="0" fillId="31" borderId="0" xfId="0" applyFill="1" applyAlignment="1">
      <alignment horizontal="center" vertical="top" wrapText="1"/>
    </xf>
    <xf numFmtId="0" fontId="0" fillId="31" borderId="24" xfId="0" applyFill="1" applyBorder="1" applyAlignment="1">
      <alignment horizontal="center" vertical="top" wrapText="1"/>
    </xf>
    <xf numFmtId="0" fontId="0" fillId="31" borderId="6" xfId="0" applyFill="1" applyBorder="1" applyAlignment="1">
      <alignment horizontal="center" vertical="top" wrapText="1"/>
    </xf>
    <xf numFmtId="0" fontId="0" fillId="31" borderId="22" xfId="0" applyFill="1" applyBorder="1" applyAlignment="1">
      <alignment horizontal="center" vertical="top" wrapText="1"/>
    </xf>
    <xf numFmtId="0" fontId="0" fillId="31" borderId="7" xfId="0" applyFill="1" applyBorder="1" applyAlignment="1">
      <alignment horizontal="center" vertical="top" wrapText="1"/>
    </xf>
    <xf numFmtId="0" fontId="48" fillId="18" borderId="23" xfId="0" applyFont="1" applyFill="1" applyBorder="1" applyAlignment="1">
      <alignment horizontal="center" vertical="center"/>
    </xf>
    <xf numFmtId="0" fontId="48" fillId="18" borderId="0" xfId="0" applyFont="1" applyFill="1" applyAlignment="1">
      <alignment horizontal="center" vertical="center"/>
    </xf>
    <xf numFmtId="0" fontId="97" fillId="32" borderId="12" xfId="1" applyFont="1" applyFill="1" applyBorder="1" applyAlignment="1" applyProtection="1">
      <alignment horizontal="center" vertical="center"/>
      <protection locked="0"/>
    </xf>
    <xf numFmtId="0" fontId="97" fillId="32" borderId="14" xfId="1" applyFont="1" applyFill="1" applyBorder="1" applyAlignment="1" applyProtection="1">
      <alignment horizontal="center" vertical="center"/>
      <protection locked="0"/>
    </xf>
    <xf numFmtId="0" fontId="97" fillId="32" borderId="6" xfId="1" applyFont="1" applyFill="1" applyBorder="1" applyAlignment="1" applyProtection="1">
      <alignment horizontal="center" vertical="center"/>
      <protection locked="0"/>
    </xf>
    <xf numFmtId="0" fontId="97" fillId="32" borderId="7" xfId="1" applyFont="1" applyFill="1" applyBorder="1" applyAlignment="1" applyProtection="1">
      <alignment horizontal="center" vertical="center"/>
      <protection locked="0"/>
    </xf>
    <xf numFmtId="0" fontId="96" fillId="32" borderId="12" xfId="0" applyFont="1" applyFill="1" applyBorder="1" applyAlignment="1" applyProtection="1">
      <alignment horizontal="center" vertical="center"/>
      <protection locked="0" hidden="1"/>
    </xf>
    <xf numFmtId="0" fontId="96" fillId="32" borderId="13" xfId="0" applyFont="1" applyFill="1" applyBorder="1" applyAlignment="1" applyProtection="1">
      <alignment horizontal="center" vertical="center"/>
      <protection locked="0" hidden="1"/>
    </xf>
    <xf numFmtId="0" fontId="96" fillId="32" borderId="14" xfId="0" applyFont="1" applyFill="1" applyBorder="1" applyAlignment="1" applyProtection="1">
      <alignment horizontal="center" vertical="center"/>
      <protection locked="0" hidden="1"/>
    </xf>
    <xf numFmtId="0" fontId="96" fillId="32" borderId="6" xfId="0" applyFont="1" applyFill="1" applyBorder="1" applyAlignment="1" applyProtection="1">
      <alignment horizontal="center" vertical="center"/>
      <protection locked="0" hidden="1"/>
    </xf>
    <xf numFmtId="0" fontId="96" fillId="32" borderId="22" xfId="0" applyFont="1" applyFill="1" applyBorder="1" applyAlignment="1" applyProtection="1">
      <alignment horizontal="center" vertical="center"/>
      <protection locked="0" hidden="1"/>
    </xf>
    <xf numFmtId="0" fontId="96" fillId="32" borderId="7" xfId="0" applyFont="1" applyFill="1" applyBorder="1" applyAlignment="1" applyProtection="1">
      <alignment horizontal="center" vertical="center"/>
      <protection locked="0" hidden="1"/>
    </xf>
  </cellXfs>
  <cellStyles count="2">
    <cellStyle name="Good" xfId="1" builtinId="26"/>
    <cellStyle name="Normal" xfId="0" builtinId="0"/>
  </cellStyles>
  <dxfs count="45">
    <dxf>
      <font>
        <color theme="5" tint="-0.499984740745262"/>
      </font>
      <fill>
        <patternFill>
          <bgColor theme="5" tint="0.79998168889431442"/>
        </patternFill>
      </fill>
      <border>
        <left style="thin">
          <color auto="1"/>
        </left>
        <right style="thin">
          <color auto="1"/>
        </right>
        <top style="thin">
          <color auto="1"/>
        </top>
        <bottom style="thin">
          <color auto="1"/>
        </bottom>
      </border>
    </dxf>
    <dxf>
      <font>
        <color theme="9" tint="-0.24994659260841701"/>
      </font>
      <fill>
        <patternFill>
          <bgColor rgb="FFFFFF00"/>
        </patternFill>
      </fill>
    </dxf>
    <dxf>
      <font>
        <condense val="0"/>
        <extend val="0"/>
        <color rgb="FF006100"/>
      </font>
      <fill>
        <patternFill>
          <bgColor rgb="FFC6EFCE"/>
        </patternFill>
      </fill>
    </dxf>
    <dxf>
      <font>
        <color theme="9" tint="-0.24994659260841701"/>
      </font>
      <fill>
        <patternFill>
          <bgColor rgb="FFFFFF00"/>
        </patternFill>
      </fill>
      <border>
        <left style="thin">
          <color auto="1"/>
        </left>
        <right style="thin">
          <color auto="1"/>
        </right>
        <top style="thin">
          <color auto="1"/>
        </top>
        <bottom style="thin">
          <color auto="1"/>
        </bottom>
        <vertical/>
        <horizontal/>
      </border>
    </dxf>
    <dxf>
      <fill>
        <patternFill>
          <bgColor rgb="FFFF3300"/>
        </patternFill>
      </fill>
    </dxf>
    <dxf>
      <fill>
        <patternFill>
          <bgColor rgb="FF99FF33"/>
        </patternFill>
      </fill>
    </dxf>
    <dxf>
      <fill>
        <patternFill>
          <bgColor rgb="FFFF3300"/>
        </patternFill>
      </fill>
    </dxf>
    <dxf>
      <fill>
        <patternFill>
          <bgColor rgb="FF99FF33"/>
        </patternFill>
      </fill>
    </dxf>
    <dxf>
      <fill>
        <patternFill>
          <bgColor rgb="FFFF3300"/>
        </patternFill>
      </fill>
    </dxf>
    <dxf>
      <fill>
        <patternFill>
          <bgColor theme="5" tint="0.59996337778862885"/>
        </patternFill>
      </fill>
    </dxf>
    <dxf>
      <fill>
        <patternFill>
          <bgColor theme="6" tint="0.39994506668294322"/>
        </patternFill>
      </fill>
    </dxf>
    <dxf>
      <fill>
        <patternFill>
          <bgColor rgb="FF99FF33"/>
        </patternFill>
      </fill>
    </dxf>
    <dxf>
      <fill>
        <patternFill>
          <bgColor rgb="FFFF3300"/>
        </patternFill>
      </fill>
    </dxf>
    <dxf>
      <fill>
        <patternFill>
          <bgColor rgb="FF99FF33"/>
        </patternFill>
      </fill>
    </dxf>
    <dxf>
      <fill>
        <patternFill>
          <bgColor rgb="FFFF3300"/>
        </patternFill>
      </fill>
    </dxf>
    <dxf>
      <font>
        <color theme="7" tint="0.39994506668294322"/>
      </font>
      <fill>
        <patternFill>
          <bgColor theme="7" tint="-0.499984740745262"/>
        </patternFill>
      </fill>
    </dxf>
    <dxf>
      <font>
        <color theme="7" tint="0.39994506668294322"/>
      </font>
      <fill>
        <patternFill>
          <bgColor theme="7" tint="-0.499984740745262"/>
        </patternFill>
      </fill>
    </dxf>
    <dxf>
      <fill>
        <patternFill>
          <bgColor rgb="FFFF3300"/>
        </patternFill>
      </fill>
    </dxf>
    <dxf>
      <fill>
        <patternFill>
          <bgColor rgb="FF99FF33"/>
        </patternFill>
      </fill>
    </dxf>
    <dxf>
      <fill>
        <patternFill>
          <bgColor rgb="FFFF3300"/>
        </patternFill>
      </fill>
    </dxf>
    <dxf>
      <font>
        <color theme="1"/>
      </font>
      <fill>
        <patternFill>
          <bgColor theme="7" tint="0.79998168889431442"/>
        </patternFill>
      </fill>
    </dxf>
    <dxf>
      <fill>
        <patternFill>
          <bgColor rgb="FF99FF33"/>
        </patternFill>
      </fill>
    </dxf>
    <dxf>
      <fill>
        <patternFill>
          <bgColor rgb="FFFF3300"/>
        </patternFill>
      </fill>
    </dxf>
    <dxf>
      <font>
        <color theme="1"/>
      </font>
      <fill>
        <patternFill>
          <bgColor theme="7" tint="0.79998168889431442"/>
        </patternFill>
      </fill>
    </dxf>
    <dxf>
      <fill>
        <patternFill>
          <bgColor rgb="FFFF3300"/>
        </patternFill>
      </fill>
    </dxf>
    <dxf>
      <fill>
        <patternFill>
          <bgColor rgb="FF99FF33"/>
        </patternFill>
      </fill>
    </dxf>
    <dxf>
      <fill>
        <patternFill>
          <bgColor rgb="FF99FF33"/>
        </patternFill>
      </fill>
    </dxf>
    <dxf>
      <fill>
        <patternFill>
          <bgColor rgb="FFFF3300"/>
        </patternFill>
      </fill>
    </dxf>
    <dxf>
      <font>
        <color rgb="FFFFFFB7"/>
      </font>
      <fill>
        <patternFill>
          <bgColor rgb="FFFFC000"/>
        </patternFill>
      </fill>
    </dxf>
    <dxf>
      <font>
        <b/>
        <i val="0"/>
        <color rgb="FFFF0000"/>
      </font>
      <fill>
        <patternFill>
          <bgColor theme="5" tint="0.39994506668294322"/>
        </patternFill>
      </fill>
    </dxf>
    <dxf>
      <font>
        <b/>
        <i val="0"/>
        <color rgb="FF00B050"/>
      </font>
      <fill>
        <patternFill>
          <bgColor theme="6" tint="0.39994506668294322"/>
        </patternFill>
      </fill>
    </dxf>
    <dxf>
      <font>
        <b/>
        <i val="0"/>
        <color theme="0"/>
      </font>
      <fill>
        <patternFill>
          <bgColor rgb="FF00B050"/>
        </patternFill>
      </fill>
    </dxf>
    <dxf>
      <font>
        <color rgb="FF00B050"/>
      </font>
      <fill>
        <patternFill>
          <bgColor theme="0"/>
        </patternFill>
      </fill>
    </dxf>
    <dxf>
      <font>
        <b/>
        <i val="0"/>
        <color rgb="FFFFC000"/>
      </font>
      <fill>
        <patternFill>
          <bgColor rgb="FFFFFFCC"/>
        </patternFill>
      </fill>
    </dxf>
    <dxf>
      <font>
        <condense val="0"/>
        <extend val="0"/>
        <color rgb="FF006100"/>
      </font>
      <fill>
        <patternFill>
          <bgColor rgb="FFC6EFCE"/>
        </patternFill>
      </fill>
    </dxf>
    <dxf>
      <fill>
        <patternFill>
          <bgColor rgb="FFD9DCE7"/>
        </patternFill>
      </fill>
    </dxf>
    <dxf>
      <font>
        <condense val="0"/>
        <extend val="0"/>
        <color rgb="FF9C0006"/>
      </font>
      <fill>
        <patternFill>
          <bgColor rgb="FFFFC7CE"/>
        </patternFill>
      </fill>
    </dxf>
    <dxf>
      <font>
        <b val="0"/>
        <i val="0"/>
        <color rgb="FFFF0000"/>
      </font>
      <fill>
        <patternFill patternType="solid">
          <fgColor auto="1"/>
          <bgColor theme="5" tint="0.79998168889431442"/>
        </patternFill>
      </fill>
      <border>
        <vertical/>
        <horizontal/>
      </border>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lor theme="7" tint="0.39994506668294322"/>
      </font>
      <fill>
        <patternFill>
          <bgColor theme="7" tint="0.39994506668294322"/>
        </patternFill>
      </fill>
    </dxf>
    <dxf>
      <fill>
        <patternFill>
          <bgColor rgb="FF99FF33"/>
        </patternFill>
      </fill>
    </dxf>
    <dxf>
      <fill>
        <patternFill>
          <bgColor rgb="FFFF3300"/>
        </patternFill>
      </fill>
    </dxf>
  </dxfs>
  <tableStyles count="0" defaultTableStyle="TableStyleMedium9" defaultPivotStyle="PivotStyleLight16"/>
  <colors>
    <mruColors>
      <color rgb="FFFFFFB7"/>
      <color rgb="FFB1B6D3"/>
      <color rgb="FF00DFDA"/>
      <color rgb="FF7A629E"/>
      <color rgb="FFF1F1F5"/>
      <color rgb="FF342943"/>
      <color rgb="FF674F83"/>
      <color rgb="FF56426E"/>
      <color rgb="FF49385E"/>
      <color rgb="FF00A2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0.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204930</xdr:colOff>
      <xdr:row>12</xdr:row>
      <xdr:rowOff>66963</xdr:rowOff>
    </xdr:from>
    <xdr:to>
      <xdr:col>3</xdr:col>
      <xdr:colOff>330601</xdr:colOff>
      <xdr:row>12</xdr:row>
      <xdr:rowOff>571500</xdr:rowOff>
    </xdr:to>
    <xdr:pic>
      <xdr:nvPicPr>
        <xdr:cNvPr id="6270" name="Picture 1" descr="SpecA8.gif">
          <a:extLst>
            <a:ext uri="{FF2B5EF4-FFF2-40B4-BE49-F238E27FC236}">
              <a16:creationId xmlns="" xmlns:a16="http://schemas.microsoft.com/office/drawing/2014/main" id="{00000000-0008-0000-0700-00007E180000}"/>
            </a:ext>
          </a:extLst>
        </xdr:cNvPr>
        <xdr:cNvPicPr>
          <a:picLocks noChangeAspect="1"/>
        </xdr:cNvPicPr>
      </xdr:nvPicPr>
      <xdr:blipFill>
        <a:blip xmlns:r="http://schemas.openxmlformats.org/officeDocument/2006/relationships" r:embed="rId1" cstate="print"/>
        <a:srcRect/>
        <a:stretch>
          <a:fillRect/>
        </a:stretch>
      </xdr:blipFill>
      <xdr:spPr bwMode="auto">
        <a:xfrm>
          <a:off x="1123812" y="9647992"/>
          <a:ext cx="1683289" cy="504537"/>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rsions/SerialScans/08022021%20PON%20Receiving%20Scan.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Loc"/>
      <sheetName val="Scan"/>
      <sheetName val="TL Stock"/>
      <sheetName val="Record"/>
      <sheetName val="Barcodes"/>
      <sheetName val="Sort Data for TL"/>
    </sheetNames>
    <sheetDataSet>
      <sheetData sheetId="0">
        <row r="3">
          <cell r="B3" t="str">
            <v>JA000</v>
          </cell>
        </row>
      </sheetData>
      <sheetData sheetId="1">
        <row r="2">
          <cell r="I2" t="str">
            <v/>
          </cell>
          <cell r="K2" t="b">
            <v>0</v>
          </cell>
        </row>
        <row r="3">
          <cell r="B3" t="str">
            <v>JA000</v>
          </cell>
          <cell r="I3" t="str">
            <v/>
          </cell>
        </row>
      </sheetData>
      <sheetData sheetId="2">
        <row r="1">
          <cell r="A1" t="str">
            <v>STOCK_MOV_NO</v>
          </cell>
          <cell r="B1" t="str">
            <v>STOCK_DATE</v>
          </cell>
          <cell r="C1" t="str">
            <v>STOCK_CUSTOMER</v>
          </cell>
          <cell r="D1" t="str">
            <v>STOCK_PRODUCT</v>
          </cell>
          <cell r="E1" t="str">
            <v>STOCK_SQL_NAME</v>
          </cell>
          <cell r="F1" t="str">
            <v>STOCK_QUANTITY</v>
          </cell>
          <cell r="G1" t="str">
            <v>STOCK_PALLET</v>
          </cell>
          <cell r="H1" t="str">
            <v>STOCK_GROUP1</v>
          </cell>
          <cell r="I1" t="str">
            <v>STOCK_LOCATION</v>
          </cell>
          <cell r="J1" t="str">
            <v>STOCK_CLASS</v>
          </cell>
          <cell r="K1" t="str">
            <v>STOCK_SQL_STOCK_REF</v>
          </cell>
          <cell r="L1" t="str">
            <v>STOCK_WEIGHT</v>
          </cell>
          <cell r="M1" t="str">
            <v>STOCK_CUBIC</v>
          </cell>
          <cell r="N1" t="str">
            <v>STOCK_DEPOT</v>
          </cell>
          <cell r="O1" t="str">
            <v>STOCK_SQL_GROUP</v>
          </cell>
          <cell r="P1" t="str">
            <v>STOCK_SQL_GROUP1</v>
          </cell>
          <cell r="Q1" t="str">
            <v>STOCK_EXPIRY</v>
          </cell>
        </row>
        <row r="2">
          <cell r="A2">
            <v>4620008</v>
          </cell>
          <cell r="B2">
            <v>44209</v>
          </cell>
          <cell r="C2" t="str">
            <v>PON</v>
          </cell>
          <cell r="D2" t="str">
            <v>WPC7-2M</v>
          </cell>
          <cell r="E2" t="str">
            <v>AUS Power Cable C7</v>
          </cell>
          <cell r="F2">
            <v>1011</v>
          </cell>
          <cell r="G2">
            <v>0.25269999999999998</v>
          </cell>
          <cell r="I2" t="str">
            <v>CABLE</v>
          </cell>
          <cell r="L2">
            <v>133.452</v>
          </cell>
          <cell r="M2">
            <v>0.39250000000000002</v>
          </cell>
          <cell r="N2" t="str">
            <v>5W</v>
          </cell>
          <cell r="P2" t="str">
            <v>PONACC</v>
          </cell>
          <cell r="Q2" t="str">
            <v>/  /</v>
          </cell>
        </row>
        <row r="3">
          <cell r="A3">
            <v>4438528</v>
          </cell>
          <cell r="B3">
            <v>44102</v>
          </cell>
          <cell r="C3" t="str">
            <v>PON</v>
          </cell>
          <cell r="D3">
            <v>641012323</v>
          </cell>
          <cell r="E3" t="str">
            <v>F21 MARES 9.8 L 56 BLU</v>
          </cell>
          <cell r="F3">
            <v>1</v>
          </cell>
          <cell r="G3">
            <v>0</v>
          </cell>
          <cell r="I3" t="str">
            <v>IC011</v>
          </cell>
          <cell r="L3">
            <v>12.9</v>
          </cell>
          <cell r="M3">
            <v>0.33500000000000002</v>
          </cell>
          <cell r="N3" t="str">
            <v>5W</v>
          </cell>
          <cell r="P3" t="str">
            <v>PONFCS</v>
          </cell>
          <cell r="Q3" t="str">
            <v>/  /</v>
          </cell>
        </row>
        <row r="4">
          <cell r="A4">
            <v>4438529</v>
          </cell>
          <cell r="B4">
            <v>44102</v>
          </cell>
          <cell r="C4" t="str">
            <v>PON</v>
          </cell>
          <cell r="D4">
            <v>641012323</v>
          </cell>
          <cell r="E4" t="str">
            <v>F21 MARES 9.8 L 56 BLU</v>
          </cell>
          <cell r="F4">
            <v>1</v>
          </cell>
          <cell r="G4">
            <v>0</v>
          </cell>
          <cell r="I4" t="str">
            <v>IC011</v>
          </cell>
          <cell r="L4">
            <v>12.9</v>
          </cell>
          <cell r="M4">
            <v>0.33500000000000002</v>
          </cell>
          <cell r="N4" t="str">
            <v>5W</v>
          </cell>
          <cell r="P4" t="str">
            <v>PONFCS</v>
          </cell>
          <cell r="Q4" t="str">
            <v>/  /</v>
          </cell>
        </row>
        <row r="5">
          <cell r="A5">
            <v>4438530</v>
          </cell>
          <cell r="B5">
            <v>44102</v>
          </cell>
          <cell r="C5" t="str">
            <v>PON</v>
          </cell>
          <cell r="D5">
            <v>641012323</v>
          </cell>
          <cell r="E5" t="str">
            <v>F21 MARES 9.8 L 56 BLU</v>
          </cell>
          <cell r="F5">
            <v>1</v>
          </cell>
          <cell r="G5">
            <v>0</v>
          </cell>
          <cell r="I5" t="str">
            <v>IC011</v>
          </cell>
          <cell r="L5">
            <v>12.9</v>
          </cell>
          <cell r="M5">
            <v>0.33500000000000002</v>
          </cell>
          <cell r="N5" t="str">
            <v>5W</v>
          </cell>
          <cell r="P5" t="str">
            <v>PONFCS</v>
          </cell>
          <cell r="Q5" t="str">
            <v>/  /</v>
          </cell>
        </row>
        <row r="6">
          <cell r="A6">
            <v>3911534</v>
          </cell>
          <cell r="B6">
            <v>43766</v>
          </cell>
          <cell r="C6" t="str">
            <v>PON</v>
          </cell>
          <cell r="D6">
            <v>633006305</v>
          </cell>
          <cell r="E6" t="str">
            <v>FC F19 Mares 9.9 60XXL Orange</v>
          </cell>
          <cell r="F6">
            <v>1</v>
          </cell>
          <cell r="G6">
            <v>0</v>
          </cell>
          <cell r="I6" t="str">
            <v>IC012</v>
          </cell>
          <cell r="L6">
            <v>11.7</v>
          </cell>
          <cell r="M6">
            <v>0.246</v>
          </cell>
          <cell r="N6" t="str">
            <v>5W</v>
          </cell>
          <cell r="P6" t="str">
            <v>PONFCS</v>
          </cell>
          <cell r="Q6" t="str">
            <v>/  /</v>
          </cell>
        </row>
        <row r="7">
          <cell r="A7">
            <v>4614098</v>
          </cell>
          <cell r="B7">
            <v>44203</v>
          </cell>
          <cell r="C7" t="str">
            <v>PON</v>
          </cell>
          <cell r="D7">
            <v>641078340</v>
          </cell>
          <cell r="E7" t="str">
            <v>C21 R5 Disc Ult Grn/Gld/Wht 58</v>
          </cell>
          <cell r="F7">
            <v>1</v>
          </cell>
          <cell r="G7">
            <v>0</v>
          </cell>
          <cell r="I7" t="str">
            <v>IC012</v>
          </cell>
          <cell r="L7">
            <v>13.2</v>
          </cell>
          <cell r="M7">
            <v>0.26300000000000001</v>
          </cell>
          <cell r="N7" t="str">
            <v>5W</v>
          </cell>
          <cell r="P7" t="str">
            <v>PONCVL</v>
          </cell>
          <cell r="Q7" t="str">
            <v>/  /</v>
          </cell>
        </row>
        <row r="8">
          <cell r="A8">
            <v>4614099</v>
          </cell>
          <cell r="B8">
            <v>44203</v>
          </cell>
          <cell r="C8" t="str">
            <v>PON</v>
          </cell>
          <cell r="D8">
            <v>641078340</v>
          </cell>
          <cell r="E8" t="str">
            <v>C21 R5 Disc Ult Grn/Gld/Wht 58</v>
          </cell>
          <cell r="F8">
            <v>1</v>
          </cell>
          <cell r="G8">
            <v>0</v>
          </cell>
          <cell r="I8" t="str">
            <v>IC012</v>
          </cell>
          <cell r="L8">
            <v>13.2</v>
          </cell>
          <cell r="M8">
            <v>0.26300000000000001</v>
          </cell>
          <cell r="N8" t="str">
            <v>5W</v>
          </cell>
          <cell r="P8" t="str">
            <v>PONCVL</v>
          </cell>
          <cell r="Q8" t="str">
            <v>/  /</v>
          </cell>
        </row>
        <row r="9">
          <cell r="A9">
            <v>4086255</v>
          </cell>
          <cell r="B9">
            <v>43852</v>
          </cell>
          <cell r="C9" t="str">
            <v>PON</v>
          </cell>
          <cell r="D9">
            <v>633728542</v>
          </cell>
          <cell r="E9" t="str">
            <v>F20 PARALANE SQUARE 6.9 57L</v>
          </cell>
          <cell r="F9">
            <v>1</v>
          </cell>
          <cell r="G9">
            <v>0</v>
          </cell>
          <cell r="I9" t="str">
            <v>IC013</v>
          </cell>
          <cell r="L9">
            <v>25.5</v>
          </cell>
          <cell r="M9">
            <v>0.53200000000000003</v>
          </cell>
          <cell r="N9" t="str">
            <v>5W</v>
          </cell>
          <cell r="P9" t="str">
            <v>PONFCS</v>
          </cell>
          <cell r="Q9" t="str">
            <v>/  /</v>
          </cell>
        </row>
        <row r="10">
          <cell r="A10">
            <v>4087696</v>
          </cell>
          <cell r="B10">
            <v>43852</v>
          </cell>
          <cell r="C10" t="str">
            <v>PON</v>
          </cell>
          <cell r="D10">
            <v>633728542</v>
          </cell>
          <cell r="E10" t="str">
            <v>F20 PARALANE SQUARE 6.9 57L</v>
          </cell>
          <cell r="F10">
            <v>1</v>
          </cell>
          <cell r="G10">
            <v>0</v>
          </cell>
          <cell r="I10" t="str">
            <v>IC013</v>
          </cell>
          <cell r="L10">
            <v>25.5</v>
          </cell>
          <cell r="M10">
            <v>0.53200000000000003</v>
          </cell>
          <cell r="N10" t="str">
            <v>5W</v>
          </cell>
          <cell r="P10" t="str">
            <v>PONFCS</v>
          </cell>
          <cell r="Q10" t="str">
            <v>/  /</v>
          </cell>
        </row>
        <row r="11">
          <cell r="A11">
            <v>4089495</v>
          </cell>
          <cell r="B11">
            <v>43852</v>
          </cell>
          <cell r="C11" t="str">
            <v>PON</v>
          </cell>
          <cell r="D11">
            <v>633728542</v>
          </cell>
          <cell r="E11" t="str">
            <v>F20 PARALANE SQUARE 6.9 57L</v>
          </cell>
          <cell r="F11">
            <v>1</v>
          </cell>
          <cell r="G11">
            <v>0</v>
          </cell>
          <cell r="I11" t="str">
            <v>IC013</v>
          </cell>
          <cell r="L11">
            <v>25.5</v>
          </cell>
          <cell r="M11">
            <v>0.53200000000000003</v>
          </cell>
          <cell r="N11" t="str">
            <v>5W</v>
          </cell>
          <cell r="P11" t="str">
            <v>PONFCS</v>
          </cell>
          <cell r="Q11" t="str">
            <v>/  /</v>
          </cell>
        </row>
        <row r="12">
          <cell r="A12">
            <v>4634331</v>
          </cell>
          <cell r="B12">
            <v>44218</v>
          </cell>
          <cell r="C12" t="str">
            <v>PON</v>
          </cell>
          <cell r="D12">
            <v>637527067</v>
          </cell>
          <cell r="E12" t="str">
            <v>K21 Endv 1.B Move 500 M Grey</v>
          </cell>
          <cell r="F12">
            <v>1</v>
          </cell>
          <cell r="G12">
            <v>0</v>
          </cell>
          <cell r="I12" t="str">
            <v>IC014</v>
          </cell>
          <cell r="L12">
            <v>35</v>
          </cell>
          <cell r="M12">
            <v>0.57299999999999995</v>
          </cell>
          <cell r="N12" t="str">
            <v>5W</v>
          </cell>
          <cell r="P12" t="str">
            <v>PONFCS</v>
          </cell>
          <cell r="Q12" t="str">
            <v>/  /</v>
          </cell>
        </row>
        <row r="13">
          <cell r="A13">
            <v>4634332</v>
          </cell>
          <cell r="B13">
            <v>44218</v>
          </cell>
          <cell r="C13" t="str">
            <v>PON</v>
          </cell>
          <cell r="D13">
            <v>637527067</v>
          </cell>
          <cell r="E13" t="str">
            <v>K21 Endv 1.B Move 500 M Grey</v>
          </cell>
          <cell r="F13">
            <v>1</v>
          </cell>
          <cell r="G13">
            <v>0</v>
          </cell>
          <cell r="I13" t="str">
            <v>IC014</v>
          </cell>
          <cell r="L13">
            <v>35</v>
          </cell>
          <cell r="M13">
            <v>0.57299999999999995</v>
          </cell>
          <cell r="N13" t="str">
            <v>5W</v>
          </cell>
          <cell r="P13" t="str">
            <v>PONFCS</v>
          </cell>
          <cell r="Q13" t="str">
            <v>/  /</v>
          </cell>
        </row>
        <row r="14">
          <cell r="A14">
            <v>4634334</v>
          </cell>
          <cell r="B14">
            <v>44218</v>
          </cell>
          <cell r="C14" t="str">
            <v>PON</v>
          </cell>
          <cell r="D14">
            <v>637527067</v>
          </cell>
          <cell r="E14" t="str">
            <v>K21 Endv 1.B Move 500 M Grey</v>
          </cell>
          <cell r="F14">
            <v>1</v>
          </cell>
          <cell r="G14">
            <v>0</v>
          </cell>
          <cell r="I14" t="str">
            <v>IC014</v>
          </cell>
          <cell r="L14">
            <v>35</v>
          </cell>
          <cell r="M14">
            <v>0.57299999999999995</v>
          </cell>
          <cell r="N14" t="str">
            <v>5W</v>
          </cell>
          <cell r="P14" t="str">
            <v>PONFCS</v>
          </cell>
          <cell r="Q14" t="str">
            <v>/  /</v>
          </cell>
        </row>
        <row r="15">
          <cell r="A15">
            <v>4634335</v>
          </cell>
          <cell r="B15">
            <v>44218</v>
          </cell>
          <cell r="C15" t="str">
            <v>PON</v>
          </cell>
          <cell r="D15">
            <v>637527067</v>
          </cell>
          <cell r="E15" t="str">
            <v>K21 Endv 1.B Move 500 M Grey</v>
          </cell>
          <cell r="F15">
            <v>1</v>
          </cell>
          <cell r="G15">
            <v>0</v>
          </cell>
          <cell r="I15" t="str">
            <v>IC014</v>
          </cell>
          <cell r="L15">
            <v>35</v>
          </cell>
          <cell r="M15">
            <v>0.57299999999999995</v>
          </cell>
          <cell r="N15" t="str">
            <v>5W</v>
          </cell>
          <cell r="P15" t="str">
            <v>PONFCS</v>
          </cell>
          <cell r="Q15" t="str">
            <v>/  /</v>
          </cell>
        </row>
        <row r="16">
          <cell r="A16">
            <v>4363251</v>
          </cell>
          <cell r="B16">
            <v>44056</v>
          </cell>
          <cell r="C16" t="str">
            <v>PON</v>
          </cell>
          <cell r="D16">
            <v>637012351</v>
          </cell>
          <cell r="E16" t="str">
            <v>F21 MARES 6.9 S 51 BLK</v>
          </cell>
          <cell r="F16">
            <v>1</v>
          </cell>
          <cell r="G16">
            <v>0</v>
          </cell>
          <cell r="I16" t="str">
            <v>IC021</v>
          </cell>
          <cell r="L16">
            <v>14</v>
          </cell>
          <cell r="M16">
            <v>0.33600000000000002</v>
          </cell>
          <cell r="N16" t="str">
            <v>5W</v>
          </cell>
          <cell r="P16" t="str">
            <v>PONFCS</v>
          </cell>
          <cell r="Q16" t="str">
            <v>/  /</v>
          </cell>
        </row>
        <row r="17">
          <cell r="A17">
            <v>4536069</v>
          </cell>
          <cell r="B17">
            <v>44159</v>
          </cell>
          <cell r="C17" t="str">
            <v>PON</v>
          </cell>
          <cell r="D17">
            <v>641012304</v>
          </cell>
          <cell r="E17" t="str">
            <v>F21 Mares 9.9 Xl 58 Min</v>
          </cell>
          <cell r="F17">
            <v>1</v>
          </cell>
          <cell r="G17">
            <v>0</v>
          </cell>
          <cell r="I17" t="str">
            <v>IC021</v>
          </cell>
          <cell r="L17">
            <v>11.8</v>
          </cell>
          <cell r="M17">
            <v>0.32</v>
          </cell>
          <cell r="N17" t="str">
            <v>5W</v>
          </cell>
          <cell r="P17" t="str">
            <v>PONFCS</v>
          </cell>
          <cell r="Q17" t="str">
            <v>/  /</v>
          </cell>
        </row>
        <row r="18">
          <cell r="A18">
            <v>4413304</v>
          </cell>
          <cell r="B18">
            <v>44082</v>
          </cell>
          <cell r="C18" t="str">
            <v>PON</v>
          </cell>
          <cell r="D18">
            <v>641078137</v>
          </cell>
          <cell r="E18" t="str">
            <v>C21 C/Donia Ult Red/White 61</v>
          </cell>
          <cell r="F18">
            <v>1</v>
          </cell>
          <cell r="G18">
            <v>0</v>
          </cell>
          <cell r="I18" t="str">
            <v>IC022</v>
          </cell>
          <cell r="L18">
            <v>14</v>
          </cell>
          <cell r="M18">
            <v>0.23</v>
          </cell>
          <cell r="N18" t="str">
            <v>5W</v>
          </cell>
          <cell r="P18" t="str">
            <v>PONCVL</v>
          </cell>
          <cell r="Q18" t="str">
            <v>/  /</v>
          </cell>
        </row>
        <row r="19">
          <cell r="A19">
            <v>4614068</v>
          </cell>
          <cell r="B19">
            <v>44203</v>
          </cell>
          <cell r="C19" t="str">
            <v>PON</v>
          </cell>
          <cell r="D19">
            <v>641078257</v>
          </cell>
          <cell r="E19" t="str">
            <v>C21 R5 Disc E/A Grn/Gold/Wht58</v>
          </cell>
          <cell r="F19">
            <v>1</v>
          </cell>
          <cell r="G19">
            <v>0</v>
          </cell>
          <cell r="I19" t="str">
            <v>IC022</v>
          </cell>
          <cell r="L19">
            <v>13</v>
          </cell>
          <cell r="M19">
            <v>0.26300000000000001</v>
          </cell>
          <cell r="N19" t="str">
            <v>5W</v>
          </cell>
          <cell r="P19" t="str">
            <v>PONCVL</v>
          </cell>
          <cell r="Q19" t="str">
            <v>/  /</v>
          </cell>
        </row>
        <row r="20">
          <cell r="A20">
            <v>4614069</v>
          </cell>
          <cell r="B20">
            <v>44203</v>
          </cell>
          <cell r="C20" t="str">
            <v>PON</v>
          </cell>
          <cell r="D20">
            <v>641078257</v>
          </cell>
          <cell r="E20" t="str">
            <v>C21 R5 Disc E/A Grn/Gold/Wht58</v>
          </cell>
          <cell r="F20">
            <v>1</v>
          </cell>
          <cell r="G20">
            <v>0</v>
          </cell>
          <cell r="I20" t="str">
            <v>IC022</v>
          </cell>
          <cell r="L20">
            <v>13</v>
          </cell>
          <cell r="M20">
            <v>0.26300000000000001</v>
          </cell>
          <cell r="N20" t="str">
            <v>5W</v>
          </cell>
          <cell r="P20" t="str">
            <v>PONCVL</v>
          </cell>
          <cell r="Q20" t="str">
            <v>/  /</v>
          </cell>
        </row>
        <row r="21">
          <cell r="A21">
            <v>4040339</v>
          </cell>
          <cell r="B21">
            <v>43852</v>
          </cell>
          <cell r="C21" t="str">
            <v>PON</v>
          </cell>
          <cell r="D21">
            <v>633728542</v>
          </cell>
          <cell r="E21" t="str">
            <v>F20 PARALANE SQUARE 6.9 57L</v>
          </cell>
          <cell r="F21">
            <v>1</v>
          </cell>
          <cell r="G21">
            <v>0</v>
          </cell>
          <cell r="I21" t="str">
            <v>IC023</v>
          </cell>
          <cell r="L21">
            <v>25.5</v>
          </cell>
          <cell r="M21">
            <v>0.53200000000000003</v>
          </cell>
          <cell r="N21" t="str">
            <v>5W</v>
          </cell>
          <cell r="P21" t="str">
            <v>PONFCS</v>
          </cell>
          <cell r="Q21" t="str">
            <v>/  /</v>
          </cell>
        </row>
        <row r="22">
          <cell r="A22">
            <v>4086256</v>
          </cell>
          <cell r="B22">
            <v>43852</v>
          </cell>
          <cell r="C22" t="str">
            <v>PON</v>
          </cell>
          <cell r="D22">
            <v>633728542</v>
          </cell>
          <cell r="E22" t="str">
            <v>F20 PARALANE SQUARE 6.9 57L</v>
          </cell>
          <cell r="F22">
            <v>1</v>
          </cell>
          <cell r="G22">
            <v>0</v>
          </cell>
          <cell r="I22" t="str">
            <v>IC023</v>
          </cell>
          <cell r="L22">
            <v>25.5</v>
          </cell>
          <cell r="M22">
            <v>0.53200000000000003</v>
          </cell>
          <cell r="N22" t="str">
            <v>5W</v>
          </cell>
          <cell r="P22" t="str">
            <v>PONFCS</v>
          </cell>
          <cell r="Q22" t="str">
            <v>/  /</v>
          </cell>
        </row>
        <row r="23">
          <cell r="A23">
            <v>4087697</v>
          </cell>
          <cell r="B23">
            <v>43852</v>
          </cell>
          <cell r="C23" t="str">
            <v>PON</v>
          </cell>
          <cell r="D23">
            <v>633728542</v>
          </cell>
          <cell r="E23" t="str">
            <v>F20 PARALANE SQUARE 6.9 57L</v>
          </cell>
          <cell r="F23">
            <v>1</v>
          </cell>
          <cell r="G23">
            <v>0</v>
          </cell>
          <cell r="I23" t="str">
            <v>IC023</v>
          </cell>
          <cell r="L23">
            <v>25.5</v>
          </cell>
          <cell r="M23">
            <v>0.53200000000000003</v>
          </cell>
          <cell r="N23" t="str">
            <v>5W</v>
          </cell>
          <cell r="P23" t="str">
            <v>PONFCS</v>
          </cell>
          <cell r="Q23" t="str">
            <v>/  /</v>
          </cell>
        </row>
        <row r="24">
          <cell r="A24">
            <v>4089496</v>
          </cell>
          <cell r="B24">
            <v>43852</v>
          </cell>
          <cell r="C24" t="str">
            <v>PON</v>
          </cell>
          <cell r="D24">
            <v>633728542</v>
          </cell>
          <cell r="E24" t="str">
            <v>F20 PARALANE SQUARE 6.9 57L</v>
          </cell>
          <cell r="F24">
            <v>1</v>
          </cell>
          <cell r="G24">
            <v>0</v>
          </cell>
          <cell r="I24" t="str">
            <v>IC023</v>
          </cell>
          <cell r="L24">
            <v>25.5</v>
          </cell>
          <cell r="M24">
            <v>0.53200000000000003</v>
          </cell>
          <cell r="N24" t="str">
            <v>5W</v>
          </cell>
          <cell r="P24" t="str">
            <v>PONFCS</v>
          </cell>
          <cell r="Q24" t="str">
            <v>/  /</v>
          </cell>
        </row>
        <row r="25">
          <cell r="A25">
            <v>3986252</v>
          </cell>
          <cell r="B25">
            <v>43808</v>
          </cell>
          <cell r="C25" t="str">
            <v>PON</v>
          </cell>
          <cell r="D25">
            <v>633728532</v>
          </cell>
          <cell r="E25" t="str">
            <v>FC EBikeF19 P/Sqre 9.6 57L Red</v>
          </cell>
          <cell r="F25">
            <v>1</v>
          </cell>
          <cell r="G25">
            <v>0</v>
          </cell>
          <cell r="I25" t="str">
            <v>IC024</v>
          </cell>
          <cell r="L25">
            <v>23.6</v>
          </cell>
          <cell r="M25">
            <v>0.58099999999999996</v>
          </cell>
          <cell r="N25" t="str">
            <v>5W</v>
          </cell>
          <cell r="P25" t="str">
            <v>PONFEB</v>
          </cell>
          <cell r="Q25" t="str">
            <v>/  /</v>
          </cell>
        </row>
        <row r="26">
          <cell r="A26">
            <v>4634136</v>
          </cell>
          <cell r="B26">
            <v>44218</v>
          </cell>
          <cell r="C26" t="str">
            <v>PON</v>
          </cell>
          <cell r="D26">
            <v>637518150</v>
          </cell>
          <cell r="E26" t="str">
            <v>F20 JAM2 6.7 NINE 40S BLUE BSH</v>
          </cell>
          <cell r="F26">
            <v>1</v>
          </cell>
          <cell r="G26">
            <v>0</v>
          </cell>
          <cell r="I26" t="str">
            <v>IC024</v>
          </cell>
          <cell r="L26">
            <v>32.5</v>
          </cell>
          <cell r="M26">
            <v>0.58099999999999996</v>
          </cell>
          <cell r="N26" t="str">
            <v>5W</v>
          </cell>
          <cell r="P26" t="str">
            <v>PONFCS</v>
          </cell>
          <cell r="Q26" t="str">
            <v>/  /</v>
          </cell>
        </row>
        <row r="27">
          <cell r="A27">
            <v>4634137</v>
          </cell>
          <cell r="B27">
            <v>44218</v>
          </cell>
          <cell r="C27" t="str">
            <v>PON</v>
          </cell>
          <cell r="D27">
            <v>637518150</v>
          </cell>
          <cell r="E27" t="str">
            <v>F20 JAM2 6.7 NINE 40S BLUE BSH</v>
          </cell>
          <cell r="F27">
            <v>1</v>
          </cell>
          <cell r="G27">
            <v>0</v>
          </cell>
          <cell r="I27" t="str">
            <v>IC024</v>
          </cell>
          <cell r="L27">
            <v>32.5</v>
          </cell>
          <cell r="M27">
            <v>0.58099999999999996</v>
          </cell>
          <cell r="N27" t="str">
            <v>5W</v>
          </cell>
          <cell r="P27" t="str">
            <v>PONFCS</v>
          </cell>
          <cell r="Q27" t="str">
            <v>/  /</v>
          </cell>
        </row>
        <row r="28">
          <cell r="A28">
            <v>4165517</v>
          </cell>
          <cell r="B28">
            <v>43913</v>
          </cell>
          <cell r="C28" t="str">
            <v>PON</v>
          </cell>
          <cell r="D28">
            <v>637012021</v>
          </cell>
          <cell r="E28" t="str">
            <v>F20 IZ Max Disc 9.7 AXS 50XS</v>
          </cell>
          <cell r="F28">
            <v>1</v>
          </cell>
          <cell r="G28">
            <v>0</v>
          </cell>
          <cell r="I28" t="str">
            <v>IC031</v>
          </cell>
          <cell r="L28">
            <v>12.5</v>
          </cell>
          <cell r="M28">
            <v>0.34200000000000003</v>
          </cell>
          <cell r="N28" t="str">
            <v>5W</v>
          </cell>
          <cell r="P28" t="str">
            <v>PONFCS</v>
          </cell>
          <cell r="Q28" t="str">
            <v>/  /</v>
          </cell>
        </row>
        <row r="29">
          <cell r="A29">
            <v>4459044</v>
          </cell>
          <cell r="B29">
            <v>44112</v>
          </cell>
          <cell r="C29" t="str">
            <v>PON</v>
          </cell>
          <cell r="D29">
            <v>641080000</v>
          </cell>
          <cell r="E29" t="str">
            <v>F21 IZ MAX DISC F/SET 9 47 CBN</v>
          </cell>
          <cell r="F29">
            <v>1</v>
          </cell>
          <cell r="G29">
            <v>0</v>
          </cell>
          <cell r="I29" t="str">
            <v>IC032</v>
          </cell>
          <cell r="L29">
            <v>5.8</v>
          </cell>
          <cell r="M29">
            <v>0.13800000000000001</v>
          </cell>
          <cell r="N29" t="str">
            <v>5W</v>
          </cell>
          <cell r="P29" t="str">
            <v>PONFCS</v>
          </cell>
          <cell r="Q29" t="str">
            <v>/  /</v>
          </cell>
        </row>
        <row r="30">
          <cell r="A30">
            <v>4459045</v>
          </cell>
          <cell r="B30">
            <v>44112</v>
          </cell>
          <cell r="C30" t="str">
            <v>PON</v>
          </cell>
          <cell r="D30">
            <v>641080000</v>
          </cell>
          <cell r="E30" t="str">
            <v>F21 IZ MAX DISC F/SET 9 47 CBN</v>
          </cell>
          <cell r="F30">
            <v>1</v>
          </cell>
          <cell r="G30">
            <v>0</v>
          </cell>
          <cell r="I30" t="str">
            <v>IC032</v>
          </cell>
          <cell r="L30">
            <v>5.8</v>
          </cell>
          <cell r="M30">
            <v>0.13800000000000001</v>
          </cell>
          <cell r="N30" t="str">
            <v>5W</v>
          </cell>
          <cell r="P30" t="str">
            <v>PONFCS</v>
          </cell>
          <cell r="Q30" t="str">
            <v>/  /</v>
          </cell>
        </row>
        <row r="31">
          <cell r="A31">
            <v>4644267</v>
          </cell>
          <cell r="B31">
            <v>44225</v>
          </cell>
          <cell r="C31" t="str">
            <v>PON</v>
          </cell>
          <cell r="D31">
            <v>637526787</v>
          </cell>
          <cell r="E31" t="str">
            <v>K20 Endeavour 1.B Move 50M GRY</v>
          </cell>
          <cell r="F31">
            <v>1</v>
          </cell>
          <cell r="G31">
            <v>0</v>
          </cell>
          <cell r="I31" t="str">
            <v>IC033</v>
          </cell>
          <cell r="L31">
            <v>32.5</v>
          </cell>
          <cell r="M31">
            <v>0.58399999999999996</v>
          </cell>
          <cell r="N31" t="str">
            <v>5W</v>
          </cell>
          <cell r="P31" t="str">
            <v>PONFCS</v>
          </cell>
          <cell r="Q31" t="str">
            <v>/  /</v>
          </cell>
        </row>
        <row r="32">
          <cell r="A32">
            <v>4644268</v>
          </cell>
          <cell r="B32">
            <v>44225</v>
          </cell>
          <cell r="C32" t="str">
            <v>PON</v>
          </cell>
          <cell r="D32">
            <v>637526787</v>
          </cell>
          <cell r="E32" t="str">
            <v>K20 Endeavour 1.B Move 50M GRY</v>
          </cell>
          <cell r="F32">
            <v>1</v>
          </cell>
          <cell r="G32">
            <v>0</v>
          </cell>
          <cell r="I32" t="str">
            <v>IC033</v>
          </cell>
          <cell r="L32">
            <v>32.5</v>
          </cell>
          <cell r="M32">
            <v>0.58399999999999996</v>
          </cell>
          <cell r="N32" t="str">
            <v>5W</v>
          </cell>
          <cell r="P32" t="str">
            <v>PONFCS</v>
          </cell>
          <cell r="Q32" t="str">
            <v>/  /</v>
          </cell>
        </row>
        <row r="33">
          <cell r="A33">
            <v>4644269</v>
          </cell>
          <cell r="B33">
            <v>44225</v>
          </cell>
          <cell r="C33" t="str">
            <v>PON</v>
          </cell>
          <cell r="D33">
            <v>637526787</v>
          </cell>
          <cell r="E33" t="str">
            <v>K20 Endeavour 1.B Move 50M GRY</v>
          </cell>
          <cell r="F33">
            <v>1</v>
          </cell>
          <cell r="G33">
            <v>0</v>
          </cell>
          <cell r="I33" t="str">
            <v>IC033</v>
          </cell>
          <cell r="L33">
            <v>32.5</v>
          </cell>
          <cell r="M33">
            <v>0.58399999999999996</v>
          </cell>
          <cell r="N33" t="str">
            <v>5W</v>
          </cell>
          <cell r="P33" t="str">
            <v>PONFCS</v>
          </cell>
          <cell r="Q33" t="str">
            <v>/  /</v>
          </cell>
        </row>
        <row r="34">
          <cell r="A34">
            <v>4644224</v>
          </cell>
          <cell r="B34">
            <v>44225</v>
          </cell>
          <cell r="C34" t="str">
            <v>PON</v>
          </cell>
          <cell r="D34">
            <v>637517341</v>
          </cell>
          <cell r="E34" t="str">
            <v>F21 PLANET2 5.7 L 53 BLK 500WH</v>
          </cell>
          <cell r="F34">
            <v>1</v>
          </cell>
          <cell r="G34">
            <v>0</v>
          </cell>
          <cell r="I34" t="str">
            <v>IC034</v>
          </cell>
          <cell r="L34">
            <v>32.299999999999997</v>
          </cell>
          <cell r="M34">
            <v>0.57799999999999996</v>
          </cell>
          <cell r="N34" t="str">
            <v>5W</v>
          </cell>
          <cell r="P34" t="str">
            <v>PONFCS</v>
          </cell>
          <cell r="Q34" t="str">
            <v>/  /</v>
          </cell>
        </row>
        <row r="35">
          <cell r="A35">
            <v>4644225</v>
          </cell>
          <cell r="B35">
            <v>44225</v>
          </cell>
          <cell r="C35" t="str">
            <v>PON</v>
          </cell>
          <cell r="D35">
            <v>637517341</v>
          </cell>
          <cell r="E35" t="str">
            <v>F21 PLANET2 5.7 L 53 BLK 500WH</v>
          </cell>
          <cell r="F35">
            <v>1</v>
          </cell>
          <cell r="G35">
            <v>0</v>
          </cell>
          <cell r="I35" t="str">
            <v>IC034</v>
          </cell>
          <cell r="L35">
            <v>32.299999999999997</v>
          </cell>
          <cell r="M35">
            <v>0.57799999999999996</v>
          </cell>
          <cell r="N35" t="str">
            <v>5W</v>
          </cell>
          <cell r="P35" t="str">
            <v>PONFCS</v>
          </cell>
          <cell r="Q35" t="str">
            <v>/  /</v>
          </cell>
        </row>
        <row r="36">
          <cell r="A36">
            <v>4644226</v>
          </cell>
          <cell r="B36">
            <v>44225</v>
          </cell>
          <cell r="C36" t="str">
            <v>PON</v>
          </cell>
          <cell r="D36">
            <v>637517341</v>
          </cell>
          <cell r="E36" t="str">
            <v>F21 PLANET2 5.7 L 53 BLK 500WH</v>
          </cell>
          <cell r="F36">
            <v>1</v>
          </cell>
          <cell r="G36">
            <v>0</v>
          </cell>
          <cell r="I36" t="str">
            <v>IC034</v>
          </cell>
          <cell r="L36">
            <v>32.299999999999997</v>
          </cell>
          <cell r="M36">
            <v>0.57799999999999996</v>
          </cell>
          <cell r="N36" t="str">
            <v>5W</v>
          </cell>
          <cell r="P36" t="str">
            <v>PONFCS</v>
          </cell>
          <cell r="Q36" t="str">
            <v>/  /</v>
          </cell>
        </row>
        <row r="37">
          <cell r="A37">
            <v>4644227</v>
          </cell>
          <cell r="B37">
            <v>44225</v>
          </cell>
          <cell r="C37" t="str">
            <v>PON</v>
          </cell>
          <cell r="D37">
            <v>637517341</v>
          </cell>
          <cell r="E37" t="str">
            <v>F21 PLANET2 5.7 L 53 BLK 500WH</v>
          </cell>
          <cell r="F37">
            <v>1</v>
          </cell>
          <cell r="G37">
            <v>0</v>
          </cell>
          <cell r="I37" t="str">
            <v>IC034</v>
          </cell>
          <cell r="L37">
            <v>32.299999999999997</v>
          </cell>
          <cell r="M37">
            <v>0.57799999999999996</v>
          </cell>
          <cell r="N37" t="str">
            <v>5W</v>
          </cell>
          <cell r="P37" t="str">
            <v>PONFCS</v>
          </cell>
          <cell r="Q37" t="str">
            <v>/  /</v>
          </cell>
        </row>
        <row r="38">
          <cell r="A38">
            <v>4008435</v>
          </cell>
          <cell r="B38">
            <v>43818</v>
          </cell>
          <cell r="C38" t="str">
            <v>PON</v>
          </cell>
          <cell r="D38" t="str">
            <v>X33618526</v>
          </cell>
          <cell r="E38" t="str">
            <v>FC EBF19 P/Sqre 9.7 54 MD Show</v>
          </cell>
          <cell r="F38">
            <v>1</v>
          </cell>
          <cell r="G38">
            <v>0</v>
          </cell>
          <cell r="I38" t="str">
            <v>IC034</v>
          </cell>
          <cell r="L38">
            <v>19.399999999999999</v>
          </cell>
          <cell r="M38">
            <v>0.58099999999999996</v>
          </cell>
          <cell r="N38" t="str">
            <v>5W</v>
          </cell>
          <cell r="P38" t="str">
            <v>PONFEB</v>
          </cell>
          <cell r="Q38" t="str">
            <v>/  /</v>
          </cell>
        </row>
        <row r="39">
          <cell r="A39">
            <v>4438526</v>
          </cell>
          <cell r="B39">
            <v>44102</v>
          </cell>
          <cell r="C39" t="str">
            <v>PON</v>
          </cell>
          <cell r="D39">
            <v>641012323</v>
          </cell>
          <cell r="E39" t="str">
            <v>F21 MARES 9.8 L 56 BLU</v>
          </cell>
          <cell r="F39">
            <v>1</v>
          </cell>
          <cell r="G39">
            <v>0</v>
          </cell>
          <cell r="I39" t="str">
            <v>IC041</v>
          </cell>
          <cell r="L39">
            <v>12.9</v>
          </cell>
          <cell r="M39">
            <v>0.33500000000000002</v>
          </cell>
          <cell r="N39" t="str">
            <v>5W</v>
          </cell>
          <cell r="P39" t="str">
            <v>PONFCS</v>
          </cell>
          <cell r="Q39" t="str">
            <v>/  /</v>
          </cell>
        </row>
        <row r="40">
          <cell r="A40">
            <v>4335991</v>
          </cell>
          <cell r="B40">
            <v>44040</v>
          </cell>
          <cell r="C40" t="str">
            <v>PON</v>
          </cell>
          <cell r="D40">
            <v>641078062</v>
          </cell>
          <cell r="E40" t="str">
            <v>C21 Aspero GRX Seabreeze/Blu54</v>
          </cell>
          <cell r="F40">
            <v>1</v>
          </cell>
          <cell r="G40">
            <v>0</v>
          </cell>
          <cell r="I40" t="str">
            <v>IC042</v>
          </cell>
          <cell r="L40">
            <v>14.5</v>
          </cell>
          <cell r="M40">
            <v>0.23200000000000001</v>
          </cell>
          <cell r="N40" t="str">
            <v>5W</v>
          </cell>
          <cell r="P40" t="str">
            <v>PONCVL</v>
          </cell>
          <cell r="Q40" t="str">
            <v>/  /</v>
          </cell>
        </row>
        <row r="41">
          <cell r="A41">
            <v>4413364</v>
          </cell>
          <cell r="B41">
            <v>44082</v>
          </cell>
          <cell r="C41" t="str">
            <v>PON</v>
          </cell>
          <cell r="D41">
            <v>641078157</v>
          </cell>
          <cell r="E41" t="str">
            <v>C21 P/Srs Frc Etap Carbn/Blk51</v>
          </cell>
          <cell r="F41">
            <v>1</v>
          </cell>
          <cell r="G41">
            <v>0</v>
          </cell>
          <cell r="I41" t="str">
            <v>IC042</v>
          </cell>
          <cell r="L41">
            <v>14.9</v>
          </cell>
          <cell r="M41">
            <v>0.23</v>
          </cell>
          <cell r="N41" t="str">
            <v>5W</v>
          </cell>
          <cell r="P41" t="str">
            <v>PONCVL</v>
          </cell>
          <cell r="Q41" t="str">
            <v>/  /</v>
          </cell>
        </row>
        <row r="42">
          <cell r="A42">
            <v>4413365</v>
          </cell>
          <cell r="B42">
            <v>44082</v>
          </cell>
          <cell r="C42" t="str">
            <v>PON</v>
          </cell>
          <cell r="D42">
            <v>641078157</v>
          </cell>
          <cell r="E42" t="str">
            <v>C21 P/Srs Frc Etap Carbn/Blk51</v>
          </cell>
          <cell r="F42">
            <v>1</v>
          </cell>
          <cell r="G42">
            <v>0</v>
          </cell>
          <cell r="I42" t="str">
            <v>IC042</v>
          </cell>
          <cell r="L42">
            <v>14.9</v>
          </cell>
          <cell r="M42">
            <v>0.23</v>
          </cell>
          <cell r="N42" t="str">
            <v>5W</v>
          </cell>
          <cell r="P42" t="str">
            <v>PONCVL</v>
          </cell>
          <cell r="Q42" t="str">
            <v>/  /</v>
          </cell>
        </row>
        <row r="43">
          <cell r="A43">
            <v>4413366</v>
          </cell>
          <cell r="B43">
            <v>44082</v>
          </cell>
          <cell r="C43" t="str">
            <v>PON</v>
          </cell>
          <cell r="D43">
            <v>641078157</v>
          </cell>
          <cell r="E43" t="str">
            <v>C21 P/Srs Frc Etap Carbn/Blk51</v>
          </cell>
          <cell r="F43">
            <v>1</v>
          </cell>
          <cell r="G43">
            <v>0</v>
          </cell>
          <cell r="I43" t="str">
            <v>IC042</v>
          </cell>
          <cell r="L43">
            <v>14.9</v>
          </cell>
          <cell r="M43">
            <v>0.23</v>
          </cell>
          <cell r="N43" t="str">
            <v>5W</v>
          </cell>
          <cell r="P43" t="str">
            <v>PONCVL</v>
          </cell>
          <cell r="Q43" t="str">
            <v>/  /</v>
          </cell>
        </row>
        <row r="44">
          <cell r="A44">
            <v>4040364</v>
          </cell>
          <cell r="B44">
            <v>43852</v>
          </cell>
          <cell r="C44" t="str">
            <v>PON</v>
          </cell>
          <cell r="D44">
            <v>633728552</v>
          </cell>
          <cell r="E44" t="str">
            <v>F20 PARALANE SQUARE 6.7 57L</v>
          </cell>
          <cell r="F44">
            <v>1</v>
          </cell>
          <cell r="G44">
            <v>0</v>
          </cell>
          <cell r="I44" t="str">
            <v>IC043</v>
          </cell>
          <cell r="L44">
            <v>25.9</v>
          </cell>
          <cell r="M44">
            <v>0.53200000000000003</v>
          </cell>
          <cell r="N44" t="str">
            <v>5W</v>
          </cell>
          <cell r="P44" t="str">
            <v>PONFCS</v>
          </cell>
          <cell r="Q44" t="str">
            <v>/  /</v>
          </cell>
        </row>
        <row r="45">
          <cell r="A45">
            <v>4086262</v>
          </cell>
          <cell r="B45">
            <v>43852</v>
          </cell>
          <cell r="C45" t="str">
            <v>PON</v>
          </cell>
          <cell r="D45">
            <v>633728552</v>
          </cell>
          <cell r="E45" t="str">
            <v>F20 PARALANE SQUARE 6.7 57L</v>
          </cell>
          <cell r="F45">
            <v>1</v>
          </cell>
          <cell r="G45">
            <v>0</v>
          </cell>
          <cell r="I45" t="str">
            <v>IC043</v>
          </cell>
          <cell r="L45">
            <v>25.9</v>
          </cell>
          <cell r="M45">
            <v>0.53200000000000003</v>
          </cell>
          <cell r="N45" t="str">
            <v>5W</v>
          </cell>
          <cell r="P45" t="str">
            <v>PONFCS</v>
          </cell>
          <cell r="Q45" t="str">
            <v>/  /</v>
          </cell>
        </row>
        <row r="46">
          <cell r="A46">
            <v>4087703</v>
          </cell>
          <cell r="B46">
            <v>43852</v>
          </cell>
          <cell r="C46" t="str">
            <v>PON</v>
          </cell>
          <cell r="D46">
            <v>633728552</v>
          </cell>
          <cell r="E46" t="str">
            <v>F20 PARALANE SQUARE 6.7 57L</v>
          </cell>
          <cell r="F46">
            <v>1</v>
          </cell>
          <cell r="G46">
            <v>0</v>
          </cell>
          <cell r="I46" t="str">
            <v>IC043</v>
          </cell>
          <cell r="L46">
            <v>25.9</v>
          </cell>
          <cell r="M46">
            <v>0.53200000000000003</v>
          </cell>
          <cell r="N46" t="str">
            <v>5W</v>
          </cell>
          <cell r="P46" t="str">
            <v>PONFCS</v>
          </cell>
          <cell r="Q46" t="str">
            <v>/  /</v>
          </cell>
        </row>
        <row r="47">
          <cell r="A47">
            <v>4571295</v>
          </cell>
          <cell r="B47">
            <v>44169</v>
          </cell>
          <cell r="C47" t="str">
            <v>PON</v>
          </cell>
          <cell r="D47">
            <v>637529071</v>
          </cell>
          <cell r="E47" t="str">
            <v>K20 End 7.B Advance 48M DI</v>
          </cell>
          <cell r="F47">
            <v>1</v>
          </cell>
          <cell r="G47">
            <v>0</v>
          </cell>
          <cell r="I47" t="str">
            <v>IC044</v>
          </cell>
          <cell r="L47">
            <v>35</v>
          </cell>
          <cell r="M47">
            <v>0.58399999999999996</v>
          </cell>
          <cell r="N47" t="str">
            <v>5W</v>
          </cell>
          <cell r="P47" t="str">
            <v>PONFCS</v>
          </cell>
          <cell r="Q47" t="str">
            <v>/  /</v>
          </cell>
        </row>
        <row r="48">
          <cell r="A48">
            <v>4571296</v>
          </cell>
          <cell r="B48">
            <v>44169</v>
          </cell>
          <cell r="C48" t="str">
            <v>PON</v>
          </cell>
          <cell r="D48">
            <v>637529071</v>
          </cell>
          <cell r="E48" t="str">
            <v>K20 End 7.B Advance 48M DI</v>
          </cell>
          <cell r="F48">
            <v>1</v>
          </cell>
          <cell r="G48">
            <v>0</v>
          </cell>
          <cell r="I48" t="str">
            <v>IC044</v>
          </cell>
          <cell r="L48">
            <v>35</v>
          </cell>
          <cell r="M48">
            <v>0.58399999999999996</v>
          </cell>
          <cell r="N48" t="str">
            <v>5W</v>
          </cell>
          <cell r="P48" t="str">
            <v>PONFCS</v>
          </cell>
          <cell r="Q48" t="str">
            <v>/  /</v>
          </cell>
        </row>
        <row r="49">
          <cell r="A49">
            <v>4406628</v>
          </cell>
          <cell r="B49">
            <v>44082</v>
          </cell>
          <cell r="C49" t="str">
            <v>PON</v>
          </cell>
          <cell r="D49">
            <v>637618602</v>
          </cell>
          <cell r="E49" t="str">
            <v>F20 PARALANE SQE 6.6 COMM 57L</v>
          </cell>
          <cell r="F49">
            <v>1</v>
          </cell>
          <cell r="G49">
            <v>0</v>
          </cell>
          <cell r="I49" t="str">
            <v>IC044</v>
          </cell>
          <cell r="L49">
            <v>25.2</v>
          </cell>
          <cell r="M49">
            <v>0.58099999999999996</v>
          </cell>
          <cell r="N49" t="str">
            <v>5W</v>
          </cell>
          <cell r="P49" t="str">
            <v>PONFCS</v>
          </cell>
          <cell r="Q49" t="str">
            <v>/  /</v>
          </cell>
        </row>
        <row r="50">
          <cell r="A50">
            <v>4406629</v>
          </cell>
          <cell r="B50">
            <v>44082</v>
          </cell>
          <cell r="C50" t="str">
            <v>PON</v>
          </cell>
          <cell r="D50">
            <v>637618602</v>
          </cell>
          <cell r="E50" t="str">
            <v>F20 PARALANE SQE 6.6 COMM 57L</v>
          </cell>
          <cell r="F50">
            <v>1</v>
          </cell>
          <cell r="G50">
            <v>0</v>
          </cell>
          <cell r="I50" t="str">
            <v>IC044</v>
          </cell>
          <cell r="L50">
            <v>25.2</v>
          </cell>
          <cell r="M50">
            <v>0.58099999999999996</v>
          </cell>
          <cell r="N50" t="str">
            <v>5W</v>
          </cell>
          <cell r="P50" t="str">
            <v>PONFCS</v>
          </cell>
          <cell r="Q50" t="str">
            <v>/  /</v>
          </cell>
        </row>
        <row r="51">
          <cell r="A51">
            <v>4165524</v>
          </cell>
          <cell r="B51">
            <v>43913</v>
          </cell>
          <cell r="C51" t="str">
            <v>PON</v>
          </cell>
          <cell r="D51">
            <v>637012013</v>
          </cell>
          <cell r="E51" t="str">
            <v>F20 IZ MAX DISC 9.8 54M</v>
          </cell>
          <cell r="F51">
            <v>1</v>
          </cell>
          <cell r="G51">
            <v>0</v>
          </cell>
          <cell r="I51" t="str">
            <v>IC051</v>
          </cell>
          <cell r="L51">
            <v>12</v>
          </cell>
          <cell r="M51">
            <v>0.34</v>
          </cell>
          <cell r="N51" t="str">
            <v>5W</v>
          </cell>
          <cell r="P51" t="str">
            <v>PONFCS</v>
          </cell>
          <cell r="Q51" t="str">
            <v>/  /</v>
          </cell>
        </row>
        <row r="52">
          <cell r="A52">
            <v>4644244</v>
          </cell>
          <cell r="B52">
            <v>44225</v>
          </cell>
          <cell r="C52" t="str">
            <v>PON</v>
          </cell>
          <cell r="D52">
            <v>637517352</v>
          </cell>
          <cell r="E52" t="str">
            <v>F21 PLANET2 5.7 TRL53 BLK 500W</v>
          </cell>
          <cell r="F52">
            <v>1</v>
          </cell>
          <cell r="G52">
            <v>0</v>
          </cell>
          <cell r="I52" t="str">
            <v>IC053</v>
          </cell>
          <cell r="L52">
            <v>32.299999999999997</v>
          </cell>
          <cell r="M52">
            <v>0.57799999999999996</v>
          </cell>
          <cell r="N52" t="str">
            <v>5W</v>
          </cell>
          <cell r="P52" t="str">
            <v>PONFCS</v>
          </cell>
          <cell r="Q52" t="str">
            <v>/  /</v>
          </cell>
        </row>
        <row r="53">
          <cell r="A53">
            <v>4644245</v>
          </cell>
          <cell r="B53">
            <v>44225</v>
          </cell>
          <cell r="C53" t="str">
            <v>PON</v>
          </cell>
          <cell r="D53">
            <v>637517352</v>
          </cell>
          <cell r="E53" t="str">
            <v>F21 PLANET2 5.7 TRL53 BLK 500W</v>
          </cell>
          <cell r="F53">
            <v>1</v>
          </cell>
          <cell r="G53">
            <v>0</v>
          </cell>
          <cell r="I53" t="str">
            <v>IC053</v>
          </cell>
          <cell r="L53">
            <v>32.299999999999997</v>
          </cell>
          <cell r="M53">
            <v>0.57799999999999996</v>
          </cell>
          <cell r="N53" t="str">
            <v>5W</v>
          </cell>
          <cell r="P53" t="str">
            <v>PONFCS</v>
          </cell>
          <cell r="Q53" t="str">
            <v>/  /</v>
          </cell>
        </row>
        <row r="54">
          <cell r="A54">
            <v>4644246</v>
          </cell>
          <cell r="B54">
            <v>44225</v>
          </cell>
          <cell r="C54" t="str">
            <v>PON</v>
          </cell>
          <cell r="D54">
            <v>637517352</v>
          </cell>
          <cell r="E54" t="str">
            <v>F21 PLANET2 5.7 TRL53 BLK 500W</v>
          </cell>
          <cell r="F54">
            <v>1</v>
          </cell>
          <cell r="G54">
            <v>0</v>
          </cell>
          <cell r="I54" t="str">
            <v>IC053</v>
          </cell>
          <cell r="L54">
            <v>32.299999999999997</v>
          </cell>
          <cell r="M54">
            <v>0.57799999999999996</v>
          </cell>
          <cell r="N54" t="str">
            <v>5W</v>
          </cell>
          <cell r="P54" t="str">
            <v>PONFCS</v>
          </cell>
          <cell r="Q54" t="str">
            <v>/  /</v>
          </cell>
        </row>
        <row r="55">
          <cell r="A55">
            <v>4541398</v>
          </cell>
          <cell r="B55">
            <v>44160</v>
          </cell>
          <cell r="C55" t="str">
            <v>PON</v>
          </cell>
          <cell r="D55">
            <v>637529081</v>
          </cell>
          <cell r="E55" t="str">
            <v>K21 Endeavour 7.B Move M 48 Di</v>
          </cell>
          <cell r="F55">
            <v>1</v>
          </cell>
          <cell r="G55">
            <v>0</v>
          </cell>
          <cell r="I55" t="str">
            <v>IC053</v>
          </cell>
          <cell r="L55">
            <v>34.5</v>
          </cell>
          <cell r="M55">
            <v>0.57299999999999995</v>
          </cell>
          <cell r="N55" t="str">
            <v>5W</v>
          </cell>
          <cell r="P55" t="str">
            <v>PONFCS</v>
          </cell>
          <cell r="Q55" t="str">
            <v>/  /</v>
          </cell>
        </row>
        <row r="56">
          <cell r="A56">
            <v>4433337</v>
          </cell>
          <cell r="B56">
            <v>44096</v>
          </cell>
          <cell r="C56" t="str">
            <v>PON</v>
          </cell>
          <cell r="D56">
            <v>637526051</v>
          </cell>
          <cell r="E56" t="str">
            <v>K21 ENDV 1.B MOVE 400 M 50</v>
          </cell>
          <cell r="F56">
            <v>1</v>
          </cell>
          <cell r="G56">
            <v>0</v>
          </cell>
          <cell r="I56" t="str">
            <v>IC054</v>
          </cell>
          <cell r="L56">
            <v>31.5</v>
          </cell>
          <cell r="M56">
            <v>0.57799999999999996</v>
          </cell>
          <cell r="N56" t="str">
            <v>5W</v>
          </cell>
          <cell r="P56" t="str">
            <v>PONFCS</v>
          </cell>
          <cell r="Q56" t="str">
            <v>/  /</v>
          </cell>
        </row>
        <row r="57">
          <cell r="A57">
            <v>4644351</v>
          </cell>
          <cell r="B57">
            <v>44225</v>
          </cell>
          <cell r="C57" t="str">
            <v>PON</v>
          </cell>
          <cell r="D57">
            <v>637527027</v>
          </cell>
          <cell r="E57" t="str">
            <v>K20 Endeavour 3.B Move 45S WA</v>
          </cell>
          <cell r="F57">
            <v>1</v>
          </cell>
          <cell r="G57">
            <v>0</v>
          </cell>
          <cell r="I57" t="str">
            <v>IC054</v>
          </cell>
          <cell r="L57">
            <v>33</v>
          </cell>
          <cell r="M57">
            <v>0.53200000000000003</v>
          </cell>
          <cell r="N57" t="str">
            <v>5W</v>
          </cell>
          <cell r="P57" t="str">
            <v>PONFCS</v>
          </cell>
          <cell r="Q57" t="str">
            <v>/  /</v>
          </cell>
        </row>
        <row r="58">
          <cell r="A58">
            <v>4644352</v>
          </cell>
          <cell r="B58">
            <v>44225</v>
          </cell>
          <cell r="C58" t="str">
            <v>PON</v>
          </cell>
          <cell r="D58">
            <v>637527027</v>
          </cell>
          <cell r="E58" t="str">
            <v>K20 Endeavour 3.B Move 45S WA</v>
          </cell>
          <cell r="F58">
            <v>1</v>
          </cell>
          <cell r="G58">
            <v>0</v>
          </cell>
          <cell r="I58" t="str">
            <v>IC054</v>
          </cell>
          <cell r="L58">
            <v>33</v>
          </cell>
          <cell r="M58">
            <v>0.53200000000000003</v>
          </cell>
          <cell r="N58" t="str">
            <v>5W</v>
          </cell>
          <cell r="P58" t="str">
            <v>PONFCS</v>
          </cell>
          <cell r="Q58" t="str">
            <v>/  /</v>
          </cell>
        </row>
        <row r="59">
          <cell r="A59">
            <v>4644353</v>
          </cell>
          <cell r="B59">
            <v>44225</v>
          </cell>
          <cell r="C59" t="str">
            <v>PON</v>
          </cell>
          <cell r="D59">
            <v>637527027</v>
          </cell>
          <cell r="E59" t="str">
            <v>K20 Endeavour 3.B Move 45S WA</v>
          </cell>
          <cell r="F59">
            <v>1</v>
          </cell>
          <cell r="G59">
            <v>0</v>
          </cell>
          <cell r="I59" t="str">
            <v>IC054</v>
          </cell>
          <cell r="L59">
            <v>33</v>
          </cell>
          <cell r="M59">
            <v>0.53200000000000003</v>
          </cell>
          <cell r="N59" t="str">
            <v>5W</v>
          </cell>
          <cell r="P59" t="str">
            <v>PONFCS</v>
          </cell>
          <cell r="Q59" t="str">
            <v>/  /</v>
          </cell>
        </row>
        <row r="60">
          <cell r="A60">
            <v>4413411</v>
          </cell>
          <cell r="B60">
            <v>44082</v>
          </cell>
          <cell r="C60" t="str">
            <v>PON</v>
          </cell>
          <cell r="D60">
            <v>641078179</v>
          </cell>
          <cell r="E60" t="str">
            <v>C21 P/Srs Ult Di2 Carbon/Blk58</v>
          </cell>
          <cell r="F60">
            <v>1</v>
          </cell>
          <cell r="G60">
            <v>0</v>
          </cell>
          <cell r="I60" t="str">
            <v>IC062</v>
          </cell>
          <cell r="L60">
            <v>15.1</v>
          </cell>
          <cell r="M60">
            <v>0.24399999999999999</v>
          </cell>
          <cell r="N60" t="str">
            <v>5W</v>
          </cell>
          <cell r="P60" t="str">
            <v>PONCVL</v>
          </cell>
          <cell r="Q60" t="str">
            <v>/  /</v>
          </cell>
        </row>
        <row r="61">
          <cell r="A61">
            <v>4413412</v>
          </cell>
          <cell r="B61">
            <v>44082</v>
          </cell>
          <cell r="C61" t="str">
            <v>PON</v>
          </cell>
          <cell r="D61">
            <v>641078179</v>
          </cell>
          <cell r="E61" t="str">
            <v>C21 P/Srs Ult Di2 Carbon/Blk58</v>
          </cell>
          <cell r="F61">
            <v>1</v>
          </cell>
          <cell r="G61">
            <v>0</v>
          </cell>
          <cell r="I61" t="str">
            <v>IC062</v>
          </cell>
          <cell r="L61">
            <v>15.1</v>
          </cell>
          <cell r="M61">
            <v>0.24399999999999999</v>
          </cell>
          <cell r="N61" t="str">
            <v>5W</v>
          </cell>
          <cell r="P61" t="str">
            <v>PONCVL</v>
          </cell>
          <cell r="Q61" t="str">
            <v>/  /</v>
          </cell>
        </row>
        <row r="62">
          <cell r="A62">
            <v>4614093</v>
          </cell>
          <cell r="B62">
            <v>44203</v>
          </cell>
          <cell r="C62" t="str">
            <v>PON</v>
          </cell>
          <cell r="D62">
            <v>641078339</v>
          </cell>
          <cell r="E62" t="str">
            <v>C21 R5 Disc Ult Grn/Gld/Wht 56</v>
          </cell>
          <cell r="F62">
            <v>1</v>
          </cell>
          <cell r="G62">
            <v>0</v>
          </cell>
          <cell r="I62" t="str">
            <v>IC062</v>
          </cell>
          <cell r="L62">
            <v>13.2</v>
          </cell>
          <cell r="M62">
            <v>0.26300000000000001</v>
          </cell>
          <cell r="N62" t="str">
            <v>5W</v>
          </cell>
          <cell r="P62" t="str">
            <v>PONCVL</v>
          </cell>
          <cell r="Q62" t="str">
            <v>/  /</v>
          </cell>
        </row>
        <row r="63">
          <cell r="A63">
            <v>4614094</v>
          </cell>
          <cell r="B63">
            <v>44203</v>
          </cell>
          <cell r="C63" t="str">
            <v>PON</v>
          </cell>
          <cell r="D63">
            <v>641078339</v>
          </cell>
          <cell r="E63" t="str">
            <v>C21 R5 Disc Ult Grn/Gld/Wht 56</v>
          </cell>
          <cell r="F63">
            <v>1</v>
          </cell>
          <cell r="G63">
            <v>0</v>
          </cell>
          <cell r="I63" t="str">
            <v>IC062</v>
          </cell>
          <cell r="L63">
            <v>13.2</v>
          </cell>
          <cell r="M63">
            <v>0.26300000000000001</v>
          </cell>
          <cell r="N63" t="str">
            <v>5W</v>
          </cell>
          <cell r="P63" t="str">
            <v>PONCVL</v>
          </cell>
          <cell r="Q63" t="str">
            <v>/  /</v>
          </cell>
        </row>
        <row r="64">
          <cell r="A64">
            <v>4644270</v>
          </cell>
          <cell r="B64">
            <v>44225</v>
          </cell>
          <cell r="C64" t="str">
            <v>PON</v>
          </cell>
          <cell r="D64">
            <v>637526787</v>
          </cell>
          <cell r="E64" t="str">
            <v>K20 Endeavour 1.B Move 50M GRY</v>
          </cell>
          <cell r="F64">
            <v>1</v>
          </cell>
          <cell r="G64">
            <v>0</v>
          </cell>
          <cell r="I64" t="str">
            <v>IC063</v>
          </cell>
          <cell r="L64">
            <v>32.5</v>
          </cell>
          <cell r="M64">
            <v>0.58399999999999996</v>
          </cell>
          <cell r="N64" t="str">
            <v>5W</v>
          </cell>
          <cell r="P64" t="str">
            <v>PONFCS</v>
          </cell>
          <cell r="Q64" t="str">
            <v>/  /</v>
          </cell>
        </row>
        <row r="65">
          <cell r="A65">
            <v>4406637</v>
          </cell>
          <cell r="B65">
            <v>44082</v>
          </cell>
          <cell r="C65" t="str">
            <v>PON</v>
          </cell>
          <cell r="D65">
            <v>637618603</v>
          </cell>
          <cell r="E65" t="str">
            <v>F20 PARALANE SQE 6.6 COMM 60XL</v>
          </cell>
          <cell r="F65">
            <v>1</v>
          </cell>
          <cell r="G65">
            <v>0</v>
          </cell>
          <cell r="I65" t="str">
            <v>IC063</v>
          </cell>
          <cell r="L65">
            <v>25</v>
          </cell>
          <cell r="M65">
            <v>0.53200000000000003</v>
          </cell>
          <cell r="N65" t="str">
            <v>5W</v>
          </cell>
          <cell r="P65" t="str">
            <v>PONFCS</v>
          </cell>
          <cell r="Q65" t="str">
            <v>/  /</v>
          </cell>
        </row>
        <row r="66">
          <cell r="A66">
            <v>4406638</v>
          </cell>
          <cell r="B66">
            <v>44082</v>
          </cell>
          <cell r="C66" t="str">
            <v>PON</v>
          </cell>
          <cell r="D66">
            <v>637618603</v>
          </cell>
          <cell r="E66" t="str">
            <v>F20 PARALANE SQE 6.6 COMM 60XL</v>
          </cell>
          <cell r="F66">
            <v>1</v>
          </cell>
          <cell r="G66">
            <v>0</v>
          </cell>
          <cell r="I66" t="str">
            <v>IC063</v>
          </cell>
          <cell r="L66">
            <v>25</v>
          </cell>
          <cell r="M66">
            <v>0.53200000000000003</v>
          </cell>
          <cell r="N66" t="str">
            <v>5W</v>
          </cell>
          <cell r="P66" t="str">
            <v>PONFCS</v>
          </cell>
          <cell r="Q66" t="str">
            <v>/  /</v>
          </cell>
        </row>
        <row r="67">
          <cell r="A67">
            <v>4403926</v>
          </cell>
          <cell r="B67">
            <v>44081</v>
          </cell>
          <cell r="C67" t="str">
            <v>PON</v>
          </cell>
          <cell r="D67">
            <v>637518063</v>
          </cell>
          <cell r="E67" t="str">
            <v>F21 THRON2 6.8 EQP XL 50 GRY</v>
          </cell>
          <cell r="F67">
            <v>1</v>
          </cell>
          <cell r="G67">
            <v>0</v>
          </cell>
          <cell r="I67" t="str">
            <v>IC064</v>
          </cell>
          <cell r="L67">
            <v>36.200000000000003</v>
          </cell>
          <cell r="M67">
            <v>0.57799999999999996</v>
          </cell>
          <cell r="N67" t="str">
            <v>5W</v>
          </cell>
          <cell r="P67" t="str">
            <v>PONFCS</v>
          </cell>
          <cell r="Q67" t="str">
            <v>/  /</v>
          </cell>
        </row>
        <row r="68">
          <cell r="A68">
            <v>4438498</v>
          </cell>
          <cell r="B68">
            <v>44102</v>
          </cell>
          <cell r="C68" t="str">
            <v>PON</v>
          </cell>
          <cell r="D68">
            <v>641012321</v>
          </cell>
          <cell r="E68" t="str">
            <v>F21 MARES 9.8 S 51 BLU</v>
          </cell>
          <cell r="F68">
            <v>1</v>
          </cell>
          <cell r="G68">
            <v>0</v>
          </cell>
          <cell r="I68" t="str">
            <v>IC071</v>
          </cell>
          <cell r="L68">
            <v>12.7</v>
          </cell>
          <cell r="M68">
            <v>0.33500000000000002</v>
          </cell>
          <cell r="N68" t="str">
            <v>5W</v>
          </cell>
          <cell r="P68" t="str">
            <v>PONFCS</v>
          </cell>
          <cell r="Q68" t="str">
            <v>/  /</v>
          </cell>
        </row>
        <row r="69">
          <cell r="A69">
            <v>4036400</v>
          </cell>
          <cell r="B69">
            <v>43851</v>
          </cell>
          <cell r="C69" t="str">
            <v>PON</v>
          </cell>
          <cell r="D69">
            <v>614508066</v>
          </cell>
          <cell r="E69" t="str">
            <v>FC F14 FS IZTeam 1.0 60 XXLDi2</v>
          </cell>
          <cell r="F69">
            <v>1</v>
          </cell>
          <cell r="G69">
            <v>0</v>
          </cell>
          <cell r="I69" t="str">
            <v>IC072</v>
          </cell>
          <cell r="L69">
            <v>3.8</v>
          </cell>
          <cell r="M69">
            <v>0.16600000000000001</v>
          </cell>
          <cell r="N69" t="str">
            <v>5W</v>
          </cell>
          <cell r="P69" t="str">
            <v>PONFCS</v>
          </cell>
          <cell r="Q69" t="str">
            <v>/  /</v>
          </cell>
        </row>
        <row r="70">
          <cell r="A70">
            <v>4614215</v>
          </cell>
          <cell r="B70">
            <v>44203</v>
          </cell>
          <cell r="C70" t="str">
            <v>PON</v>
          </cell>
          <cell r="D70">
            <v>641078287</v>
          </cell>
          <cell r="E70" t="str">
            <v>C21 S/Srs D/Ult Gry,Slvr,Gry58</v>
          </cell>
          <cell r="F70">
            <v>1</v>
          </cell>
          <cell r="G70">
            <v>0</v>
          </cell>
          <cell r="I70" t="str">
            <v>IC072</v>
          </cell>
          <cell r="L70">
            <v>13.8</v>
          </cell>
          <cell r="M70">
            <v>0.24399999999999999</v>
          </cell>
          <cell r="N70" t="str">
            <v>5W</v>
          </cell>
          <cell r="P70" t="str">
            <v>PONCVL</v>
          </cell>
          <cell r="Q70" t="str">
            <v>/  /</v>
          </cell>
        </row>
        <row r="71">
          <cell r="A71">
            <v>4036442</v>
          </cell>
          <cell r="B71">
            <v>43851</v>
          </cell>
          <cell r="C71" t="str">
            <v>PON</v>
          </cell>
          <cell r="D71" t="str">
            <v>C12T3CFS58</v>
          </cell>
          <cell r="E71" t="str">
            <v>Cervelo C12 T3C FS 58CM</v>
          </cell>
          <cell r="F71">
            <v>1</v>
          </cell>
          <cell r="G71">
            <v>0</v>
          </cell>
          <cell r="I71" t="str">
            <v>IC072</v>
          </cell>
          <cell r="L71">
            <v>5.5</v>
          </cell>
          <cell r="M71">
            <v>0.16</v>
          </cell>
          <cell r="N71" t="str">
            <v>5W</v>
          </cell>
          <cell r="P71" t="str">
            <v>PONCVL</v>
          </cell>
          <cell r="Q71" t="str">
            <v>/  /</v>
          </cell>
        </row>
        <row r="72">
          <cell r="A72">
            <v>4587068</v>
          </cell>
          <cell r="B72">
            <v>44181</v>
          </cell>
          <cell r="C72" t="str">
            <v>PON</v>
          </cell>
          <cell r="D72">
            <v>641528405</v>
          </cell>
          <cell r="E72" t="str">
            <v>K21 Image 5.B Excite Wa S43</v>
          </cell>
          <cell r="F72">
            <v>1</v>
          </cell>
          <cell r="G72">
            <v>0</v>
          </cell>
          <cell r="I72" t="str">
            <v>IC073</v>
          </cell>
          <cell r="L72">
            <v>37</v>
          </cell>
          <cell r="M72">
            <v>0.57299999999999995</v>
          </cell>
          <cell r="N72" t="str">
            <v>5W</v>
          </cell>
          <cell r="P72" t="str">
            <v>PONFCS</v>
          </cell>
          <cell r="Q72" t="str">
            <v>/  /</v>
          </cell>
        </row>
        <row r="73">
          <cell r="A73">
            <v>4020096</v>
          </cell>
          <cell r="B73">
            <v>43837</v>
          </cell>
          <cell r="C73" t="str">
            <v>PON</v>
          </cell>
          <cell r="D73" t="str">
            <v>A5974</v>
          </cell>
          <cell r="E73" t="str">
            <v>GZ G19 Vento C7 HMB 57 Men Blk</v>
          </cell>
          <cell r="F73">
            <v>1</v>
          </cell>
          <cell r="G73">
            <v>0</v>
          </cell>
          <cell r="I73" t="str">
            <v>IC073</v>
          </cell>
          <cell r="L73">
            <v>31.7</v>
          </cell>
          <cell r="M73">
            <v>0.61499999999999999</v>
          </cell>
          <cell r="N73" t="str">
            <v>5W</v>
          </cell>
          <cell r="P73" t="str">
            <v>PONGAZ</v>
          </cell>
          <cell r="Q73" t="str">
            <v>/  /</v>
          </cell>
        </row>
        <row r="74">
          <cell r="A74">
            <v>4088119</v>
          </cell>
          <cell r="B74">
            <v>43808</v>
          </cell>
          <cell r="C74" t="str">
            <v>PON</v>
          </cell>
          <cell r="D74">
            <v>633728532</v>
          </cell>
          <cell r="E74" t="str">
            <v>FC EBikeF19 P/Sqre 9.6 57L Red</v>
          </cell>
          <cell r="F74">
            <v>1</v>
          </cell>
          <cell r="G74">
            <v>0</v>
          </cell>
          <cell r="I74" t="str">
            <v>IC074</v>
          </cell>
          <cell r="L74">
            <v>23.6</v>
          </cell>
          <cell r="M74">
            <v>0.58099999999999996</v>
          </cell>
          <cell r="N74" t="str">
            <v>5W</v>
          </cell>
          <cell r="P74" t="str">
            <v>PONFEB</v>
          </cell>
          <cell r="Q74" t="str">
            <v>/  /</v>
          </cell>
        </row>
        <row r="75">
          <cell r="A75">
            <v>4587069</v>
          </cell>
          <cell r="B75">
            <v>44181</v>
          </cell>
          <cell r="C75" t="str">
            <v>PON</v>
          </cell>
          <cell r="D75">
            <v>641528405</v>
          </cell>
          <cell r="E75" t="str">
            <v>K21 Image 5.B Excite Wa S43</v>
          </cell>
          <cell r="F75">
            <v>1</v>
          </cell>
          <cell r="G75">
            <v>0</v>
          </cell>
          <cell r="I75" t="str">
            <v>IC074</v>
          </cell>
          <cell r="L75">
            <v>37</v>
          </cell>
          <cell r="M75">
            <v>0.57299999999999995</v>
          </cell>
          <cell r="N75" t="str">
            <v>5W</v>
          </cell>
          <cell r="P75" t="str">
            <v>PONFCS</v>
          </cell>
          <cell r="Q75" t="str">
            <v>/  /</v>
          </cell>
        </row>
        <row r="76">
          <cell r="A76">
            <v>4632472</v>
          </cell>
          <cell r="B76">
            <v>44217</v>
          </cell>
          <cell r="C76" t="str">
            <v>PON</v>
          </cell>
          <cell r="D76">
            <v>637007050</v>
          </cell>
          <cell r="E76" t="str">
            <v>F20 Jam 6.7 Nine 42 S</v>
          </cell>
          <cell r="F76">
            <v>1</v>
          </cell>
          <cell r="G76">
            <v>0</v>
          </cell>
          <cell r="I76" t="str">
            <v>IC081</v>
          </cell>
          <cell r="L76">
            <v>21.6</v>
          </cell>
          <cell r="M76">
            <v>0.31900000000000001</v>
          </cell>
          <cell r="N76" t="str">
            <v>5W</v>
          </cell>
          <cell r="P76" t="str">
            <v>PONFCS</v>
          </cell>
          <cell r="Q76" t="str">
            <v>/  /</v>
          </cell>
        </row>
        <row r="77">
          <cell r="A77">
            <v>4632474</v>
          </cell>
          <cell r="B77">
            <v>44217</v>
          </cell>
          <cell r="C77" t="str">
            <v>PON</v>
          </cell>
          <cell r="D77">
            <v>637007052</v>
          </cell>
          <cell r="E77" t="str">
            <v>F20 Jam 6.7 Nine 48 L</v>
          </cell>
          <cell r="F77">
            <v>1</v>
          </cell>
          <cell r="G77">
            <v>0</v>
          </cell>
          <cell r="I77" t="str">
            <v>IC081</v>
          </cell>
          <cell r="L77">
            <v>22</v>
          </cell>
          <cell r="M77">
            <v>0.32300000000000001</v>
          </cell>
          <cell r="N77" t="str">
            <v>5W</v>
          </cell>
          <cell r="P77" t="str">
            <v>PONFCS</v>
          </cell>
          <cell r="Q77" t="str">
            <v>/  /</v>
          </cell>
        </row>
        <row r="78">
          <cell r="A78">
            <v>4363274</v>
          </cell>
          <cell r="B78">
            <v>44056</v>
          </cell>
          <cell r="C78" t="str">
            <v>PON</v>
          </cell>
          <cell r="D78">
            <v>637012354</v>
          </cell>
          <cell r="E78" t="str">
            <v>F21 MARES 6.9 XL 58 BLK</v>
          </cell>
          <cell r="F78">
            <v>1</v>
          </cell>
          <cell r="G78">
            <v>0</v>
          </cell>
          <cell r="I78" t="str">
            <v>IC081</v>
          </cell>
          <cell r="L78">
            <v>14</v>
          </cell>
          <cell r="M78">
            <v>0.33600000000000002</v>
          </cell>
          <cell r="N78" t="str">
            <v>5W</v>
          </cell>
          <cell r="P78" t="str">
            <v>PONFCS</v>
          </cell>
          <cell r="Q78" t="str">
            <v>/  /</v>
          </cell>
        </row>
        <row r="79">
          <cell r="A79">
            <v>4438522</v>
          </cell>
          <cell r="B79">
            <v>44102</v>
          </cell>
          <cell r="C79" t="str">
            <v>PON</v>
          </cell>
          <cell r="D79">
            <v>641012323</v>
          </cell>
          <cell r="E79" t="str">
            <v>F21 MARES 9.8 L 56 BLU</v>
          </cell>
          <cell r="F79">
            <v>1</v>
          </cell>
          <cell r="G79">
            <v>0</v>
          </cell>
          <cell r="I79" t="str">
            <v>IC081</v>
          </cell>
          <cell r="L79">
            <v>12.9</v>
          </cell>
          <cell r="M79">
            <v>0.33500000000000002</v>
          </cell>
          <cell r="N79" t="str">
            <v>5W</v>
          </cell>
          <cell r="P79" t="str">
            <v>PONFCS</v>
          </cell>
          <cell r="Q79" t="str">
            <v>/  /</v>
          </cell>
        </row>
        <row r="80">
          <cell r="A80">
            <v>4438523</v>
          </cell>
          <cell r="B80">
            <v>44102</v>
          </cell>
          <cell r="C80" t="str">
            <v>PON</v>
          </cell>
          <cell r="D80">
            <v>641012323</v>
          </cell>
          <cell r="E80" t="str">
            <v>F21 MARES 9.8 L 56 BLU</v>
          </cell>
          <cell r="F80">
            <v>1</v>
          </cell>
          <cell r="G80">
            <v>0</v>
          </cell>
          <cell r="I80" t="str">
            <v>IC081</v>
          </cell>
          <cell r="L80">
            <v>12.9</v>
          </cell>
          <cell r="M80">
            <v>0.33500000000000002</v>
          </cell>
          <cell r="N80" t="str">
            <v>5W</v>
          </cell>
          <cell r="P80" t="str">
            <v>PONFCS</v>
          </cell>
          <cell r="Q80" t="str">
            <v>/  /</v>
          </cell>
        </row>
        <row r="81">
          <cell r="A81">
            <v>4336013</v>
          </cell>
          <cell r="B81">
            <v>44040</v>
          </cell>
          <cell r="C81" t="str">
            <v>PON</v>
          </cell>
          <cell r="D81">
            <v>641078064</v>
          </cell>
          <cell r="E81" t="str">
            <v>C21 Aspero GRX Seabreeze/Blu58</v>
          </cell>
          <cell r="F81">
            <v>1</v>
          </cell>
          <cell r="G81">
            <v>0</v>
          </cell>
          <cell r="I81" t="str">
            <v>IC082</v>
          </cell>
          <cell r="L81">
            <v>14.6</v>
          </cell>
          <cell r="M81">
            <v>0.23200000000000001</v>
          </cell>
          <cell r="N81" t="str">
            <v>5W</v>
          </cell>
          <cell r="P81" t="str">
            <v>PONCVL</v>
          </cell>
          <cell r="Q81" t="str">
            <v>/  /</v>
          </cell>
        </row>
        <row r="82">
          <cell r="A82">
            <v>4336014</v>
          </cell>
          <cell r="B82">
            <v>44040</v>
          </cell>
          <cell r="C82" t="str">
            <v>PON</v>
          </cell>
          <cell r="D82">
            <v>641078064</v>
          </cell>
          <cell r="E82" t="str">
            <v>C21 Aspero GRX Seabreeze/Blu58</v>
          </cell>
          <cell r="F82">
            <v>1</v>
          </cell>
          <cell r="G82">
            <v>0</v>
          </cell>
          <cell r="I82" t="str">
            <v>IC082</v>
          </cell>
          <cell r="L82">
            <v>14.6</v>
          </cell>
          <cell r="M82">
            <v>0.23200000000000001</v>
          </cell>
          <cell r="N82" t="str">
            <v>5W</v>
          </cell>
          <cell r="P82" t="str">
            <v>PONCVL</v>
          </cell>
          <cell r="Q82" t="str">
            <v>/  /</v>
          </cell>
        </row>
        <row r="83">
          <cell r="A83">
            <v>4336015</v>
          </cell>
          <cell r="B83">
            <v>44040</v>
          </cell>
          <cell r="C83" t="str">
            <v>PON</v>
          </cell>
          <cell r="D83">
            <v>641078064</v>
          </cell>
          <cell r="E83" t="str">
            <v>C21 Aspero GRX Seabreeze/Blu58</v>
          </cell>
          <cell r="F83">
            <v>1</v>
          </cell>
          <cell r="G83">
            <v>0</v>
          </cell>
          <cell r="I83" t="str">
            <v>IC082</v>
          </cell>
          <cell r="L83">
            <v>14.6</v>
          </cell>
          <cell r="M83">
            <v>0.23200000000000001</v>
          </cell>
          <cell r="N83" t="str">
            <v>5W</v>
          </cell>
          <cell r="P83" t="str">
            <v>PONCVL</v>
          </cell>
          <cell r="Q83" t="str">
            <v>/  /</v>
          </cell>
        </row>
        <row r="84">
          <cell r="A84">
            <v>4614188</v>
          </cell>
          <cell r="B84">
            <v>44203</v>
          </cell>
          <cell r="C84" t="str">
            <v>PON</v>
          </cell>
          <cell r="D84">
            <v>641078198</v>
          </cell>
          <cell r="E84" t="str">
            <v>C21 P5 Disc Ult Cbn/Moss/Wht51</v>
          </cell>
          <cell r="F84">
            <v>1</v>
          </cell>
          <cell r="G84">
            <v>0</v>
          </cell>
          <cell r="I84" t="str">
            <v>IC082</v>
          </cell>
          <cell r="L84">
            <v>15.6</v>
          </cell>
          <cell r="M84">
            <v>0.26300000000000001</v>
          </cell>
          <cell r="N84" t="str">
            <v>5W</v>
          </cell>
          <cell r="P84" t="str">
            <v>PONCVL</v>
          </cell>
          <cell r="Q84" t="str">
            <v>/  /</v>
          </cell>
        </row>
        <row r="85">
          <cell r="A85">
            <v>4151348</v>
          </cell>
          <cell r="B85">
            <v>43923</v>
          </cell>
          <cell r="C85" t="str">
            <v>PON</v>
          </cell>
          <cell r="D85">
            <v>633618553</v>
          </cell>
          <cell r="E85" t="str">
            <v>FC EBikeF19 P/Sqre 6.8 60XL Rd</v>
          </cell>
          <cell r="F85">
            <v>1</v>
          </cell>
          <cell r="G85">
            <v>0</v>
          </cell>
          <cell r="I85" t="str">
            <v>IC083</v>
          </cell>
          <cell r="L85">
            <v>25.3</v>
          </cell>
          <cell r="M85">
            <v>0.58099999999999996</v>
          </cell>
          <cell r="N85" t="str">
            <v>5W</v>
          </cell>
          <cell r="P85" t="str">
            <v>PONFEB</v>
          </cell>
          <cell r="Q85" t="str">
            <v>/  /</v>
          </cell>
        </row>
        <row r="86">
          <cell r="A86">
            <v>4541393</v>
          </cell>
          <cell r="B86">
            <v>44160</v>
          </cell>
          <cell r="C86" t="str">
            <v>PON</v>
          </cell>
          <cell r="D86">
            <v>637529053</v>
          </cell>
          <cell r="E86" t="str">
            <v>K21 Endeavour 7.B Belt Xl 58</v>
          </cell>
          <cell r="F86">
            <v>1</v>
          </cell>
          <cell r="G86">
            <v>0</v>
          </cell>
          <cell r="I86" t="str">
            <v>IC084</v>
          </cell>
          <cell r="L86">
            <v>35.5</v>
          </cell>
          <cell r="M86">
            <v>0.57299999999999995</v>
          </cell>
          <cell r="N86" t="str">
            <v>5W</v>
          </cell>
          <cell r="P86" t="str">
            <v>PONFCS</v>
          </cell>
          <cell r="Q86" t="str">
            <v>/  /</v>
          </cell>
        </row>
        <row r="87">
          <cell r="A87">
            <v>4363248</v>
          </cell>
          <cell r="B87">
            <v>44056</v>
          </cell>
          <cell r="C87" t="str">
            <v>PON</v>
          </cell>
          <cell r="D87">
            <v>637012021</v>
          </cell>
          <cell r="E87" t="str">
            <v>F20 IZ Max Disc 9.7 AXS 50XS</v>
          </cell>
          <cell r="F87">
            <v>1</v>
          </cell>
          <cell r="G87">
            <v>0</v>
          </cell>
          <cell r="I87" t="str">
            <v>IC091</v>
          </cell>
          <cell r="L87">
            <v>12.5</v>
          </cell>
          <cell r="M87">
            <v>0.34200000000000003</v>
          </cell>
          <cell r="N87" t="str">
            <v>5W</v>
          </cell>
          <cell r="P87" t="str">
            <v>PONFCS</v>
          </cell>
          <cell r="Q87" t="str">
            <v>/  /</v>
          </cell>
        </row>
        <row r="88">
          <cell r="A88">
            <v>4413120</v>
          </cell>
          <cell r="B88">
            <v>44082</v>
          </cell>
          <cell r="C88" t="str">
            <v>PON</v>
          </cell>
          <cell r="D88">
            <v>641073122</v>
          </cell>
          <cell r="E88" t="str">
            <v>C21 R5 Disc F/s Grn/Gold/Wh 51</v>
          </cell>
          <cell r="F88">
            <v>1</v>
          </cell>
          <cell r="G88">
            <v>0</v>
          </cell>
          <cell r="I88" t="str">
            <v>IC092</v>
          </cell>
          <cell r="L88">
            <v>7.1</v>
          </cell>
          <cell r="M88">
            <v>0.248</v>
          </cell>
          <cell r="N88" t="str">
            <v>5W</v>
          </cell>
          <cell r="P88" t="str">
            <v>PONCVL</v>
          </cell>
          <cell r="Q88" t="str">
            <v>/  /</v>
          </cell>
        </row>
        <row r="89">
          <cell r="A89">
            <v>4413121</v>
          </cell>
          <cell r="B89">
            <v>44082</v>
          </cell>
          <cell r="C89" t="str">
            <v>PON</v>
          </cell>
          <cell r="D89">
            <v>641073122</v>
          </cell>
          <cell r="E89" t="str">
            <v>C21 R5 Disc F/s Grn/Gold/Wh 51</v>
          </cell>
          <cell r="F89">
            <v>1</v>
          </cell>
          <cell r="G89">
            <v>0</v>
          </cell>
          <cell r="I89" t="str">
            <v>IC092</v>
          </cell>
          <cell r="L89">
            <v>7.1</v>
          </cell>
          <cell r="M89">
            <v>0.248</v>
          </cell>
          <cell r="N89" t="str">
            <v>5W</v>
          </cell>
          <cell r="P89" t="str">
            <v>PONCVL</v>
          </cell>
          <cell r="Q89" t="str">
            <v>/  /</v>
          </cell>
        </row>
        <row r="90">
          <cell r="A90">
            <v>4413122</v>
          </cell>
          <cell r="B90">
            <v>44082</v>
          </cell>
          <cell r="C90" t="str">
            <v>PON</v>
          </cell>
          <cell r="D90">
            <v>641073122</v>
          </cell>
          <cell r="E90" t="str">
            <v>C21 R5 Disc F/s Grn/Gold/Wh 51</v>
          </cell>
          <cell r="F90">
            <v>1</v>
          </cell>
          <cell r="G90">
            <v>0</v>
          </cell>
          <cell r="I90" t="str">
            <v>IC092</v>
          </cell>
          <cell r="L90">
            <v>7.1</v>
          </cell>
          <cell r="M90">
            <v>0.248</v>
          </cell>
          <cell r="N90" t="str">
            <v>5W</v>
          </cell>
          <cell r="P90" t="str">
            <v>PONCVL</v>
          </cell>
          <cell r="Q90" t="str">
            <v>/  /</v>
          </cell>
        </row>
        <row r="91">
          <cell r="A91">
            <v>4089482</v>
          </cell>
          <cell r="B91">
            <v>43852</v>
          </cell>
          <cell r="C91" t="str">
            <v>PON</v>
          </cell>
          <cell r="D91">
            <v>633728526</v>
          </cell>
          <cell r="E91" t="str">
            <v>FC EBikeF19 P/Sqre 9.7 54M Blu</v>
          </cell>
          <cell r="F91">
            <v>1</v>
          </cell>
          <cell r="G91">
            <v>0</v>
          </cell>
          <cell r="I91" t="str">
            <v>IC093</v>
          </cell>
          <cell r="L91">
            <v>23.5</v>
          </cell>
          <cell r="M91">
            <v>0.53200000000000003</v>
          </cell>
          <cell r="N91" t="str">
            <v>5W</v>
          </cell>
          <cell r="P91" t="str">
            <v>PONFEB</v>
          </cell>
          <cell r="Q91" t="str">
            <v>/  /</v>
          </cell>
        </row>
        <row r="92">
          <cell r="A92">
            <v>3967473</v>
          </cell>
          <cell r="B92">
            <v>43798</v>
          </cell>
          <cell r="C92" t="str">
            <v>PON</v>
          </cell>
          <cell r="D92">
            <v>633728533</v>
          </cell>
          <cell r="E92" t="str">
            <v>FC EBikeF19 P/Sqre 9.6 60XL Rd</v>
          </cell>
          <cell r="F92">
            <v>1</v>
          </cell>
          <cell r="G92">
            <v>0</v>
          </cell>
          <cell r="I92" t="str">
            <v>IC093</v>
          </cell>
          <cell r="L92">
            <v>23.8</v>
          </cell>
          <cell r="M92">
            <v>0.58099999999999996</v>
          </cell>
          <cell r="N92" t="str">
            <v>5W</v>
          </cell>
          <cell r="P92" t="str">
            <v>PONFEB</v>
          </cell>
          <cell r="Q92" t="str">
            <v>/  /</v>
          </cell>
        </row>
        <row r="93">
          <cell r="A93">
            <v>4541399</v>
          </cell>
          <cell r="B93">
            <v>44160</v>
          </cell>
          <cell r="C93" t="str">
            <v>PON</v>
          </cell>
          <cell r="D93">
            <v>637529081</v>
          </cell>
          <cell r="E93" t="str">
            <v>K21 Endeavour 7.B Move M 48 Di</v>
          </cell>
          <cell r="F93">
            <v>1</v>
          </cell>
          <cell r="G93">
            <v>0</v>
          </cell>
          <cell r="I93" t="str">
            <v>IC093</v>
          </cell>
          <cell r="L93">
            <v>34.5</v>
          </cell>
          <cell r="M93">
            <v>0.57299999999999995</v>
          </cell>
          <cell r="N93" t="str">
            <v>5W</v>
          </cell>
          <cell r="P93" t="str">
            <v>PONFCS</v>
          </cell>
          <cell r="Q93" t="str">
            <v>/  /</v>
          </cell>
        </row>
        <row r="94">
          <cell r="A94">
            <v>4365470</v>
          </cell>
          <cell r="B94">
            <v>44054</v>
          </cell>
          <cell r="C94" t="str">
            <v>PON</v>
          </cell>
          <cell r="D94">
            <v>637618603</v>
          </cell>
          <cell r="E94" t="str">
            <v>F20 PARALANE SQE 6.6 COMM 60XL</v>
          </cell>
          <cell r="F94">
            <v>1</v>
          </cell>
          <cell r="G94">
            <v>0</v>
          </cell>
          <cell r="I94" t="str">
            <v>IC094</v>
          </cell>
          <cell r="L94">
            <v>25</v>
          </cell>
          <cell r="M94">
            <v>0.53200000000000003</v>
          </cell>
          <cell r="N94" t="str">
            <v>5W</v>
          </cell>
          <cell r="P94" t="str">
            <v>PONFCS</v>
          </cell>
          <cell r="Q94" t="str">
            <v>/  /</v>
          </cell>
        </row>
        <row r="95">
          <cell r="A95">
            <v>4438503</v>
          </cell>
          <cell r="B95">
            <v>44102</v>
          </cell>
          <cell r="C95" t="str">
            <v>PON</v>
          </cell>
          <cell r="D95">
            <v>641012322</v>
          </cell>
          <cell r="E95" t="str">
            <v>F21 Mares 9.8 M 54 Blu</v>
          </cell>
          <cell r="F95">
            <v>1</v>
          </cell>
          <cell r="G95">
            <v>0</v>
          </cell>
          <cell r="I95" t="str">
            <v>IC101</v>
          </cell>
          <cell r="L95">
            <v>12.7</v>
          </cell>
          <cell r="M95">
            <v>0.33500000000000002</v>
          </cell>
          <cell r="N95" t="str">
            <v>5W</v>
          </cell>
          <cell r="P95" t="str">
            <v>PONFCS</v>
          </cell>
          <cell r="Q95" t="str">
            <v>/  /</v>
          </cell>
        </row>
        <row r="96">
          <cell r="A96">
            <v>4438504</v>
          </cell>
          <cell r="B96">
            <v>44102</v>
          </cell>
          <cell r="C96" t="str">
            <v>PON</v>
          </cell>
          <cell r="D96">
            <v>641012322</v>
          </cell>
          <cell r="E96" t="str">
            <v>F21 Mares 9.8 M 54 Blu</v>
          </cell>
          <cell r="F96">
            <v>1</v>
          </cell>
          <cell r="G96">
            <v>0</v>
          </cell>
          <cell r="I96" t="str">
            <v>IC101</v>
          </cell>
          <cell r="L96">
            <v>12.7</v>
          </cell>
          <cell r="M96">
            <v>0.33500000000000002</v>
          </cell>
          <cell r="N96" t="str">
            <v>5W</v>
          </cell>
          <cell r="P96" t="str">
            <v>PONFCS</v>
          </cell>
          <cell r="Q96" t="str">
            <v>/  /</v>
          </cell>
        </row>
        <row r="97">
          <cell r="A97">
            <v>4438507</v>
          </cell>
          <cell r="B97">
            <v>44102</v>
          </cell>
          <cell r="C97" t="str">
            <v>PON</v>
          </cell>
          <cell r="D97">
            <v>641012322</v>
          </cell>
          <cell r="E97" t="str">
            <v>F21 Mares 9.8 M 54 Blu</v>
          </cell>
          <cell r="F97">
            <v>1</v>
          </cell>
          <cell r="G97">
            <v>0</v>
          </cell>
          <cell r="I97" t="str">
            <v>IC101</v>
          </cell>
          <cell r="L97">
            <v>12.7</v>
          </cell>
          <cell r="M97">
            <v>0.33500000000000002</v>
          </cell>
          <cell r="N97" t="str">
            <v>5W</v>
          </cell>
          <cell r="P97" t="str">
            <v>PONFCS</v>
          </cell>
          <cell r="Q97" t="str">
            <v>/  /</v>
          </cell>
        </row>
        <row r="98">
          <cell r="A98">
            <v>4438508</v>
          </cell>
          <cell r="B98">
            <v>44102</v>
          </cell>
          <cell r="C98" t="str">
            <v>PON</v>
          </cell>
          <cell r="D98">
            <v>641012322</v>
          </cell>
          <cell r="E98" t="str">
            <v>F21 Mares 9.8 M 54 Blu</v>
          </cell>
          <cell r="F98">
            <v>1</v>
          </cell>
          <cell r="G98">
            <v>0</v>
          </cell>
          <cell r="I98" t="str">
            <v>IC101</v>
          </cell>
          <cell r="L98">
            <v>12.7</v>
          </cell>
          <cell r="M98">
            <v>0.33500000000000002</v>
          </cell>
          <cell r="N98" t="str">
            <v>5W</v>
          </cell>
          <cell r="P98" t="str">
            <v>PONFCS</v>
          </cell>
          <cell r="Q98" t="str">
            <v>/  /</v>
          </cell>
        </row>
        <row r="99">
          <cell r="A99">
            <v>4036413</v>
          </cell>
          <cell r="B99">
            <v>43851</v>
          </cell>
          <cell r="C99" t="str">
            <v>PON</v>
          </cell>
          <cell r="D99">
            <v>614508352</v>
          </cell>
          <cell r="E99" t="str">
            <v>FC F14 FS Mare CX 2.0 56 LGDi2</v>
          </cell>
          <cell r="F99">
            <v>1</v>
          </cell>
          <cell r="G99">
            <v>0</v>
          </cell>
          <cell r="I99" t="str">
            <v>IC102</v>
          </cell>
          <cell r="L99">
            <v>6.3</v>
          </cell>
          <cell r="M99">
            <v>0.189</v>
          </cell>
          <cell r="N99" t="str">
            <v>5W</v>
          </cell>
          <cell r="P99" t="str">
            <v>PONFCS</v>
          </cell>
          <cell r="Q99" t="str">
            <v>/  /</v>
          </cell>
        </row>
        <row r="100">
          <cell r="A100">
            <v>4080973</v>
          </cell>
          <cell r="B100">
            <v>43851</v>
          </cell>
          <cell r="C100" t="str">
            <v>PON</v>
          </cell>
          <cell r="D100">
            <v>614508352</v>
          </cell>
          <cell r="E100" t="str">
            <v>FC F14 FS Mare CX 2.0 56 LGDi2</v>
          </cell>
          <cell r="F100">
            <v>1</v>
          </cell>
          <cell r="G100">
            <v>0</v>
          </cell>
          <cell r="I100" t="str">
            <v>IC102</v>
          </cell>
          <cell r="L100">
            <v>6.3</v>
          </cell>
          <cell r="M100">
            <v>0.189</v>
          </cell>
          <cell r="N100" t="str">
            <v>5W</v>
          </cell>
          <cell r="P100" t="str">
            <v>PONFCS</v>
          </cell>
          <cell r="Q100" t="str">
            <v>/  /</v>
          </cell>
        </row>
        <row r="101">
          <cell r="A101">
            <v>4036418</v>
          </cell>
          <cell r="B101">
            <v>43851</v>
          </cell>
          <cell r="C101" t="str">
            <v>PON</v>
          </cell>
          <cell r="D101">
            <v>614508353</v>
          </cell>
          <cell r="E101" t="str">
            <v>FC F14 FS Mare CX 2.0 58 XLDi2</v>
          </cell>
          <cell r="F101">
            <v>1</v>
          </cell>
          <cell r="G101">
            <v>0</v>
          </cell>
          <cell r="I101" t="str">
            <v>IC102</v>
          </cell>
          <cell r="L101">
            <v>6.3</v>
          </cell>
          <cell r="M101">
            <v>0.189</v>
          </cell>
          <cell r="N101" t="str">
            <v>5W</v>
          </cell>
          <cell r="P101" t="str">
            <v>PONFCS</v>
          </cell>
          <cell r="Q101" t="str">
            <v>/  /</v>
          </cell>
        </row>
        <row r="102">
          <cell r="A102">
            <v>4080975</v>
          </cell>
          <cell r="B102">
            <v>43851</v>
          </cell>
          <cell r="C102" t="str">
            <v>PON</v>
          </cell>
          <cell r="D102">
            <v>614508353</v>
          </cell>
          <cell r="E102" t="str">
            <v>FC F14 FS Mare CX 2.0 58 XLDi2</v>
          </cell>
          <cell r="F102">
            <v>1</v>
          </cell>
          <cell r="G102">
            <v>0</v>
          </cell>
          <cell r="I102" t="str">
            <v>IC102</v>
          </cell>
          <cell r="L102">
            <v>6.3</v>
          </cell>
          <cell r="M102">
            <v>0.189</v>
          </cell>
          <cell r="N102" t="str">
            <v>5W</v>
          </cell>
          <cell r="P102" t="str">
            <v>PONFCS</v>
          </cell>
          <cell r="Q102" t="str">
            <v>/  /</v>
          </cell>
        </row>
        <row r="103">
          <cell r="A103">
            <v>4541400</v>
          </cell>
          <cell r="B103">
            <v>44160</v>
          </cell>
          <cell r="C103" t="str">
            <v>PON</v>
          </cell>
          <cell r="D103">
            <v>637529081</v>
          </cell>
          <cell r="E103" t="str">
            <v>K21 Endeavour 7.B Move M 48 Di</v>
          </cell>
          <cell r="F103">
            <v>1</v>
          </cell>
          <cell r="G103">
            <v>0</v>
          </cell>
          <cell r="I103" t="str">
            <v>IC103</v>
          </cell>
          <cell r="L103">
            <v>34.5</v>
          </cell>
          <cell r="M103">
            <v>0.57299999999999995</v>
          </cell>
          <cell r="N103" t="str">
            <v>5W</v>
          </cell>
          <cell r="P103" t="str">
            <v>PONFCS</v>
          </cell>
          <cell r="Q103" t="str">
            <v>/  /</v>
          </cell>
        </row>
        <row r="104">
          <cell r="A104">
            <v>4571223</v>
          </cell>
          <cell r="B104">
            <v>44169</v>
          </cell>
          <cell r="C104" t="str">
            <v>PON</v>
          </cell>
          <cell r="D104">
            <v>637526050</v>
          </cell>
          <cell r="E104" t="str">
            <v>K21 ENDV 1.B MOVE 400 S 45</v>
          </cell>
          <cell r="F104">
            <v>1</v>
          </cell>
          <cell r="G104">
            <v>0</v>
          </cell>
          <cell r="I104" t="str">
            <v>IC104</v>
          </cell>
          <cell r="L104">
            <v>31.2</v>
          </cell>
          <cell r="M104">
            <v>0.57799999999999996</v>
          </cell>
          <cell r="N104" t="str">
            <v>5W</v>
          </cell>
          <cell r="P104" t="str">
            <v>PONFCS</v>
          </cell>
          <cell r="Q104" t="str">
            <v>/  /</v>
          </cell>
        </row>
        <row r="105">
          <cell r="A105">
            <v>4571224</v>
          </cell>
          <cell r="B105">
            <v>44169</v>
          </cell>
          <cell r="C105" t="str">
            <v>PON</v>
          </cell>
          <cell r="D105">
            <v>637526050</v>
          </cell>
          <cell r="E105" t="str">
            <v>K21 ENDV 1.B MOVE 400 S 45</v>
          </cell>
          <cell r="F105">
            <v>1</v>
          </cell>
          <cell r="G105">
            <v>0</v>
          </cell>
          <cell r="I105" t="str">
            <v>IC104</v>
          </cell>
          <cell r="L105">
            <v>31.2</v>
          </cell>
          <cell r="M105">
            <v>0.57799999999999996</v>
          </cell>
          <cell r="N105" t="str">
            <v>5W</v>
          </cell>
          <cell r="P105" t="str">
            <v>PONFCS</v>
          </cell>
          <cell r="Q105" t="str">
            <v>/  /</v>
          </cell>
        </row>
        <row r="106">
          <cell r="A106">
            <v>4571225</v>
          </cell>
          <cell r="B106">
            <v>44169</v>
          </cell>
          <cell r="C106" t="str">
            <v>PON</v>
          </cell>
          <cell r="D106">
            <v>637526050</v>
          </cell>
          <cell r="E106" t="str">
            <v>K21 ENDV 1.B MOVE 400 S 45</v>
          </cell>
          <cell r="F106">
            <v>1</v>
          </cell>
          <cell r="G106">
            <v>0</v>
          </cell>
          <cell r="I106" t="str">
            <v>IC104</v>
          </cell>
          <cell r="L106">
            <v>31.2</v>
          </cell>
          <cell r="M106">
            <v>0.57799999999999996</v>
          </cell>
          <cell r="N106" t="str">
            <v>5W</v>
          </cell>
          <cell r="P106" t="str">
            <v>PONFCS</v>
          </cell>
          <cell r="Q106" t="str">
            <v>/  /</v>
          </cell>
        </row>
        <row r="107">
          <cell r="A107">
            <v>4571226</v>
          </cell>
          <cell r="B107">
            <v>44169</v>
          </cell>
          <cell r="C107" t="str">
            <v>PON</v>
          </cell>
          <cell r="D107">
            <v>637526050</v>
          </cell>
          <cell r="E107" t="str">
            <v>K21 ENDV 1.B MOVE 400 S 45</v>
          </cell>
          <cell r="F107">
            <v>1</v>
          </cell>
          <cell r="G107">
            <v>0</v>
          </cell>
          <cell r="I107" t="str">
            <v>IC104</v>
          </cell>
          <cell r="L107">
            <v>31.2</v>
          </cell>
          <cell r="M107">
            <v>0.57799999999999996</v>
          </cell>
          <cell r="N107" t="str">
            <v>5W</v>
          </cell>
          <cell r="P107" t="str">
            <v>PONFCS</v>
          </cell>
          <cell r="Q107" t="str">
            <v>/  /</v>
          </cell>
        </row>
        <row r="108">
          <cell r="A108">
            <v>4632469</v>
          </cell>
          <cell r="B108">
            <v>44217</v>
          </cell>
          <cell r="C108" t="str">
            <v>PON</v>
          </cell>
          <cell r="D108">
            <v>637007033</v>
          </cell>
          <cell r="E108" t="str">
            <v>F20 Jam 6.8 Nine 51 XL</v>
          </cell>
          <cell r="F108">
            <v>1</v>
          </cell>
          <cell r="G108">
            <v>0</v>
          </cell>
          <cell r="I108" t="str">
            <v>IC111</v>
          </cell>
          <cell r="L108">
            <v>22</v>
          </cell>
          <cell r="M108">
            <v>0.32300000000000001</v>
          </cell>
          <cell r="N108" t="str">
            <v>5W</v>
          </cell>
          <cell r="P108" t="str">
            <v>PONFCS</v>
          </cell>
          <cell r="Q108" t="str">
            <v>/  /</v>
          </cell>
        </row>
        <row r="109">
          <cell r="A109">
            <v>4438514</v>
          </cell>
          <cell r="B109">
            <v>44102</v>
          </cell>
          <cell r="C109" t="str">
            <v>PON</v>
          </cell>
          <cell r="D109">
            <v>641012322</v>
          </cell>
          <cell r="E109" t="str">
            <v>F21 Mares 9.8 M 54 Blu</v>
          </cell>
          <cell r="F109">
            <v>1</v>
          </cell>
          <cell r="G109">
            <v>0</v>
          </cell>
          <cell r="I109" t="str">
            <v>IC111</v>
          </cell>
          <cell r="L109">
            <v>12.7</v>
          </cell>
          <cell r="M109">
            <v>0.33500000000000002</v>
          </cell>
          <cell r="N109" t="str">
            <v>5W</v>
          </cell>
          <cell r="P109" t="str">
            <v>PONFCS</v>
          </cell>
          <cell r="Q109" t="str">
            <v>/  /</v>
          </cell>
        </row>
        <row r="110">
          <cell r="A110">
            <v>4438515</v>
          </cell>
          <cell r="B110">
            <v>44102</v>
          </cell>
          <cell r="C110" t="str">
            <v>PON</v>
          </cell>
          <cell r="D110">
            <v>641012322</v>
          </cell>
          <cell r="E110" t="str">
            <v>F21 Mares 9.8 M 54 Blu</v>
          </cell>
          <cell r="F110">
            <v>1</v>
          </cell>
          <cell r="G110">
            <v>0</v>
          </cell>
          <cell r="I110" t="str">
            <v>IC111</v>
          </cell>
          <cell r="L110">
            <v>12.7</v>
          </cell>
          <cell r="M110">
            <v>0.33500000000000002</v>
          </cell>
          <cell r="N110" t="str">
            <v>5W</v>
          </cell>
          <cell r="P110" t="str">
            <v>PONFCS</v>
          </cell>
          <cell r="Q110" t="str">
            <v>/  /</v>
          </cell>
        </row>
        <row r="111">
          <cell r="A111">
            <v>4458899</v>
          </cell>
          <cell r="B111">
            <v>44112</v>
          </cell>
          <cell r="C111" t="str">
            <v>PON</v>
          </cell>
          <cell r="D111">
            <v>641006002</v>
          </cell>
          <cell r="E111" t="str">
            <v>F21 IZ MAX DISC 9.9 52 S L/GRY</v>
          </cell>
          <cell r="F111">
            <v>1</v>
          </cell>
          <cell r="G111">
            <v>0</v>
          </cell>
          <cell r="I111" t="str">
            <v>IC112</v>
          </cell>
          <cell r="L111">
            <v>13.1</v>
          </cell>
          <cell r="M111">
            <v>0.23499999999999999</v>
          </cell>
          <cell r="N111" t="str">
            <v>5W</v>
          </cell>
          <cell r="P111" t="str">
            <v>PONFCS</v>
          </cell>
          <cell r="Q111" t="str">
            <v>/  /</v>
          </cell>
        </row>
        <row r="112">
          <cell r="A112">
            <v>4458902</v>
          </cell>
          <cell r="B112">
            <v>44112</v>
          </cell>
          <cell r="C112" t="str">
            <v>PON</v>
          </cell>
          <cell r="D112">
            <v>641006002</v>
          </cell>
          <cell r="E112" t="str">
            <v>F21 IZ MAX DISC 9.9 52 S L/GRY</v>
          </cell>
          <cell r="F112">
            <v>1</v>
          </cell>
          <cell r="G112">
            <v>0</v>
          </cell>
          <cell r="I112" t="str">
            <v>IC112</v>
          </cell>
          <cell r="L112">
            <v>13.1</v>
          </cell>
          <cell r="M112">
            <v>0.23499999999999999</v>
          </cell>
          <cell r="N112" t="str">
            <v>5W</v>
          </cell>
          <cell r="P112" t="str">
            <v>PONFCS</v>
          </cell>
          <cell r="Q112" t="str">
            <v>/  /</v>
          </cell>
        </row>
        <row r="113">
          <cell r="A113">
            <v>4458909</v>
          </cell>
          <cell r="B113">
            <v>44112</v>
          </cell>
          <cell r="C113" t="str">
            <v>PON</v>
          </cell>
          <cell r="D113">
            <v>641006002</v>
          </cell>
          <cell r="E113" t="str">
            <v>F21 IZ MAX DISC 9.9 52 S L/GRY</v>
          </cell>
          <cell r="F113">
            <v>1</v>
          </cell>
          <cell r="G113">
            <v>0</v>
          </cell>
          <cell r="I113" t="str">
            <v>IC112</v>
          </cell>
          <cell r="L113">
            <v>13.1</v>
          </cell>
          <cell r="M113">
            <v>0.23499999999999999</v>
          </cell>
          <cell r="N113" t="str">
            <v>5W</v>
          </cell>
          <cell r="P113" t="str">
            <v>PONFCS</v>
          </cell>
          <cell r="Q113" t="str">
            <v>/  /</v>
          </cell>
        </row>
        <row r="114">
          <cell r="A114">
            <v>4644232</v>
          </cell>
          <cell r="B114">
            <v>44225</v>
          </cell>
          <cell r="C114" t="str">
            <v>PON</v>
          </cell>
          <cell r="D114">
            <v>637517341</v>
          </cell>
          <cell r="E114" t="str">
            <v>F21 PLANET2 5.7 L 53 BLK 500WH</v>
          </cell>
          <cell r="F114">
            <v>1</v>
          </cell>
          <cell r="G114">
            <v>0</v>
          </cell>
          <cell r="I114" t="str">
            <v>IC113</v>
          </cell>
          <cell r="L114">
            <v>32.299999999999997</v>
          </cell>
          <cell r="M114">
            <v>0.57799999999999996</v>
          </cell>
          <cell r="N114" t="str">
            <v>5W</v>
          </cell>
          <cell r="P114" t="str">
            <v>PONFCS</v>
          </cell>
          <cell r="Q114" t="str">
            <v>/  /</v>
          </cell>
        </row>
        <row r="115">
          <cell r="A115">
            <v>4644233</v>
          </cell>
          <cell r="B115">
            <v>44225</v>
          </cell>
          <cell r="C115" t="str">
            <v>PON</v>
          </cell>
          <cell r="D115">
            <v>637517341</v>
          </cell>
          <cell r="E115" t="str">
            <v>F21 PLANET2 5.7 L 53 BLK 500WH</v>
          </cell>
          <cell r="F115">
            <v>1</v>
          </cell>
          <cell r="G115">
            <v>0</v>
          </cell>
          <cell r="I115" t="str">
            <v>IC113</v>
          </cell>
          <cell r="L115">
            <v>32.299999999999997</v>
          </cell>
          <cell r="M115">
            <v>0.57799999999999996</v>
          </cell>
          <cell r="N115" t="str">
            <v>5W</v>
          </cell>
          <cell r="P115" t="str">
            <v>PONFCS</v>
          </cell>
          <cell r="Q115" t="str">
            <v>/  /</v>
          </cell>
        </row>
        <row r="116">
          <cell r="A116">
            <v>4644259</v>
          </cell>
          <cell r="B116">
            <v>44225</v>
          </cell>
          <cell r="C116" t="str">
            <v>PON</v>
          </cell>
          <cell r="D116">
            <v>637526067</v>
          </cell>
          <cell r="E116" t="str">
            <v>K21 Endv 1.B Move M Grey</v>
          </cell>
          <cell r="F116">
            <v>1</v>
          </cell>
          <cell r="G116">
            <v>0</v>
          </cell>
          <cell r="I116" t="str">
            <v>IC113</v>
          </cell>
          <cell r="L116">
            <v>32.5</v>
          </cell>
          <cell r="M116">
            <v>0.57299999999999995</v>
          </cell>
          <cell r="N116" t="str">
            <v>5W</v>
          </cell>
          <cell r="P116" t="str">
            <v>PONFCS</v>
          </cell>
          <cell r="Q116" t="str">
            <v>/  /</v>
          </cell>
        </row>
        <row r="117">
          <cell r="A117">
            <v>4644260</v>
          </cell>
          <cell r="B117">
            <v>44225</v>
          </cell>
          <cell r="C117" t="str">
            <v>PON</v>
          </cell>
          <cell r="D117">
            <v>637526067</v>
          </cell>
          <cell r="E117" t="str">
            <v>K21 Endv 1.B Move M Grey</v>
          </cell>
          <cell r="F117">
            <v>1</v>
          </cell>
          <cell r="G117">
            <v>0</v>
          </cell>
          <cell r="I117" t="str">
            <v>IC113</v>
          </cell>
          <cell r="L117">
            <v>32.5</v>
          </cell>
          <cell r="M117">
            <v>0.57299999999999995</v>
          </cell>
          <cell r="N117" t="str">
            <v>5W</v>
          </cell>
          <cell r="P117" t="str">
            <v>PONFCS</v>
          </cell>
          <cell r="Q117" t="str">
            <v>/  /</v>
          </cell>
        </row>
        <row r="118">
          <cell r="A118">
            <v>4644261</v>
          </cell>
          <cell r="B118">
            <v>44225</v>
          </cell>
          <cell r="C118" t="str">
            <v>PON</v>
          </cell>
          <cell r="D118">
            <v>637526067</v>
          </cell>
          <cell r="E118" t="str">
            <v>K21 Endv 1.B Move M Grey</v>
          </cell>
          <cell r="F118">
            <v>1</v>
          </cell>
          <cell r="G118">
            <v>0</v>
          </cell>
          <cell r="I118" t="str">
            <v>IC113</v>
          </cell>
          <cell r="L118">
            <v>32.5</v>
          </cell>
          <cell r="M118">
            <v>0.57299999999999995</v>
          </cell>
          <cell r="N118" t="str">
            <v>5W</v>
          </cell>
          <cell r="P118" t="str">
            <v>PONFCS</v>
          </cell>
          <cell r="Q118" t="str">
            <v>/  /</v>
          </cell>
        </row>
        <row r="119">
          <cell r="A119">
            <v>4609751</v>
          </cell>
          <cell r="B119">
            <v>44201</v>
          </cell>
          <cell r="C119" t="str">
            <v>PON</v>
          </cell>
          <cell r="D119" t="str">
            <v>A5974</v>
          </cell>
          <cell r="E119" t="str">
            <v>GZ G19 Vento C7 HMB 57 Men Blk</v>
          </cell>
          <cell r="F119">
            <v>1</v>
          </cell>
          <cell r="G119">
            <v>0</v>
          </cell>
          <cell r="I119" t="str">
            <v>IC113</v>
          </cell>
          <cell r="L119">
            <v>31.7</v>
          </cell>
          <cell r="M119">
            <v>0.61499999999999999</v>
          </cell>
          <cell r="N119" t="str">
            <v>5W</v>
          </cell>
          <cell r="P119" t="str">
            <v>PONGAZ</v>
          </cell>
          <cell r="Q119" t="str">
            <v>/  /</v>
          </cell>
        </row>
        <row r="120">
          <cell r="A120">
            <v>4081491</v>
          </cell>
          <cell r="B120">
            <v>43838</v>
          </cell>
          <cell r="C120" t="str">
            <v>PON</v>
          </cell>
          <cell r="D120">
            <v>633529130</v>
          </cell>
          <cell r="E120" t="str">
            <v>KH K19Endv5.B Adv43S B/B14AhDI</v>
          </cell>
          <cell r="F120">
            <v>1</v>
          </cell>
          <cell r="G120">
            <v>0</v>
          </cell>
          <cell r="I120" t="str">
            <v>IC114</v>
          </cell>
          <cell r="L120">
            <v>33</v>
          </cell>
          <cell r="M120">
            <v>0.58099999999999996</v>
          </cell>
          <cell r="N120" t="str">
            <v>5W</v>
          </cell>
          <cell r="P120" t="str">
            <v>PONKHF</v>
          </cell>
          <cell r="Q120" t="str">
            <v>/  /</v>
          </cell>
        </row>
        <row r="121">
          <cell r="A121">
            <v>4022325</v>
          </cell>
          <cell r="B121">
            <v>43838</v>
          </cell>
          <cell r="C121" t="str">
            <v>PON</v>
          </cell>
          <cell r="D121">
            <v>633728502</v>
          </cell>
          <cell r="E121" t="str">
            <v>FC EBikeF19 P/Sqre 9.9 57L Slv</v>
          </cell>
          <cell r="F121">
            <v>1</v>
          </cell>
          <cell r="G121">
            <v>0</v>
          </cell>
          <cell r="I121" t="str">
            <v>IC114</v>
          </cell>
          <cell r="L121">
            <v>22.8</v>
          </cell>
          <cell r="M121">
            <v>0.57799999999999996</v>
          </cell>
          <cell r="N121" t="str">
            <v>5W</v>
          </cell>
          <cell r="P121" t="str">
            <v>PONFEB</v>
          </cell>
          <cell r="Q121" t="str">
            <v>/  /</v>
          </cell>
        </row>
        <row r="122">
          <cell r="A122">
            <v>4088111</v>
          </cell>
          <cell r="B122">
            <v>43838</v>
          </cell>
          <cell r="C122" t="str">
            <v>PON</v>
          </cell>
          <cell r="D122">
            <v>633728502</v>
          </cell>
          <cell r="E122" t="str">
            <v>FC EBikeF19 P/Sqre 9.9 57L Slv</v>
          </cell>
          <cell r="F122">
            <v>1</v>
          </cell>
          <cell r="G122">
            <v>0</v>
          </cell>
          <cell r="I122" t="str">
            <v>IC114</v>
          </cell>
          <cell r="L122">
            <v>22.8</v>
          </cell>
          <cell r="M122">
            <v>0.57799999999999996</v>
          </cell>
          <cell r="N122" t="str">
            <v>5W</v>
          </cell>
          <cell r="P122" t="str">
            <v>PONFEB</v>
          </cell>
          <cell r="Q122" t="str">
            <v>/  /</v>
          </cell>
        </row>
        <row r="123">
          <cell r="A123">
            <v>4169248</v>
          </cell>
          <cell r="B123">
            <v>43941</v>
          </cell>
          <cell r="C123" t="str">
            <v>PON</v>
          </cell>
          <cell r="D123">
            <v>637012014</v>
          </cell>
          <cell r="E123" t="str">
            <v>F20 IZ MAX DISC 9.8 56L</v>
          </cell>
          <cell r="F123">
            <v>1</v>
          </cell>
          <cell r="G123">
            <v>0</v>
          </cell>
          <cell r="I123" t="str">
            <v>IC121</v>
          </cell>
          <cell r="L123">
            <v>12.1</v>
          </cell>
          <cell r="M123">
            <v>0.34</v>
          </cell>
          <cell r="N123" t="str">
            <v>5W</v>
          </cell>
          <cell r="P123" t="str">
            <v>PONFCS</v>
          </cell>
          <cell r="Q123" t="str">
            <v>/  /</v>
          </cell>
        </row>
        <row r="124">
          <cell r="A124">
            <v>4169249</v>
          </cell>
          <cell r="B124">
            <v>43941</v>
          </cell>
          <cell r="C124" t="str">
            <v>PON</v>
          </cell>
          <cell r="D124">
            <v>637012014</v>
          </cell>
          <cell r="E124" t="str">
            <v>F20 IZ MAX DISC 9.8 56L</v>
          </cell>
          <cell r="F124">
            <v>1</v>
          </cell>
          <cell r="G124">
            <v>0</v>
          </cell>
          <cell r="I124" t="str">
            <v>IC121</v>
          </cell>
          <cell r="L124">
            <v>12.1</v>
          </cell>
          <cell r="M124">
            <v>0.34</v>
          </cell>
          <cell r="N124" t="str">
            <v>5W</v>
          </cell>
          <cell r="P124" t="str">
            <v>PONFCS</v>
          </cell>
          <cell r="Q124" t="str">
            <v>/  /</v>
          </cell>
        </row>
        <row r="125">
          <cell r="A125">
            <v>4169250</v>
          </cell>
          <cell r="B125">
            <v>43941</v>
          </cell>
          <cell r="C125" t="str">
            <v>PON</v>
          </cell>
          <cell r="D125">
            <v>637012014</v>
          </cell>
          <cell r="E125" t="str">
            <v>F20 IZ MAX DISC 9.8 56L</v>
          </cell>
          <cell r="F125">
            <v>1</v>
          </cell>
          <cell r="G125">
            <v>0</v>
          </cell>
          <cell r="I125" t="str">
            <v>IC121</v>
          </cell>
          <cell r="L125">
            <v>12.1</v>
          </cell>
          <cell r="M125">
            <v>0.34</v>
          </cell>
          <cell r="N125" t="str">
            <v>5W</v>
          </cell>
          <cell r="P125" t="str">
            <v>PONFCS</v>
          </cell>
          <cell r="Q125" t="str">
            <v>/  /</v>
          </cell>
        </row>
        <row r="126">
          <cell r="A126">
            <v>4458886</v>
          </cell>
          <cell r="B126">
            <v>44112</v>
          </cell>
          <cell r="C126" t="str">
            <v>PON</v>
          </cell>
          <cell r="D126">
            <v>641006002</v>
          </cell>
          <cell r="E126" t="str">
            <v>F21 IZ MAX DISC 9.9 52 S L/GRY</v>
          </cell>
          <cell r="F126">
            <v>1</v>
          </cell>
          <cell r="G126">
            <v>0</v>
          </cell>
          <cell r="I126" t="str">
            <v>IC122</v>
          </cell>
          <cell r="L126">
            <v>13.1</v>
          </cell>
          <cell r="M126">
            <v>0.23499999999999999</v>
          </cell>
          <cell r="N126" t="str">
            <v>5W</v>
          </cell>
          <cell r="P126" t="str">
            <v>PONFCS</v>
          </cell>
          <cell r="Q126" t="str">
            <v>/  /</v>
          </cell>
        </row>
        <row r="127">
          <cell r="A127">
            <v>4458893</v>
          </cell>
          <cell r="B127">
            <v>44112</v>
          </cell>
          <cell r="C127" t="str">
            <v>PON</v>
          </cell>
          <cell r="D127">
            <v>641006002</v>
          </cell>
          <cell r="E127" t="str">
            <v>F21 IZ MAX DISC 9.9 52 S L/GRY</v>
          </cell>
          <cell r="F127">
            <v>1</v>
          </cell>
          <cell r="G127">
            <v>0</v>
          </cell>
          <cell r="I127" t="str">
            <v>IC122</v>
          </cell>
          <cell r="L127">
            <v>13.1</v>
          </cell>
          <cell r="M127">
            <v>0.23499999999999999</v>
          </cell>
          <cell r="N127" t="str">
            <v>5W</v>
          </cell>
          <cell r="P127" t="str">
            <v>PONFCS</v>
          </cell>
          <cell r="Q127" t="str">
            <v>/  /</v>
          </cell>
        </row>
        <row r="128">
          <cell r="A128">
            <v>4613995</v>
          </cell>
          <cell r="B128">
            <v>44203</v>
          </cell>
          <cell r="C128" t="str">
            <v>PON</v>
          </cell>
          <cell r="D128">
            <v>641078122</v>
          </cell>
          <cell r="E128" t="str">
            <v>C21 Cal 5 R ET Blue Crbn 54</v>
          </cell>
          <cell r="F128">
            <v>1</v>
          </cell>
          <cell r="G128">
            <v>0</v>
          </cell>
          <cell r="I128" t="str">
            <v>IC122</v>
          </cell>
          <cell r="L128">
            <v>13.3</v>
          </cell>
          <cell r="M128">
            <v>0.20799999999999999</v>
          </cell>
          <cell r="N128" t="str">
            <v>5W</v>
          </cell>
          <cell r="P128" t="str">
            <v>PONCVL</v>
          </cell>
          <cell r="Q128" t="str">
            <v>/  /</v>
          </cell>
        </row>
        <row r="129">
          <cell r="A129">
            <v>4644262</v>
          </cell>
          <cell r="B129">
            <v>44225</v>
          </cell>
          <cell r="C129" t="str">
            <v>PON</v>
          </cell>
          <cell r="D129">
            <v>637526067</v>
          </cell>
          <cell r="E129" t="str">
            <v>K21 Endv 1.B Move M Grey</v>
          </cell>
          <cell r="F129">
            <v>1</v>
          </cell>
          <cell r="G129">
            <v>0</v>
          </cell>
          <cell r="I129" t="str">
            <v>IC123</v>
          </cell>
          <cell r="L129">
            <v>32.5</v>
          </cell>
          <cell r="M129">
            <v>0.57299999999999995</v>
          </cell>
          <cell r="N129" t="str">
            <v>5W</v>
          </cell>
          <cell r="P129" t="str">
            <v>PONFCS</v>
          </cell>
          <cell r="Q129" t="str">
            <v>/  /</v>
          </cell>
        </row>
        <row r="130">
          <cell r="A130">
            <v>4644274</v>
          </cell>
          <cell r="B130">
            <v>44225</v>
          </cell>
          <cell r="C130" t="str">
            <v>PON</v>
          </cell>
          <cell r="D130">
            <v>637526787</v>
          </cell>
          <cell r="E130" t="str">
            <v>K20 Endeavour 1.B Move 50M GRY</v>
          </cell>
          <cell r="F130">
            <v>1</v>
          </cell>
          <cell r="G130">
            <v>0</v>
          </cell>
          <cell r="I130" t="str">
            <v>IC123</v>
          </cell>
          <cell r="L130">
            <v>32.5</v>
          </cell>
          <cell r="M130">
            <v>0.58399999999999996</v>
          </cell>
          <cell r="N130" t="str">
            <v>5W</v>
          </cell>
          <cell r="P130" t="str">
            <v>PONFCS</v>
          </cell>
          <cell r="Q130" t="str">
            <v>/  /</v>
          </cell>
        </row>
        <row r="131">
          <cell r="A131">
            <v>4644275</v>
          </cell>
          <cell r="B131">
            <v>44225</v>
          </cell>
          <cell r="C131" t="str">
            <v>PON</v>
          </cell>
          <cell r="D131">
            <v>637526787</v>
          </cell>
          <cell r="E131" t="str">
            <v>K20 Endeavour 1.B Move 50M GRY</v>
          </cell>
          <cell r="F131">
            <v>1</v>
          </cell>
          <cell r="G131">
            <v>0</v>
          </cell>
          <cell r="I131" t="str">
            <v>IC123</v>
          </cell>
          <cell r="L131">
            <v>32.5</v>
          </cell>
          <cell r="M131">
            <v>0.58399999999999996</v>
          </cell>
          <cell r="N131" t="str">
            <v>5W</v>
          </cell>
          <cell r="P131" t="str">
            <v>PONFCS</v>
          </cell>
          <cell r="Q131" t="str">
            <v>/  /</v>
          </cell>
        </row>
        <row r="132">
          <cell r="A132">
            <v>4644276</v>
          </cell>
          <cell r="B132">
            <v>44225</v>
          </cell>
          <cell r="C132" t="str">
            <v>PON</v>
          </cell>
          <cell r="D132">
            <v>637526787</v>
          </cell>
          <cell r="E132" t="str">
            <v>K20 Endeavour 1.B Move 50M GRY</v>
          </cell>
          <cell r="F132">
            <v>1</v>
          </cell>
          <cell r="G132">
            <v>0</v>
          </cell>
          <cell r="I132" t="str">
            <v>IC124</v>
          </cell>
          <cell r="L132">
            <v>32.5</v>
          </cell>
          <cell r="M132">
            <v>0.58399999999999996</v>
          </cell>
          <cell r="N132" t="str">
            <v>5W</v>
          </cell>
          <cell r="P132" t="str">
            <v>PONFCS</v>
          </cell>
          <cell r="Q132" t="str">
            <v>/  /</v>
          </cell>
        </row>
        <row r="133">
          <cell r="A133">
            <v>4644277</v>
          </cell>
          <cell r="B133">
            <v>44225</v>
          </cell>
          <cell r="C133" t="str">
            <v>PON</v>
          </cell>
          <cell r="D133">
            <v>637526787</v>
          </cell>
          <cell r="E133" t="str">
            <v>K20 Endeavour 1.B Move 50M GRY</v>
          </cell>
          <cell r="F133">
            <v>1</v>
          </cell>
          <cell r="G133">
            <v>0</v>
          </cell>
          <cell r="I133" t="str">
            <v>IC124</v>
          </cell>
          <cell r="L133">
            <v>32.5</v>
          </cell>
          <cell r="M133">
            <v>0.58399999999999996</v>
          </cell>
          <cell r="N133" t="str">
            <v>5W</v>
          </cell>
          <cell r="P133" t="str">
            <v>PONFCS</v>
          </cell>
          <cell r="Q133" t="str">
            <v>/  /</v>
          </cell>
        </row>
        <row r="134">
          <cell r="A134">
            <v>4438519</v>
          </cell>
          <cell r="B134">
            <v>44102</v>
          </cell>
          <cell r="C134" t="str">
            <v>PON</v>
          </cell>
          <cell r="D134">
            <v>641012323</v>
          </cell>
          <cell r="E134" t="str">
            <v>F21 MARES 9.8 L 56 BLU</v>
          </cell>
          <cell r="F134">
            <v>1</v>
          </cell>
          <cell r="G134">
            <v>0</v>
          </cell>
          <cell r="I134" t="str">
            <v>IC131</v>
          </cell>
          <cell r="L134">
            <v>12.9</v>
          </cell>
          <cell r="M134">
            <v>0.33500000000000002</v>
          </cell>
          <cell r="N134" t="str">
            <v>5W</v>
          </cell>
          <cell r="P134" t="str">
            <v>PONFCS</v>
          </cell>
          <cell r="Q134" t="str">
            <v>/  /</v>
          </cell>
        </row>
        <row r="135">
          <cell r="A135">
            <v>4438520</v>
          </cell>
          <cell r="B135">
            <v>44102</v>
          </cell>
          <cell r="C135" t="str">
            <v>PON</v>
          </cell>
          <cell r="D135">
            <v>641012323</v>
          </cell>
          <cell r="E135" t="str">
            <v>F21 MARES 9.8 L 56 BLU</v>
          </cell>
          <cell r="F135">
            <v>1</v>
          </cell>
          <cell r="G135">
            <v>0</v>
          </cell>
          <cell r="I135" t="str">
            <v>IC131</v>
          </cell>
          <cell r="L135">
            <v>12.9</v>
          </cell>
          <cell r="M135">
            <v>0.33500000000000002</v>
          </cell>
          <cell r="N135" t="str">
            <v>5W</v>
          </cell>
          <cell r="P135" t="str">
            <v>PONFCS</v>
          </cell>
          <cell r="Q135" t="str">
            <v>/  /</v>
          </cell>
        </row>
        <row r="136">
          <cell r="A136">
            <v>4438521</v>
          </cell>
          <cell r="B136">
            <v>44102</v>
          </cell>
          <cell r="C136" t="str">
            <v>PON</v>
          </cell>
          <cell r="D136">
            <v>641012323</v>
          </cell>
          <cell r="E136" t="str">
            <v>F21 MARES 9.8 L 56 BLU</v>
          </cell>
          <cell r="F136">
            <v>1</v>
          </cell>
          <cell r="G136">
            <v>0</v>
          </cell>
          <cell r="I136" t="str">
            <v>IC131</v>
          </cell>
          <cell r="L136">
            <v>12.9</v>
          </cell>
          <cell r="M136">
            <v>0.33500000000000002</v>
          </cell>
          <cell r="N136" t="str">
            <v>5W</v>
          </cell>
          <cell r="P136" t="str">
            <v>PONFCS</v>
          </cell>
          <cell r="Q136" t="str">
            <v>/  /</v>
          </cell>
        </row>
        <row r="137">
          <cell r="A137">
            <v>4335935</v>
          </cell>
          <cell r="B137">
            <v>44040</v>
          </cell>
          <cell r="C137" t="str">
            <v>PON</v>
          </cell>
          <cell r="D137">
            <v>641078040</v>
          </cell>
          <cell r="E137" t="str">
            <v>C21 Aspero GRX Black/Gold 58</v>
          </cell>
          <cell r="F137">
            <v>1</v>
          </cell>
          <cell r="G137">
            <v>0</v>
          </cell>
          <cell r="I137" t="str">
            <v>IC132</v>
          </cell>
          <cell r="L137">
            <v>15.3</v>
          </cell>
          <cell r="M137">
            <v>0.23200000000000001</v>
          </cell>
          <cell r="N137" t="str">
            <v>5W</v>
          </cell>
          <cell r="P137" t="str">
            <v>PONCVL</v>
          </cell>
          <cell r="Q137" t="str">
            <v>/  /</v>
          </cell>
        </row>
        <row r="138">
          <cell r="A138">
            <v>4614192</v>
          </cell>
          <cell r="B138">
            <v>44203</v>
          </cell>
          <cell r="C138" t="str">
            <v>PON</v>
          </cell>
          <cell r="D138">
            <v>641078199</v>
          </cell>
          <cell r="E138" t="str">
            <v>C21 P5 Disc Ult Cbn/Moss/Wht54</v>
          </cell>
          <cell r="F138">
            <v>1</v>
          </cell>
          <cell r="G138">
            <v>0</v>
          </cell>
          <cell r="I138" t="str">
            <v>IC132</v>
          </cell>
          <cell r="L138">
            <v>15.7</v>
          </cell>
          <cell r="M138">
            <v>0.26300000000000001</v>
          </cell>
          <cell r="N138" t="str">
            <v>5W</v>
          </cell>
          <cell r="P138" t="str">
            <v>PONCVL</v>
          </cell>
          <cell r="Q138" t="str">
            <v>/  /</v>
          </cell>
        </row>
        <row r="139">
          <cell r="A139">
            <v>4614193</v>
          </cell>
          <cell r="B139">
            <v>44203</v>
          </cell>
          <cell r="C139" t="str">
            <v>PON</v>
          </cell>
          <cell r="D139">
            <v>641078199</v>
          </cell>
          <cell r="E139" t="str">
            <v>C21 P5 Disc Ult Cbn/Moss/Wht54</v>
          </cell>
          <cell r="F139">
            <v>1</v>
          </cell>
          <cell r="G139">
            <v>0</v>
          </cell>
          <cell r="I139" t="str">
            <v>IC132</v>
          </cell>
          <cell r="L139">
            <v>15.7</v>
          </cell>
          <cell r="M139">
            <v>0.26300000000000001</v>
          </cell>
          <cell r="N139" t="str">
            <v>5W</v>
          </cell>
          <cell r="P139" t="str">
            <v>PONCVL</v>
          </cell>
          <cell r="Q139" t="str">
            <v>/  /</v>
          </cell>
        </row>
        <row r="140">
          <cell r="A140">
            <v>4365469</v>
          </cell>
          <cell r="B140">
            <v>44054</v>
          </cell>
          <cell r="C140" t="str">
            <v>PON</v>
          </cell>
          <cell r="D140">
            <v>637618603</v>
          </cell>
          <cell r="E140" t="str">
            <v>F20 PARALANE SQE 6.6 COMM 60XL</v>
          </cell>
          <cell r="F140">
            <v>1</v>
          </cell>
          <cell r="G140">
            <v>0</v>
          </cell>
          <cell r="I140" t="str">
            <v>IC133</v>
          </cell>
          <cell r="L140">
            <v>25</v>
          </cell>
          <cell r="M140">
            <v>0.53200000000000003</v>
          </cell>
          <cell r="N140" t="str">
            <v>5W</v>
          </cell>
          <cell r="P140" t="str">
            <v>PONFCS</v>
          </cell>
          <cell r="Q140" t="str">
            <v>/  /</v>
          </cell>
        </row>
        <row r="141">
          <cell r="A141">
            <v>4030746</v>
          </cell>
          <cell r="B141">
            <v>43846</v>
          </cell>
          <cell r="C141" t="str">
            <v>PON</v>
          </cell>
          <cell r="D141" t="str">
            <v>A5974</v>
          </cell>
          <cell r="E141" t="str">
            <v>GZ G19 Vento C7 HMB 57 Men Blk</v>
          </cell>
          <cell r="F141">
            <v>1</v>
          </cell>
          <cell r="G141">
            <v>0</v>
          </cell>
          <cell r="I141" t="str">
            <v>IC133</v>
          </cell>
          <cell r="L141">
            <v>31.7</v>
          </cell>
          <cell r="M141">
            <v>0.61499999999999999</v>
          </cell>
          <cell r="N141" t="str">
            <v>5W</v>
          </cell>
          <cell r="P141" t="str">
            <v>PONGAZ</v>
          </cell>
          <cell r="Q141" t="str">
            <v>/  /</v>
          </cell>
        </row>
        <row r="142">
          <cell r="A142">
            <v>4644228</v>
          </cell>
          <cell r="B142">
            <v>44225</v>
          </cell>
          <cell r="C142" t="str">
            <v>PON</v>
          </cell>
          <cell r="D142">
            <v>637517341</v>
          </cell>
          <cell r="E142" t="str">
            <v>F21 PLANET2 5.7 L 53 BLK 500WH</v>
          </cell>
          <cell r="F142">
            <v>1</v>
          </cell>
          <cell r="G142">
            <v>0</v>
          </cell>
          <cell r="I142" t="str">
            <v>IC134</v>
          </cell>
          <cell r="L142">
            <v>32.299999999999997</v>
          </cell>
          <cell r="M142">
            <v>0.57799999999999996</v>
          </cell>
          <cell r="N142" t="str">
            <v>5W</v>
          </cell>
          <cell r="P142" t="str">
            <v>PONFCS</v>
          </cell>
          <cell r="Q142" t="str">
            <v>/  /</v>
          </cell>
        </row>
        <row r="143">
          <cell r="A143">
            <v>4644231</v>
          </cell>
          <cell r="B143">
            <v>44225</v>
          </cell>
          <cell r="C143" t="str">
            <v>PON</v>
          </cell>
          <cell r="D143">
            <v>637517341</v>
          </cell>
          <cell r="E143" t="str">
            <v>F21 PLANET2 5.7 L 53 BLK 500WH</v>
          </cell>
          <cell r="F143">
            <v>1</v>
          </cell>
          <cell r="G143">
            <v>0</v>
          </cell>
          <cell r="I143" t="str">
            <v>IC134</v>
          </cell>
          <cell r="L143">
            <v>32.299999999999997</v>
          </cell>
          <cell r="M143">
            <v>0.57799999999999996</v>
          </cell>
          <cell r="N143" t="str">
            <v>5W</v>
          </cell>
          <cell r="P143" t="str">
            <v>PONFCS</v>
          </cell>
          <cell r="Q143" t="str">
            <v>/  /</v>
          </cell>
        </row>
        <row r="144">
          <cell r="A144">
            <v>4644271</v>
          </cell>
          <cell r="B144">
            <v>44225</v>
          </cell>
          <cell r="C144" t="str">
            <v>PON</v>
          </cell>
          <cell r="D144">
            <v>637526787</v>
          </cell>
          <cell r="E144" t="str">
            <v>K20 Endeavour 1.B Move 50M GRY</v>
          </cell>
          <cell r="F144">
            <v>1</v>
          </cell>
          <cell r="G144">
            <v>0</v>
          </cell>
          <cell r="I144" t="str">
            <v>IC134</v>
          </cell>
          <cell r="L144">
            <v>32.5</v>
          </cell>
          <cell r="M144">
            <v>0.58399999999999996</v>
          </cell>
          <cell r="N144" t="str">
            <v>5W</v>
          </cell>
          <cell r="P144" t="str">
            <v>PONFCS</v>
          </cell>
          <cell r="Q144" t="str">
            <v>/  /</v>
          </cell>
        </row>
        <row r="145">
          <cell r="A145">
            <v>4644272</v>
          </cell>
          <cell r="B145">
            <v>44225</v>
          </cell>
          <cell r="C145" t="str">
            <v>PON</v>
          </cell>
          <cell r="D145">
            <v>637526787</v>
          </cell>
          <cell r="E145" t="str">
            <v>K20 Endeavour 1.B Move 50M GRY</v>
          </cell>
          <cell r="F145">
            <v>1</v>
          </cell>
          <cell r="G145">
            <v>0</v>
          </cell>
          <cell r="I145" t="str">
            <v>IC134</v>
          </cell>
          <cell r="L145">
            <v>32.5</v>
          </cell>
          <cell r="M145">
            <v>0.58399999999999996</v>
          </cell>
          <cell r="N145" t="str">
            <v>5W</v>
          </cell>
          <cell r="P145" t="str">
            <v>PONFCS</v>
          </cell>
          <cell r="Q145" t="str">
            <v>/  /</v>
          </cell>
        </row>
        <row r="146">
          <cell r="A146">
            <v>4644273</v>
          </cell>
          <cell r="B146">
            <v>44225</v>
          </cell>
          <cell r="C146" t="str">
            <v>PON</v>
          </cell>
          <cell r="D146">
            <v>637526787</v>
          </cell>
          <cell r="E146" t="str">
            <v>K20 Endeavour 1.B Move 50M GRY</v>
          </cell>
          <cell r="F146">
            <v>1</v>
          </cell>
          <cell r="G146">
            <v>0</v>
          </cell>
          <cell r="I146" t="str">
            <v>IC134</v>
          </cell>
          <cell r="L146">
            <v>32.5</v>
          </cell>
          <cell r="M146">
            <v>0.58399999999999996</v>
          </cell>
          <cell r="N146" t="str">
            <v>5W</v>
          </cell>
          <cell r="P146" t="str">
            <v>PONFCS</v>
          </cell>
          <cell r="Q146" t="str">
            <v>/  /</v>
          </cell>
        </row>
        <row r="147">
          <cell r="A147">
            <v>4632461</v>
          </cell>
          <cell r="B147">
            <v>44217</v>
          </cell>
          <cell r="C147" t="str">
            <v>PON</v>
          </cell>
          <cell r="D147">
            <v>637007033</v>
          </cell>
          <cell r="E147" t="str">
            <v>F20 Jam 6.8 Nine 51 XL</v>
          </cell>
          <cell r="F147">
            <v>1</v>
          </cell>
          <cell r="G147">
            <v>0</v>
          </cell>
          <cell r="I147" t="str">
            <v>IC141</v>
          </cell>
          <cell r="L147">
            <v>22</v>
          </cell>
          <cell r="M147">
            <v>0.32300000000000001</v>
          </cell>
          <cell r="N147" t="str">
            <v>5W</v>
          </cell>
          <cell r="P147" t="str">
            <v>PONFCS</v>
          </cell>
          <cell r="Q147" t="str">
            <v>/  /</v>
          </cell>
        </row>
        <row r="148">
          <cell r="A148">
            <v>4632462</v>
          </cell>
          <cell r="B148">
            <v>44217</v>
          </cell>
          <cell r="C148" t="str">
            <v>PON</v>
          </cell>
          <cell r="D148">
            <v>637007033</v>
          </cell>
          <cell r="E148" t="str">
            <v>F20 Jam 6.8 Nine 51 XL</v>
          </cell>
          <cell r="F148">
            <v>1</v>
          </cell>
          <cell r="G148">
            <v>0</v>
          </cell>
          <cell r="I148" t="str">
            <v>IC141</v>
          </cell>
          <cell r="L148">
            <v>22</v>
          </cell>
          <cell r="M148">
            <v>0.32300000000000001</v>
          </cell>
          <cell r="N148" t="str">
            <v>5W</v>
          </cell>
          <cell r="P148" t="str">
            <v>PONFCS</v>
          </cell>
          <cell r="Q148" t="str">
            <v>/  /</v>
          </cell>
        </row>
        <row r="149">
          <cell r="A149">
            <v>4535297</v>
          </cell>
          <cell r="B149">
            <v>44158</v>
          </cell>
          <cell r="C149" t="str">
            <v>PON</v>
          </cell>
          <cell r="D149">
            <v>641013001</v>
          </cell>
          <cell r="E149" t="str">
            <v>F21 Jam 8.9 Nine M 44 Blu</v>
          </cell>
          <cell r="F149">
            <v>1</v>
          </cell>
          <cell r="G149">
            <v>0</v>
          </cell>
          <cell r="I149" t="str">
            <v>IC141</v>
          </cell>
          <cell r="L149">
            <v>18.600000000000001</v>
          </cell>
          <cell r="M149">
            <v>0.36899999999999999</v>
          </cell>
          <cell r="N149" t="str">
            <v>5W</v>
          </cell>
          <cell r="P149" t="str">
            <v>PONFCS</v>
          </cell>
          <cell r="Q149" t="str">
            <v>/  /</v>
          </cell>
        </row>
        <row r="150">
          <cell r="A150">
            <v>4535298</v>
          </cell>
          <cell r="B150">
            <v>44158</v>
          </cell>
          <cell r="C150" t="str">
            <v>PON</v>
          </cell>
          <cell r="D150">
            <v>641013001</v>
          </cell>
          <cell r="E150" t="str">
            <v>F21 Jam 8.9 Nine M 44 Blu</v>
          </cell>
          <cell r="F150">
            <v>1</v>
          </cell>
          <cell r="G150">
            <v>0</v>
          </cell>
          <cell r="I150" t="str">
            <v>IC141</v>
          </cell>
          <cell r="L150">
            <v>18.600000000000001</v>
          </cell>
          <cell r="M150">
            <v>0.36899999999999999</v>
          </cell>
          <cell r="N150" t="str">
            <v>5W</v>
          </cell>
          <cell r="P150" t="str">
            <v>PONFCS</v>
          </cell>
          <cell r="Q150" t="str">
            <v>/  /</v>
          </cell>
        </row>
        <row r="151">
          <cell r="A151">
            <v>4535299</v>
          </cell>
          <cell r="B151">
            <v>44158</v>
          </cell>
          <cell r="C151" t="str">
            <v>PON</v>
          </cell>
          <cell r="D151">
            <v>641013001</v>
          </cell>
          <cell r="E151" t="str">
            <v>F21 Jam 8.9 Nine M 44 Blu</v>
          </cell>
          <cell r="F151">
            <v>1</v>
          </cell>
          <cell r="G151">
            <v>0</v>
          </cell>
          <cell r="I151" t="str">
            <v>IC141</v>
          </cell>
          <cell r="L151">
            <v>18.600000000000001</v>
          </cell>
          <cell r="M151">
            <v>0.36899999999999999</v>
          </cell>
          <cell r="N151" t="str">
            <v>5W</v>
          </cell>
          <cell r="P151" t="str">
            <v>PONFCS</v>
          </cell>
          <cell r="Q151" t="str">
            <v>/  /</v>
          </cell>
        </row>
        <row r="152">
          <cell r="A152">
            <v>4413349</v>
          </cell>
          <cell r="B152">
            <v>44082</v>
          </cell>
          <cell r="C152" t="str">
            <v>PON</v>
          </cell>
          <cell r="D152">
            <v>641078148</v>
          </cell>
          <cell r="E152" t="str">
            <v>C21 P Series 105 Carbon/Blk 58</v>
          </cell>
          <cell r="F152">
            <v>1</v>
          </cell>
          <cell r="G152">
            <v>0</v>
          </cell>
          <cell r="I152" t="str">
            <v>IC142</v>
          </cell>
          <cell r="L152">
            <v>15</v>
          </cell>
          <cell r="M152">
            <v>0.24399999999999999</v>
          </cell>
          <cell r="N152" t="str">
            <v>5W</v>
          </cell>
          <cell r="P152" t="str">
            <v>PONCVL</v>
          </cell>
          <cell r="Q152" t="str">
            <v>/  /</v>
          </cell>
        </row>
        <row r="153">
          <cell r="A153">
            <v>4614202</v>
          </cell>
          <cell r="B153">
            <v>44203</v>
          </cell>
          <cell r="C153" t="str">
            <v>PON</v>
          </cell>
          <cell r="D153">
            <v>641078201</v>
          </cell>
          <cell r="E153" t="str">
            <v>C21 P5 Disc Ult Cbn/Moss/Wht58</v>
          </cell>
          <cell r="F153">
            <v>1</v>
          </cell>
          <cell r="G153">
            <v>0</v>
          </cell>
          <cell r="I153" t="str">
            <v>IC142</v>
          </cell>
          <cell r="L153">
            <v>15.8</v>
          </cell>
          <cell r="M153">
            <v>0.26300000000000001</v>
          </cell>
          <cell r="N153" t="str">
            <v>5W</v>
          </cell>
          <cell r="P153" t="str">
            <v>PONCVL</v>
          </cell>
          <cell r="Q153" t="str">
            <v>/  /</v>
          </cell>
        </row>
        <row r="154">
          <cell r="A154">
            <v>4571293</v>
          </cell>
          <cell r="B154">
            <v>44169</v>
          </cell>
          <cell r="C154" t="str">
            <v>PON</v>
          </cell>
          <cell r="D154">
            <v>637529071</v>
          </cell>
          <cell r="E154" t="str">
            <v>K20 End 7.B Advance 48M DI</v>
          </cell>
          <cell r="F154">
            <v>1</v>
          </cell>
          <cell r="G154">
            <v>0</v>
          </cell>
          <cell r="I154" t="str">
            <v>IC143</v>
          </cell>
          <cell r="L154">
            <v>35</v>
          </cell>
          <cell r="M154">
            <v>0.58399999999999996</v>
          </cell>
          <cell r="N154" t="str">
            <v>5W</v>
          </cell>
          <cell r="P154" t="str">
            <v>PONFCS</v>
          </cell>
          <cell r="Q154" t="str">
            <v>/  /</v>
          </cell>
        </row>
        <row r="155">
          <cell r="A155">
            <v>4571332</v>
          </cell>
          <cell r="B155">
            <v>44169</v>
          </cell>
          <cell r="C155" t="str">
            <v>PON</v>
          </cell>
          <cell r="D155">
            <v>637529085</v>
          </cell>
          <cell r="E155" t="str">
            <v>K21 Endeavour 7.B Move S 43 Tr</v>
          </cell>
          <cell r="F155">
            <v>1</v>
          </cell>
          <cell r="G155">
            <v>0</v>
          </cell>
          <cell r="I155" t="str">
            <v>IC143</v>
          </cell>
          <cell r="L155">
            <v>34.5</v>
          </cell>
          <cell r="M155">
            <v>0.57299999999999995</v>
          </cell>
          <cell r="N155" t="str">
            <v>5W</v>
          </cell>
          <cell r="P155" t="str">
            <v>PONFCS</v>
          </cell>
          <cell r="Q155" t="str">
            <v>/  /</v>
          </cell>
        </row>
        <row r="156">
          <cell r="A156">
            <v>4406631</v>
          </cell>
          <cell r="B156">
            <v>44082</v>
          </cell>
          <cell r="C156" t="str">
            <v>PON</v>
          </cell>
          <cell r="D156">
            <v>637618602</v>
          </cell>
          <cell r="E156" t="str">
            <v>F20 PARALANE SQE 6.6 COMM 57L</v>
          </cell>
          <cell r="F156">
            <v>1</v>
          </cell>
          <cell r="G156">
            <v>0</v>
          </cell>
          <cell r="I156" t="str">
            <v>IC144</v>
          </cell>
          <cell r="L156">
            <v>25.2</v>
          </cell>
          <cell r="M156">
            <v>0.58099999999999996</v>
          </cell>
          <cell r="N156" t="str">
            <v>5W</v>
          </cell>
          <cell r="P156" t="str">
            <v>PONFCS</v>
          </cell>
          <cell r="Q156" t="str">
            <v>/  /</v>
          </cell>
        </row>
        <row r="157">
          <cell r="A157">
            <v>4406632</v>
          </cell>
          <cell r="B157">
            <v>44082</v>
          </cell>
          <cell r="C157" t="str">
            <v>PON</v>
          </cell>
          <cell r="D157">
            <v>637618602</v>
          </cell>
          <cell r="E157" t="str">
            <v>F20 PARALANE SQE 6.6 COMM 57L</v>
          </cell>
          <cell r="F157">
            <v>1</v>
          </cell>
          <cell r="G157">
            <v>0</v>
          </cell>
          <cell r="I157" t="str">
            <v>IC144</v>
          </cell>
          <cell r="L157">
            <v>25.2</v>
          </cell>
          <cell r="M157">
            <v>0.58099999999999996</v>
          </cell>
          <cell r="N157" t="str">
            <v>5W</v>
          </cell>
          <cell r="P157" t="str">
            <v>PONFCS</v>
          </cell>
          <cell r="Q157" t="str">
            <v>/  /</v>
          </cell>
        </row>
        <row r="158">
          <cell r="A158">
            <v>4406634</v>
          </cell>
          <cell r="B158">
            <v>44082</v>
          </cell>
          <cell r="C158" t="str">
            <v>PON</v>
          </cell>
          <cell r="D158">
            <v>637618602</v>
          </cell>
          <cell r="E158" t="str">
            <v>F20 PARALANE SQE 6.6 COMM 57L</v>
          </cell>
          <cell r="F158">
            <v>1</v>
          </cell>
          <cell r="G158">
            <v>0</v>
          </cell>
          <cell r="I158" t="str">
            <v>IC144</v>
          </cell>
          <cell r="L158">
            <v>25.2</v>
          </cell>
          <cell r="M158">
            <v>0.58099999999999996</v>
          </cell>
          <cell r="N158" t="str">
            <v>5W</v>
          </cell>
          <cell r="P158" t="str">
            <v>PONFCS</v>
          </cell>
          <cell r="Q158" t="str">
            <v>/  /</v>
          </cell>
        </row>
        <row r="159">
          <cell r="A159">
            <v>4406635</v>
          </cell>
          <cell r="B159">
            <v>44082</v>
          </cell>
          <cell r="C159" t="str">
            <v>PON</v>
          </cell>
          <cell r="D159">
            <v>637618602</v>
          </cell>
          <cell r="E159" t="str">
            <v>F20 PARALANE SQE 6.6 COMM 57L</v>
          </cell>
          <cell r="F159">
            <v>1</v>
          </cell>
          <cell r="G159">
            <v>0</v>
          </cell>
          <cell r="I159" t="str">
            <v>IC144</v>
          </cell>
          <cell r="L159">
            <v>25.2</v>
          </cell>
          <cell r="M159">
            <v>0.58099999999999996</v>
          </cell>
          <cell r="N159" t="str">
            <v>5W</v>
          </cell>
          <cell r="P159" t="str">
            <v>PONFCS</v>
          </cell>
          <cell r="Q159" t="str">
            <v>/  /</v>
          </cell>
        </row>
        <row r="160">
          <cell r="A160">
            <v>4009229</v>
          </cell>
          <cell r="B160">
            <v>43819</v>
          </cell>
          <cell r="C160" t="str">
            <v>PON</v>
          </cell>
          <cell r="D160">
            <v>628508303</v>
          </cell>
          <cell r="E160" t="str">
            <v>Focus F18 IZ Max DI2 F/S 54M</v>
          </cell>
          <cell r="F160">
            <v>1</v>
          </cell>
          <cell r="G160">
            <v>0</v>
          </cell>
          <cell r="I160" t="str">
            <v>IC151</v>
          </cell>
          <cell r="L160">
            <v>5.7</v>
          </cell>
          <cell r="M160">
            <v>0.16800000000000001</v>
          </cell>
          <cell r="N160" t="str">
            <v>5W</v>
          </cell>
          <cell r="P160" t="str">
            <v>PONFCS</v>
          </cell>
          <cell r="Q160" t="str">
            <v>/  /</v>
          </cell>
        </row>
        <row r="161">
          <cell r="A161">
            <v>4614024</v>
          </cell>
          <cell r="B161">
            <v>44203</v>
          </cell>
          <cell r="C161" t="str">
            <v>PON</v>
          </cell>
          <cell r="D161">
            <v>641078194</v>
          </cell>
          <cell r="E161" t="str">
            <v>C21 P5 Disc F/E/A Orng/Cham 54</v>
          </cell>
          <cell r="F161">
            <v>1</v>
          </cell>
          <cell r="G161">
            <v>0</v>
          </cell>
          <cell r="I161" t="str">
            <v>IC152</v>
          </cell>
          <cell r="L161">
            <v>15.8</v>
          </cell>
          <cell r="M161">
            <v>0.26500000000000001</v>
          </cell>
          <cell r="N161" t="str">
            <v>5W</v>
          </cell>
          <cell r="P161" t="str">
            <v>PONCVL</v>
          </cell>
          <cell r="Q161" t="str">
            <v>/  /</v>
          </cell>
        </row>
        <row r="162">
          <cell r="A162">
            <v>4614198</v>
          </cell>
          <cell r="B162">
            <v>44203</v>
          </cell>
          <cell r="C162" t="str">
            <v>PON</v>
          </cell>
          <cell r="D162">
            <v>641078200</v>
          </cell>
          <cell r="E162" t="str">
            <v>C21 P5 Disc Ult Cbn/Moss/Wht56</v>
          </cell>
          <cell r="F162">
            <v>1</v>
          </cell>
          <cell r="G162">
            <v>0</v>
          </cell>
          <cell r="I162" t="str">
            <v>IC152</v>
          </cell>
          <cell r="L162">
            <v>15.7</v>
          </cell>
          <cell r="M162">
            <v>0.26300000000000001</v>
          </cell>
          <cell r="N162" t="str">
            <v>5W</v>
          </cell>
          <cell r="P162" t="str">
            <v>PONCVL</v>
          </cell>
          <cell r="Q162" t="str">
            <v>/  /</v>
          </cell>
        </row>
        <row r="163">
          <cell r="A163">
            <v>4614199</v>
          </cell>
          <cell r="B163">
            <v>44203</v>
          </cell>
          <cell r="C163" t="str">
            <v>PON</v>
          </cell>
          <cell r="D163">
            <v>641078200</v>
          </cell>
          <cell r="E163" t="str">
            <v>C21 P5 Disc Ult Cbn/Moss/Wht56</v>
          </cell>
          <cell r="F163">
            <v>1</v>
          </cell>
          <cell r="G163">
            <v>0</v>
          </cell>
          <cell r="I163" t="str">
            <v>IC152</v>
          </cell>
          <cell r="L163">
            <v>15.7</v>
          </cell>
          <cell r="M163">
            <v>0.26300000000000001</v>
          </cell>
          <cell r="N163" t="str">
            <v>5W</v>
          </cell>
          <cell r="P163" t="str">
            <v>PONCVL</v>
          </cell>
          <cell r="Q163" t="str">
            <v>/  /</v>
          </cell>
        </row>
        <row r="164">
          <cell r="A164">
            <v>4644236</v>
          </cell>
          <cell r="B164">
            <v>44225</v>
          </cell>
          <cell r="C164" t="str">
            <v>PON</v>
          </cell>
          <cell r="D164">
            <v>637517341</v>
          </cell>
          <cell r="E164" t="str">
            <v>F21 PLANET2 5.7 L 53 BLK 500WH</v>
          </cell>
          <cell r="F164">
            <v>1</v>
          </cell>
          <cell r="G164">
            <v>0</v>
          </cell>
          <cell r="I164" t="str">
            <v>IC153</v>
          </cell>
          <cell r="L164">
            <v>32.299999999999997</v>
          </cell>
          <cell r="M164">
            <v>0.57799999999999996</v>
          </cell>
          <cell r="N164" t="str">
            <v>5W</v>
          </cell>
          <cell r="P164" t="str">
            <v>PONFCS</v>
          </cell>
          <cell r="Q164" t="str">
            <v>/  /</v>
          </cell>
        </row>
        <row r="165">
          <cell r="A165">
            <v>4644237</v>
          </cell>
          <cell r="B165">
            <v>44225</v>
          </cell>
          <cell r="C165" t="str">
            <v>PON</v>
          </cell>
          <cell r="D165">
            <v>637517341</v>
          </cell>
          <cell r="E165" t="str">
            <v>F21 PLANET2 5.7 L 53 BLK 500WH</v>
          </cell>
          <cell r="F165">
            <v>1</v>
          </cell>
          <cell r="G165">
            <v>0</v>
          </cell>
          <cell r="I165" t="str">
            <v>IC153</v>
          </cell>
          <cell r="L165">
            <v>32.299999999999997</v>
          </cell>
          <cell r="M165">
            <v>0.57799999999999996</v>
          </cell>
          <cell r="N165" t="str">
            <v>5W</v>
          </cell>
          <cell r="P165" t="str">
            <v>PONFCS</v>
          </cell>
          <cell r="Q165" t="str">
            <v>/  /</v>
          </cell>
        </row>
        <row r="166">
          <cell r="A166">
            <v>4644257</v>
          </cell>
          <cell r="B166">
            <v>44225</v>
          </cell>
          <cell r="C166" t="str">
            <v>PON</v>
          </cell>
          <cell r="D166">
            <v>637518153</v>
          </cell>
          <cell r="E166" t="str">
            <v>F20 JAM2 6.7 NINE 49XL BLUE BH</v>
          </cell>
          <cell r="F166">
            <v>1</v>
          </cell>
          <cell r="G166">
            <v>0</v>
          </cell>
          <cell r="I166" t="str">
            <v>IC153</v>
          </cell>
          <cell r="L166">
            <v>33.1</v>
          </cell>
          <cell r="M166">
            <v>0.57599999999999996</v>
          </cell>
          <cell r="N166" t="str">
            <v>5W</v>
          </cell>
          <cell r="P166" t="str">
            <v>PONFCS</v>
          </cell>
          <cell r="Q166" t="str">
            <v>/  /</v>
          </cell>
        </row>
        <row r="167">
          <cell r="A167">
            <v>4644324</v>
          </cell>
          <cell r="B167">
            <v>44225</v>
          </cell>
          <cell r="C167" t="str">
            <v>PON</v>
          </cell>
          <cell r="D167">
            <v>641518010</v>
          </cell>
          <cell r="E167" t="str">
            <v>F21 Jam2 6.9 Nine S 40 625Wh</v>
          </cell>
          <cell r="F167">
            <v>1</v>
          </cell>
          <cell r="G167">
            <v>0</v>
          </cell>
          <cell r="I167" t="str">
            <v>IC153</v>
          </cell>
          <cell r="L167">
            <v>33.5</v>
          </cell>
          <cell r="M167">
            <v>0.55000000000000004</v>
          </cell>
          <cell r="N167" t="str">
            <v>5W</v>
          </cell>
          <cell r="P167" t="str">
            <v>PONFCS</v>
          </cell>
          <cell r="Q167" t="str">
            <v>/  /</v>
          </cell>
        </row>
        <row r="168">
          <cell r="A168">
            <v>4644241</v>
          </cell>
          <cell r="B168">
            <v>44225</v>
          </cell>
          <cell r="C168" t="str">
            <v>PON</v>
          </cell>
          <cell r="D168">
            <v>637517352</v>
          </cell>
          <cell r="E168" t="str">
            <v>F21 PLANET2 5.7 TRL53 BLK 500W</v>
          </cell>
          <cell r="F168">
            <v>1</v>
          </cell>
          <cell r="G168">
            <v>0</v>
          </cell>
          <cell r="I168" t="str">
            <v>IC154</v>
          </cell>
          <cell r="L168">
            <v>32.299999999999997</v>
          </cell>
          <cell r="M168">
            <v>0.57799999999999996</v>
          </cell>
          <cell r="N168" t="str">
            <v>5W</v>
          </cell>
          <cell r="P168" t="str">
            <v>PONFCS</v>
          </cell>
          <cell r="Q168" t="str">
            <v>/  /</v>
          </cell>
        </row>
        <row r="169">
          <cell r="A169">
            <v>4644247</v>
          </cell>
          <cell r="B169">
            <v>44225</v>
          </cell>
          <cell r="C169" t="str">
            <v>PON</v>
          </cell>
          <cell r="D169">
            <v>637517352</v>
          </cell>
          <cell r="E169" t="str">
            <v>F21 PLANET2 5.7 TRL53 BLK 500W</v>
          </cell>
          <cell r="F169">
            <v>1</v>
          </cell>
          <cell r="G169">
            <v>0</v>
          </cell>
          <cell r="I169" t="str">
            <v>IC154</v>
          </cell>
          <cell r="L169">
            <v>32.299999999999997</v>
          </cell>
          <cell r="M169">
            <v>0.57799999999999996</v>
          </cell>
          <cell r="N169" t="str">
            <v>5W</v>
          </cell>
          <cell r="P169" t="str">
            <v>PONFCS</v>
          </cell>
          <cell r="Q169" t="str">
            <v>/  /</v>
          </cell>
        </row>
        <row r="170">
          <cell r="A170">
            <v>4644248</v>
          </cell>
          <cell r="B170">
            <v>44225</v>
          </cell>
          <cell r="C170" t="str">
            <v>PON</v>
          </cell>
          <cell r="D170">
            <v>637517352</v>
          </cell>
          <cell r="E170" t="str">
            <v>F21 PLANET2 5.7 TRL53 BLK 500W</v>
          </cell>
          <cell r="F170">
            <v>1</v>
          </cell>
          <cell r="G170">
            <v>0</v>
          </cell>
          <cell r="I170" t="str">
            <v>IC154</v>
          </cell>
          <cell r="L170">
            <v>32.299999999999997</v>
          </cell>
          <cell r="M170">
            <v>0.57799999999999996</v>
          </cell>
          <cell r="N170" t="str">
            <v>5W</v>
          </cell>
          <cell r="P170" t="str">
            <v>PONFCS</v>
          </cell>
          <cell r="Q170" t="str">
            <v>/  /</v>
          </cell>
        </row>
        <row r="171">
          <cell r="A171">
            <v>4644249</v>
          </cell>
          <cell r="B171">
            <v>44225</v>
          </cell>
          <cell r="C171" t="str">
            <v>PON</v>
          </cell>
          <cell r="D171">
            <v>637517352</v>
          </cell>
          <cell r="E171" t="str">
            <v>F21 PLANET2 5.7 TRL53 BLK 500W</v>
          </cell>
          <cell r="F171">
            <v>1</v>
          </cell>
          <cell r="G171">
            <v>0</v>
          </cell>
          <cell r="I171" t="str">
            <v>IC154</v>
          </cell>
          <cell r="L171">
            <v>32.299999999999997</v>
          </cell>
          <cell r="M171">
            <v>0.57799999999999996</v>
          </cell>
          <cell r="N171" t="str">
            <v>5W</v>
          </cell>
          <cell r="P171" t="str">
            <v>PONFCS</v>
          </cell>
          <cell r="Q171" t="str">
            <v>/  /</v>
          </cell>
        </row>
        <row r="172">
          <cell r="A172">
            <v>4644350</v>
          </cell>
          <cell r="B172">
            <v>44225</v>
          </cell>
          <cell r="C172" t="str">
            <v>PON</v>
          </cell>
          <cell r="D172">
            <v>637527027</v>
          </cell>
          <cell r="E172" t="str">
            <v>K20 Endeavour 3.B Move 45S WA</v>
          </cell>
          <cell r="F172">
            <v>1</v>
          </cell>
          <cell r="G172">
            <v>0</v>
          </cell>
          <cell r="I172" t="str">
            <v>IC154</v>
          </cell>
          <cell r="L172">
            <v>33</v>
          </cell>
          <cell r="M172">
            <v>0.53200000000000003</v>
          </cell>
          <cell r="N172" t="str">
            <v>5W</v>
          </cell>
          <cell r="P172" t="str">
            <v>PONFCS</v>
          </cell>
          <cell r="Q172" t="str">
            <v>/  /</v>
          </cell>
        </row>
        <row r="173">
          <cell r="A173">
            <v>3940672</v>
          </cell>
          <cell r="B173">
            <v>43784</v>
          </cell>
          <cell r="C173" t="str">
            <v>PON</v>
          </cell>
          <cell r="D173">
            <v>633078612</v>
          </cell>
          <cell r="E173" t="str">
            <v>CV C19P3X UltDi2LG Rvr/Flu/Blk</v>
          </cell>
          <cell r="F173">
            <v>1</v>
          </cell>
          <cell r="G173">
            <v>0</v>
          </cell>
          <cell r="I173" t="str">
            <v>IC162</v>
          </cell>
          <cell r="L173">
            <v>15</v>
          </cell>
          <cell r="M173">
            <v>0.23</v>
          </cell>
          <cell r="N173" t="str">
            <v>5W</v>
          </cell>
          <cell r="P173" t="str">
            <v>PONCVL</v>
          </cell>
          <cell r="Q173" t="str">
            <v>/  /</v>
          </cell>
        </row>
        <row r="174">
          <cell r="A174">
            <v>4086204</v>
          </cell>
          <cell r="B174">
            <v>43784</v>
          </cell>
          <cell r="C174" t="str">
            <v>PON</v>
          </cell>
          <cell r="D174">
            <v>633078612</v>
          </cell>
          <cell r="E174" t="str">
            <v>CV C19P3X UltDi2LG Rvr/Flu/Blk</v>
          </cell>
          <cell r="F174">
            <v>1</v>
          </cell>
          <cell r="G174">
            <v>0</v>
          </cell>
          <cell r="I174" t="str">
            <v>IC162</v>
          </cell>
          <cell r="L174">
            <v>15</v>
          </cell>
          <cell r="M174">
            <v>0.23</v>
          </cell>
          <cell r="N174" t="str">
            <v>5W</v>
          </cell>
          <cell r="P174" t="str">
            <v>PONCVL</v>
          </cell>
          <cell r="Q174" t="str">
            <v>/  /</v>
          </cell>
        </row>
        <row r="175">
          <cell r="A175">
            <v>4087602</v>
          </cell>
          <cell r="B175">
            <v>43784</v>
          </cell>
          <cell r="C175" t="str">
            <v>PON</v>
          </cell>
          <cell r="D175">
            <v>633078612</v>
          </cell>
          <cell r="E175" t="str">
            <v>CV C19P3X UltDi2LG Rvr/Flu/Blk</v>
          </cell>
          <cell r="F175">
            <v>1</v>
          </cell>
          <cell r="G175">
            <v>0</v>
          </cell>
          <cell r="I175" t="str">
            <v>IC162</v>
          </cell>
          <cell r="L175">
            <v>15</v>
          </cell>
          <cell r="M175">
            <v>0.23</v>
          </cell>
          <cell r="N175" t="str">
            <v>5W</v>
          </cell>
          <cell r="P175" t="str">
            <v>PONCVL</v>
          </cell>
          <cell r="Q175" t="str">
            <v>/  /</v>
          </cell>
        </row>
        <row r="176">
          <cell r="A176">
            <v>4089397</v>
          </cell>
          <cell r="B176">
            <v>43784</v>
          </cell>
          <cell r="C176" t="str">
            <v>PON</v>
          </cell>
          <cell r="D176">
            <v>633078612</v>
          </cell>
          <cell r="E176" t="str">
            <v>CV C19P3X UltDi2LG Rvr/Flu/Blk</v>
          </cell>
          <cell r="F176">
            <v>1</v>
          </cell>
          <cell r="G176">
            <v>0</v>
          </cell>
          <cell r="I176" t="str">
            <v>IC162</v>
          </cell>
          <cell r="L176">
            <v>15</v>
          </cell>
          <cell r="M176">
            <v>0.23</v>
          </cell>
          <cell r="N176" t="str">
            <v>5W</v>
          </cell>
          <cell r="P176" t="str">
            <v>PONCVL</v>
          </cell>
          <cell r="Q176" t="str">
            <v>/  /</v>
          </cell>
        </row>
        <row r="177">
          <cell r="A177">
            <v>4614022</v>
          </cell>
          <cell r="B177">
            <v>44203</v>
          </cell>
          <cell r="C177" t="str">
            <v>PON</v>
          </cell>
          <cell r="D177">
            <v>641078194</v>
          </cell>
          <cell r="E177" t="str">
            <v>C21 P5 Disc F/E/A Orng/Cham 54</v>
          </cell>
          <cell r="F177">
            <v>1</v>
          </cell>
          <cell r="G177">
            <v>0</v>
          </cell>
          <cell r="I177" t="str">
            <v>IC162</v>
          </cell>
          <cell r="L177">
            <v>15.8</v>
          </cell>
          <cell r="M177">
            <v>0.26500000000000001</v>
          </cell>
          <cell r="N177" t="str">
            <v>5W</v>
          </cell>
          <cell r="P177" t="str">
            <v>PONCVL</v>
          </cell>
          <cell r="Q177" t="str">
            <v>/  /</v>
          </cell>
        </row>
        <row r="178">
          <cell r="A178">
            <v>4571330</v>
          </cell>
          <cell r="B178">
            <v>44169</v>
          </cell>
          <cell r="C178" t="str">
            <v>PON</v>
          </cell>
          <cell r="D178">
            <v>637529085</v>
          </cell>
          <cell r="E178" t="str">
            <v>K21 Endeavour 7.B Move S 43 Tr</v>
          </cell>
          <cell r="F178">
            <v>1</v>
          </cell>
          <cell r="G178">
            <v>0</v>
          </cell>
          <cell r="I178" t="str">
            <v>IC163</v>
          </cell>
          <cell r="L178">
            <v>34.5</v>
          </cell>
          <cell r="M178">
            <v>0.57299999999999995</v>
          </cell>
          <cell r="N178" t="str">
            <v>5W</v>
          </cell>
          <cell r="P178" t="str">
            <v>PONFCS</v>
          </cell>
          <cell r="Q178" t="str">
            <v>/  /</v>
          </cell>
        </row>
        <row r="179">
          <cell r="A179">
            <v>3952965</v>
          </cell>
          <cell r="B179">
            <v>43790</v>
          </cell>
          <cell r="C179" t="str">
            <v>PON</v>
          </cell>
          <cell r="D179">
            <v>628078172</v>
          </cell>
          <cell r="E179" t="str">
            <v>C18 R5 DA Di2 9150 54 MD</v>
          </cell>
          <cell r="F179">
            <v>1</v>
          </cell>
          <cell r="G179">
            <v>0</v>
          </cell>
          <cell r="I179" t="str">
            <v>ID011</v>
          </cell>
          <cell r="L179">
            <v>12</v>
          </cell>
          <cell r="M179">
            <v>0.21</v>
          </cell>
          <cell r="N179" t="str">
            <v>5W</v>
          </cell>
          <cell r="P179" t="str">
            <v>PONCVL</v>
          </cell>
          <cell r="Q179" t="str">
            <v>/  /</v>
          </cell>
        </row>
        <row r="180">
          <cell r="A180">
            <v>4081118</v>
          </cell>
          <cell r="B180">
            <v>43790</v>
          </cell>
          <cell r="C180" t="str">
            <v>PON</v>
          </cell>
          <cell r="D180">
            <v>628078172</v>
          </cell>
          <cell r="E180" t="str">
            <v>C18 R5 DA Di2 9150 54 MD</v>
          </cell>
          <cell r="F180">
            <v>1</v>
          </cell>
          <cell r="G180">
            <v>0</v>
          </cell>
          <cell r="I180" t="str">
            <v>ID011</v>
          </cell>
          <cell r="L180">
            <v>12</v>
          </cell>
          <cell r="M180">
            <v>0.21</v>
          </cell>
          <cell r="N180" t="str">
            <v>5W</v>
          </cell>
          <cell r="P180" t="str">
            <v>PONCVL</v>
          </cell>
          <cell r="Q180" t="str">
            <v>/  /</v>
          </cell>
        </row>
        <row r="181">
          <cell r="A181">
            <v>4459111</v>
          </cell>
          <cell r="B181">
            <v>44112</v>
          </cell>
          <cell r="C181" t="str">
            <v>PON</v>
          </cell>
          <cell r="D181">
            <v>641080014</v>
          </cell>
          <cell r="E181" t="str">
            <v>F21 IZ MAX DISC F/S 56L L/G</v>
          </cell>
          <cell r="F181">
            <v>1</v>
          </cell>
          <cell r="G181">
            <v>0</v>
          </cell>
          <cell r="I181" t="str">
            <v>ID011</v>
          </cell>
          <cell r="L181">
            <v>5.7</v>
          </cell>
          <cell r="M181">
            <v>0.156</v>
          </cell>
          <cell r="N181" t="str">
            <v>5W</v>
          </cell>
          <cell r="P181" t="str">
            <v>PONFCS</v>
          </cell>
          <cell r="Q181" t="str">
            <v>/  /</v>
          </cell>
        </row>
        <row r="182">
          <cell r="A182">
            <v>4459112</v>
          </cell>
          <cell r="B182">
            <v>44112</v>
          </cell>
          <cell r="C182" t="str">
            <v>PON</v>
          </cell>
          <cell r="D182">
            <v>641080014</v>
          </cell>
          <cell r="E182" t="str">
            <v>F21 IZ MAX DISC F/S 56L L/G</v>
          </cell>
          <cell r="F182">
            <v>1</v>
          </cell>
          <cell r="G182">
            <v>0</v>
          </cell>
          <cell r="I182" t="str">
            <v>ID011</v>
          </cell>
          <cell r="L182">
            <v>5.7</v>
          </cell>
          <cell r="M182">
            <v>0.156</v>
          </cell>
          <cell r="N182" t="str">
            <v>5W</v>
          </cell>
          <cell r="P182" t="str">
            <v>PONFCS</v>
          </cell>
          <cell r="Q182" t="str">
            <v>/  /</v>
          </cell>
        </row>
        <row r="183">
          <cell r="A183">
            <v>4459113</v>
          </cell>
          <cell r="B183">
            <v>44112</v>
          </cell>
          <cell r="C183" t="str">
            <v>PON</v>
          </cell>
          <cell r="D183">
            <v>641080014</v>
          </cell>
          <cell r="E183" t="str">
            <v>F21 IZ MAX DISC F/S 56L L/G</v>
          </cell>
          <cell r="F183">
            <v>1</v>
          </cell>
          <cell r="G183">
            <v>0</v>
          </cell>
          <cell r="I183" t="str">
            <v>ID011</v>
          </cell>
          <cell r="L183">
            <v>5.7</v>
          </cell>
          <cell r="M183">
            <v>0.156</v>
          </cell>
          <cell r="N183" t="str">
            <v>5W</v>
          </cell>
          <cell r="P183" t="str">
            <v>PONFCS</v>
          </cell>
          <cell r="Q183" t="str">
            <v>/  /</v>
          </cell>
        </row>
        <row r="184">
          <cell r="A184">
            <v>4459114</v>
          </cell>
          <cell r="B184">
            <v>44112</v>
          </cell>
          <cell r="C184" t="str">
            <v>PON</v>
          </cell>
          <cell r="D184">
            <v>641080014</v>
          </cell>
          <cell r="E184" t="str">
            <v>F21 IZ MAX DISC F/S 56L L/G</v>
          </cell>
          <cell r="F184">
            <v>1</v>
          </cell>
          <cell r="G184">
            <v>0</v>
          </cell>
          <cell r="I184" t="str">
            <v>ID011</v>
          </cell>
          <cell r="L184">
            <v>5.7</v>
          </cell>
          <cell r="M184">
            <v>0.156</v>
          </cell>
          <cell r="N184" t="str">
            <v>5W</v>
          </cell>
          <cell r="P184" t="str">
            <v>PONFCS</v>
          </cell>
          <cell r="Q184" t="str">
            <v>/  /</v>
          </cell>
        </row>
        <row r="185">
          <cell r="A185">
            <v>4459115</v>
          </cell>
          <cell r="B185">
            <v>44112</v>
          </cell>
          <cell r="C185" t="str">
            <v>PON</v>
          </cell>
          <cell r="D185">
            <v>641080014</v>
          </cell>
          <cell r="E185" t="str">
            <v>F21 IZ MAX DISC F/S 56L L/G</v>
          </cell>
          <cell r="F185">
            <v>1</v>
          </cell>
          <cell r="G185">
            <v>0</v>
          </cell>
          <cell r="I185" t="str">
            <v>ID011</v>
          </cell>
          <cell r="L185">
            <v>5.7</v>
          </cell>
          <cell r="M185">
            <v>0.156</v>
          </cell>
          <cell r="N185" t="str">
            <v>5W</v>
          </cell>
          <cell r="P185" t="str">
            <v>PONFCS</v>
          </cell>
          <cell r="Q185" t="str">
            <v>/  /</v>
          </cell>
        </row>
        <row r="186">
          <cell r="A186">
            <v>3948733</v>
          </cell>
          <cell r="B186">
            <v>43788</v>
          </cell>
          <cell r="C186" t="str">
            <v>PON</v>
          </cell>
          <cell r="D186">
            <v>633078042</v>
          </cell>
          <cell r="E186" t="str">
            <v>CV C19R5 DscDA Di2 54CMBlk/Gph</v>
          </cell>
          <cell r="F186">
            <v>1</v>
          </cell>
          <cell r="G186">
            <v>0</v>
          </cell>
          <cell r="I186" t="str">
            <v>ID012</v>
          </cell>
          <cell r="L186">
            <v>12.7</v>
          </cell>
          <cell r="M186">
            <v>0.22500000000000001</v>
          </cell>
          <cell r="N186" t="str">
            <v>5W</v>
          </cell>
          <cell r="P186" t="str">
            <v>PONCVL</v>
          </cell>
          <cell r="Q186" t="str">
            <v>/  /</v>
          </cell>
        </row>
        <row r="187">
          <cell r="A187">
            <v>4086168</v>
          </cell>
          <cell r="B187">
            <v>43788</v>
          </cell>
          <cell r="C187" t="str">
            <v>PON</v>
          </cell>
          <cell r="D187">
            <v>633078042</v>
          </cell>
          <cell r="E187" t="str">
            <v>CV C19R5 DscDA Di2 54CMBlk/Gph</v>
          </cell>
          <cell r="F187">
            <v>1</v>
          </cell>
          <cell r="G187">
            <v>0</v>
          </cell>
          <cell r="I187" t="str">
            <v>ID012</v>
          </cell>
          <cell r="L187">
            <v>12.7</v>
          </cell>
          <cell r="M187">
            <v>0.22500000000000001</v>
          </cell>
          <cell r="N187" t="str">
            <v>5W</v>
          </cell>
          <cell r="P187" t="str">
            <v>PONCVL</v>
          </cell>
          <cell r="Q187" t="str">
            <v>/  /</v>
          </cell>
        </row>
        <row r="188">
          <cell r="A188">
            <v>4087539</v>
          </cell>
          <cell r="B188">
            <v>43788</v>
          </cell>
          <cell r="C188" t="str">
            <v>PON</v>
          </cell>
          <cell r="D188">
            <v>633078042</v>
          </cell>
          <cell r="E188" t="str">
            <v>CV C19R5 DscDA Di2 54CMBlk/Gph</v>
          </cell>
          <cell r="F188">
            <v>1</v>
          </cell>
          <cell r="G188">
            <v>0</v>
          </cell>
          <cell r="I188" t="str">
            <v>ID012</v>
          </cell>
          <cell r="L188">
            <v>12.7</v>
          </cell>
          <cell r="M188">
            <v>0.22500000000000001</v>
          </cell>
          <cell r="N188" t="str">
            <v>5W</v>
          </cell>
          <cell r="P188" t="str">
            <v>PONCVL</v>
          </cell>
          <cell r="Q188" t="str">
            <v>/  /</v>
          </cell>
        </row>
        <row r="189">
          <cell r="A189">
            <v>4088978</v>
          </cell>
          <cell r="B189">
            <v>43788</v>
          </cell>
          <cell r="C189" t="str">
            <v>PON</v>
          </cell>
          <cell r="D189">
            <v>633078042</v>
          </cell>
          <cell r="E189" t="str">
            <v>CV C19R5 DscDA Di2 54CMBlk/Gph</v>
          </cell>
          <cell r="F189">
            <v>1</v>
          </cell>
          <cell r="G189">
            <v>0</v>
          </cell>
          <cell r="I189" t="str">
            <v>ID012</v>
          </cell>
          <cell r="L189">
            <v>12.7</v>
          </cell>
          <cell r="M189">
            <v>0.22500000000000001</v>
          </cell>
          <cell r="N189" t="str">
            <v>5W</v>
          </cell>
          <cell r="P189" t="str">
            <v>PONCVL</v>
          </cell>
          <cell r="Q189" t="str">
            <v>/  /</v>
          </cell>
        </row>
        <row r="190">
          <cell r="A190">
            <v>4459116</v>
          </cell>
          <cell r="B190">
            <v>44112</v>
          </cell>
          <cell r="C190" t="str">
            <v>PON</v>
          </cell>
          <cell r="D190">
            <v>641080014</v>
          </cell>
          <cell r="E190" t="str">
            <v>F21 IZ MAX DISC F/S 56L L/G</v>
          </cell>
          <cell r="F190">
            <v>1</v>
          </cell>
          <cell r="G190">
            <v>0</v>
          </cell>
          <cell r="I190" t="str">
            <v>ID012</v>
          </cell>
          <cell r="L190">
            <v>5.7</v>
          </cell>
          <cell r="M190">
            <v>0.156</v>
          </cell>
          <cell r="N190" t="str">
            <v>5W</v>
          </cell>
          <cell r="P190" t="str">
            <v>PONFCS</v>
          </cell>
          <cell r="Q190" t="str">
            <v>/  /</v>
          </cell>
        </row>
        <row r="191">
          <cell r="A191">
            <v>4088426</v>
          </cell>
          <cell r="B191">
            <v>43817</v>
          </cell>
          <cell r="C191" t="str">
            <v>PON</v>
          </cell>
          <cell r="D191" t="str">
            <v>A3208</v>
          </cell>
          <cell r="E191" t="str">
            <v>GZ G19 Ultimate T10 HMB 61 MAN</v>
          </cell>
          <cell r="F191">
            <v>1</v>
          </cell>
          <cell r="G191">
            <v>0</v>
          </cell>
          <cell r="I191" t="str">
            <v>ID013</v>
          </cell>
          <cell r="L191">
            <v>30.9</v>
          </cell>
          <cell r="M191">
            <v>0.64700000000000002</v>
          </cell>
          <cell r="N191" t="str">
            <v>5W</v>
          </cell>
          <cell r="P191" t="str">
            <v>PONGAZ</v>
          </cell>
          <cell r="Q191" t="str">
            <v>/  /</v>
          </cell>
        </row>
        <row r="192">
          <cell r="A192">
            <v>4025128</v>
          </cell>
          <cell r="B192">
            <v>43843</v>
          </cell>
          <cell r="C192" t="str">
            <v>PON</v>
          </cell>
          <cell r="D192">
            <v>633618526</v>
          </cell>
          <cell r="E192" t="str">
            <v>FC F20 Para Sqre 9.7 54M Blue</v>
          </cell>
          <cell r="F192">
            <v>1</v>
          </cell>
          <cell r="G192">
            <v>0</v>
          </cell>
          <cell r="I192" t="str">
            <v>ID014</v>
          </cell>
          <cell r="L192">
            <v>23.4</v>
          </cell>
          <cell r="M192">
            <v>0.55500000000000005</v>
          </cell>
          <cell r="N192" t="str">
            <v>5W</v>
          </cell>
          <cell r="P192" t="str">
            <v>PONFCS</v>
          </cell>
          <cell r="Q192" t="str">
            <v>/  /</v>
          </cell>
        </row>
        <row r="193">
          <cell r="A193">
            <v>4011632</v>
          </cell>
          <cell r="B193">
            <v>43822</v>
          </cell>
          <cell r="C193" t="str">
            <v>PON</v>
          </cell>
          <cell r="D193" t="str">
            <v>A5468</v>
          </cell>
          <cell r="E193" t="str">
            <v>GZ G19 Cityzen T10 HMB 61 Men</v>
          </cell>
          <cell r="F193">
            <v>1</v>
          </cell>
          <cell r="G193">
            <v>0</v>
          </cell>
          <cell r="I193" t="str">
            <v>ID014</v>
          </cell>
          <cell r="L193">
            <v>34.9</v>
          </cell>
          <cell r="M193">
            <v>0.61499999999999999</v>
          </cell>
          <cell r="N193" t="str">
            <v>5W</v>
          </cell>
          <cell r="P193" t="str">
            <v>PONGAZ</v>
          </cell>
          <cell r="Q193" t="str">
            <v>/  /</v>
          </cell>
        </row>
        <row r="194">
          <cell r="A194">
            <v>4088982</v>
          </cell>
          <cell r="B194">
            <v>43784</v>
          </cell>
          <cell r="C194" t="str">
            <v>PON</v>
          </cell>
          <cell r="D194">
            <v>633078043</v>
          </cell>
          <cell r="E194" t="str">
            <v>CV C19R5 DscDA Di2 56CMBlk/Gph</v>
          </cell>
          <cell r="F194">
            <v>1</v>
          </cell>
          <cell r="G194">
            <v>0</v>
          </cell>
          <cell r="I194" t="str">
            <v>ID021</v>
          </cell>
          <cell r="L194">
            <v>12.7</v>
          </cell>
          <cell r="M194">
            <v>0.23599999999999999</v>
          </cell>
          <cell r="N194" t="str">
            <v>5W</v>
          </cell>
          <cell r="P194" t="str">
            <v>PONCVL</v>
          </cell>
          <cell r="Q194" t="str">
            <v>/  /</v>
          </cell>
        </row>
        <row r="195">
          <cell r="A195">
            <v>4614622</v>
          </cell>
          <cell r="B195">
            <v>44203</v>
          </cell>
          <cell r="C195" t="str">
            <v>PON</v>
          </cell>
          <cell r="D195">
            <v>641078303</v>
          </cell>
          <cell r="E195" t="str">
            <v>C21 S5 D/Frc Blue Chameleon 56</v>
          </cell>
          <cell r="F195">
            <v>1</v>
          </cell>
          <cell r="G195">
            <v>0</v>
          </cell>
          <cell r="I195" t="str">
            <v>ID022</v>
          </cell>
          <cell r="L195">
            <v>13.9</v>
          </cell>
          <cell r="M195">
            <v>0.24399999999999999</v>
          </cell>
          <cell r="N195" t="str">
            <v>5W</v>
          </cell>
          <cell r="P195" t="str">
            <v>PONCVL</v>
          </cell>
          <cell r="Q195" t="str">
            <v>/  /</v>
          </cell>
        </row>
        <row r="196">
          <cell r="A196">
            <v>4459118</v>
          </cell>
          <cell r="B196">
            <v>44112</v>
          </cell>
          <cell r="C196" t="str">
            <v>PON</v>
          </cell>
          <cell r="D196">
            <v>641080015</v>
          </cell>
          <cell r="E196" t="str">
            <v>F21 IZ MAX DISC F/S 58XL L/G</v>
          </cell>
          <cell r="F196">
            <v>1</v>
          </cell>
          <cell r="G196">
            <v>0</v>
          </cell>
          <cell r="I196" t="str">
            <v>ID022</v>
          </cell>
          <cell r="L196">
            <v>6</v>
          </cell>
          <cell r="M196">
            <v>0.16600000000000001</v>
          </cell>
          <cell r="N196" t="str">
            <v>5W</v>
          </cell>
          <cell r="P196" t="str">
            <v>PONFCS</v>
          </cell>
          <cell r="Q196" t="str">
            <v>/  /</v>
          </cell>
        </row>
        <row r="197">
          <cell r="A197">
            <v>4459119</v>
          </cell>
          <cell r="B197">
            <v>44112</v>
          </cell>
          <cell r="C197" t="str">
            <v>PON</v>
          </cell>
          <cell r="D197">
            <v>641080015</v>
          </cell>
          <cell r="E197" t="str">
            <v>F21 IZ MAX DISC F/S 58XL L/G</v>
          </cell>
          <cell r="F197">
            <v>1</v>
          </cell>
          <cell r="G197">
            <v>0</v>
          </cell>
          <cell r="I197" t="str">
            <v>ID022</v>
          </cell>
          <cell r="L197">
            <v>6</v>
          </cell>
          <cell r="M197">
            <v>0.16600000000000001</v>
          </cell>
          <cell r="N197" t="str">
            <v>5W</v>
          </cell>
          <cell r="P197" t="str">
            <v>PONFCS</v>
          </cell>
          <cell r="Q197" t="str">
            <v>/  /</v>
          </cell>
        </row>
        <row r="198">
          <cell r="A198">
            <v>4459120</v>
          </cell>
          <cell r="B198">
            <v>44112</v>
          </cell>
          <cell r="C198" t="str">
            <v>PON</v>
          </cell>
          <cell r="D198">
            <v>641080015</v>
          </cell>
          <cell r="E198" t="str">
            <v>F21 IZ MAX DISC F/S 58XL L/G</v>
          </cell>
          <cell r="F198">
            <v>1</v>
          </cell>
          <cell r="G198">
            <v>0</v>
          </cell>
          <cell r="I198" t="str">
            <v>ID022</v>
          </cell>
          <cell r="L198">
            <v>6</v>
          </cell>
          <cell r="M198">
            <v>0.16600000000000001</v>
          </cell>
          <cell r="N198" t="str">
            <v>5W</v>
          </cell>
          <cell r="P198" t="str">
            <v>PONFCS</v>
          </cell>
          <cell r="Q198" t="str">
            <v>/  /</v>
          </cell>
        </row>
        <row r="199">
          <cell r="A199">
            <v>4644676</v>
          </cell>
          <cell r="B199">
            <v>44225</v>
          </cell>
          <cell r="C199" t="str">
            <v>PON</v>
          </cell>
          <cell r="D199">
            <v>637518003</v>
          </cell>
          <cell r="E199" t="str">
            <v>F20 Thron2 6.9 50XL</v>
          </cell>
          <cell r="F199">
            <v>1</v>
          </cell>
          <cell r="G199">
            <v>0</v>
          </cell>
          <cell r="I199" t="str">
            <v>ID023</v>
          </cell>
          <cell r="L199">
            <v>33</v>
          </cell>
          <cell r="M199">
            <v>0.58099999999999996</v>
          </cell>
          <cell r="N199" t="str">
            <v>5W</v>
          </cell>
          <cell r="P199" t="str">
            <v>PONFCS</v>
          </cell>
          <cell r="Q199" t="str">
            <v>/  /</v>
          </cell>
        </row>
        <row r="200">
          <cell r="A200">
            <v>4644679</v>
          </cell>
          <cell r="B200">
            <v>44225</v>
          </cell>
          <cell r="C200" t="str">
            <v>PON</v>
          </cell>
          <cell r="D200">
            <v>637518143</v>
          </cell>
          <cell r="E200" t="str">
            <v>F20 Jam2 6.7 Nine 49XL Black</v>
          </cell>
          <cell r="F200">
            <v>1</v>
          </cell>
          <cell r="G200">
            <v>0</v>
          </cell>
          <cell r="I200" t="str">
            <v>ID023</v>
          </cell>
          <cell r="L200">
            <v>33.9</v>
          </cell>
          <cell r="M200">
            <v>0.58099999999999996</v>
          </cell>
          <cell r="N200" t="str">
            <v>5W</v>
          </cell>
          <cell r="P200" t="str">
            <v>PONFCS</v>
          </cell>
          <cell r="Q200" t="str">
            <v>/  /</v>
          </cell>
        </row>
        <row r="201">
          <cell r="A201">
            <v>4644356</v>
          </cell>
          <cell r="B201">
            <v>44225</v>
          </cell>
          <cell r="C201" t="str">
            <v>PON</v>
          </cell>
          <cell r="D201">
            <v>637527027</v>
          </cell>
          <cell r="E201" t="str">
            <v>K20 Endeavour 3.B Move 45S WA</v>
          </cell>
          <cell r="F201">
            <v>1</v>
          </cell>
          <cell r="G201">
            <v>0</v>
          </cell>
          <cell r="I201" t="str">
            <v>ID023</v>
          </cell>
          <cell r="L201">
            <v>33</v>
          </cell>
          <cell r="M201">
            <v>0.53200000000000003</v>
          </cell>
          <cell r="N201" t="str">
            <v>5W</v>
          </cell>
          <cell r="P201" t="str">
            <v>PONFCS</v>
          </cell>
          <cell r="Q201" t="str">
            <v>/  /</v>
          </cell>
        </row>
        <row r="202">
          <cell r="A202">
            <v>4644357</v>
          </cell>
          <cell r="B202">
            <v>44225</v>
          </cell>
          <cell r="C202" t="str">
            <v>PON</v>
          </cell>
          <cell r="D202">
            <v>637527027</v>
          </cell>
          <cell r="E202" t="str">
            <v>K20 Endeavour 3.B Move 45S WA</v>
          </cell>
          <cell r="F202">
            <v>1</v>
          </cell>
          <cell r="G202">
            <v>0</v>
          </cell>
          <cell r="I202" t="str">
            <v>ID023</v>
          </cell>
          <cell r="L202">
            <v>33</v>
          </cell>
          <cell r="M202">
            <v>0.53200000000000003</v>
          </cell>
          <cell r="N202" t="str">
            <v>5W</v>
          </cell>
          <cell r="P202" t="str">
            <v>PONFCS</v>
          </cell>
          <cell r="Q202" t="str">
            <v>/  /</v>
          </cell>
        </row>
        <row r="203">
          <cell r="A203">
            <v>4644680</v>
          </cell>
          <cell r="B203">
            <v>44225</v>
          </cell>
          <cell r="C203" t="str">
            <v>PON</v>
          </cell>
          <cell r="D203">
            <v>641517321</v>
          </cell>
          <cell r="E203" t="str">
            <v>F21 Planet2 5.8 Grey Wa M</v>
          </cell>
          <cell r="F203">
            <v>1</v>
          </cell>
          <cell r="G203">
            <v>0</v>
          </cell>
          <cell r="I203" t="str">
            <v>ID023</v>
          </cell>
          <cell r="L203">
            <v>18.600000000000001</v>
          </cell>
          <cell r="M203">
            <v>0.55000000000000004</v>
          </cell>
          <cell r="N203" t="str">
            <v>5W</v>
          </cell>
          <cell r="P203" t="str">
            <v>PONFCS</v>
          </cell>
          <cell r="Q203" t="str">
            <v>/  /</v>
          </cell>
        </row>
        <row r="204">
          <cell r="A204">
            <v>4587073</v>
          </cell>
          <cell r="B204">
            <v>44181</v>
          </cell>
          <cell r="C204" t="str">
            <v>PON</v>
          </cell>
          <cell r="D204">
            <v>641528405</v>
          </cell>
          <cell r="E204" t="str">
            <v>K21 Image 5.B Excite Wa S43</v>
          </cell>
          <cell r="F204">
            <v>1</v>
          </cell>
          <cell r="G204">
            <v>0</v>
          </cell>
          <cell r="I204" t="str">
            <v>ID023</v>
          </cell>
          <cell r="L204">
            <v>37</v>
          </cell>
          <cell r="M204">
            <v>0.57299999999999995</v>
          </cell>
          <cell r="N204" t="str">
            <v>5W</v>
          </cell>
          <cell r="P204" t="str">
            <v>PONFCS</v>
          </cell>
          <cell r="Q204" t="str">
            <v>/  /</v>
          </cell>
        </row>
        <row r="205">
          <cell r="A205">
            <v>4644263</v>
          </cell>
          <cell r="B205">
            <v>44225</v>
          </cell>
          <cell r="C205" t="str">
            <v>PON</v>
          </cell>
          <cell r="D205">
            <v>637526067</v>
          </cell>
          <cell r="E205" t="str">
            <v>K21 Endv 1.B Move M Grey</v>
          </cell>
          <cell r="F205">
            <v>1</v>
          </cell>
          <cell r="G205">
            <v>0</v>
          </cell>
          <cell r="I205" t="str">
            <v>ID024</v>
          </cell>
          <cell r="L205">
            <v>32.5</v>
          </cell>
          <cell r="M205">
            <v>0.57299999999999995</v>
          </cell>
          <cell r="N205" t="str">
            <v>5W</v>
          </cell>
          <cell r="P205" t="str">
            <v>PONFCS</v>
          </cell>
          <cell r="Q205" t="str">
            <v>/  /</v>
          </cell>
        </row>
        <row r="206">
          <cell r="A206">
            <v>4644325</v>
          </cell>
          <cell r="B206">
            <v>44225</v>
          </cell>
          <cell r="C206" t="str">
            <v>PON</v>
          </cell>
          <cell r="D206">
            <v>641518010</v>
          </cell>
          <cell r="E206" t="str">
            <v>F21 Jam2 6.9 Nine S 40 625Wh</v>
          </cell>
          <cell r="F206">
            <v>1</v>
          </cell>
          <cell r="G206">
            <v>0</v>
          </cell>
          <cell r="I206" t="str">
            <v>ID024</v>
          </cell>
          <cell r="L206">
            <v>33.5</v>
          </cell>
          <cell r="M206">
            <v>0.55000000000000004</v>
          </cell>
          <cell r="N206" t="str">
            <v>5W</v>
          </cell>
          <cell r="P206" t="str">
            <v>PONFCS</v>
          </cell>
          <cell r="Q206" t="str">
            <v>/  /</v>
          </cell>
        </row>
        <row r="207">
          <cell r="A207">
            <v>4458769</v>
          </cell>
          <cell r="B207">
            <v>44112</v>
          </cell>
          <cell r="C207" t="str">
            <v>PON</v>
          </cell>
          <cell r="D207">
            <v>637006022</v>
          </cell>
          <cell r="E207" t="str">
            <v>F20 IZ Max Disc 9.7 AXS 52 S</v>
          </cell>
          <cell r="F207">
            <v>1</v>
          </cell>
          <cell r="G207">
            <v>0</v>
          </cell>
          <cell r="I207" t="str">
            <v>ID031</v>
          </cell>
          <cell r="L207">
            <v>13.6</v>
          </cell>
          <cell r="M207">
            <v>0.22</v>
          </cell>
          <cell r="N207" t="str">
            <v>5W</v>
          </cell>
          <cell r="P207" t="str">
            <v>PONFCS</v>
          </cell>
          <cell r="Q207" t="str">
            <v>/  /</v>
          </cell>
        </row>
        <row r="208">
          <cell r="A208">
            <v>4458770</v>
          </cell>
          <cell r="B208">
            <v>44112</v>
          </cell>
          <cell r="C208" t="str">
            <v>PON</v>
          </cell>
          <cell r="D208">
            <v>637006022</v>
          </cell>
          <cell r="E208" t="str">
            <v>F20 IZ Max Disc 9.7 AXS 52 S</v>
          </cell>
          <cell r="F208">
            <v>1</v>
          </cell>
          <cell r="G208">
            <v>0</v>
          </cell>
          <cell r="I208" t="str">
            <v>ID031</v>
          </cell>
          <cell r="L208">
            <v>13.6</v>
          </cell>
          <cell r="M208">
            <v>0.22</v>
          </cell>
          <cell r="N208" t="str">
            <v>5W</v>
          </cell>
          <cell r="P208" t="str">
            <v>PONFCS</v>
          </cell>
          <cell r="Q208" t="str">
            <v>/  /</v>
          </cell>
        </row>
        <row r="209">
          <cell r="A209">
            <v>4458771</v>
          </cell>
          <cell r="B209">
            <v>44112</v>
          </cell>
          <cell r="C209" t="str">
            <v>PON</v>
          </cell>
          <cell r="D209">
            <v>637006022</v>
          </cell>
          <cell r="E209" t="str">
            <v>F20 IZ Max Disc 9.7 AXS 52 S</v>
          </cell>
          <cell r="F209">
            <v>1</v>
          </cell>
          <cell r="G209">
            <v>0</v>
          </cell>
          <cell r="I209" t="str">
            <v>ID031</v>
          </cell>
          <cell r="L209">
            <v>13.6</v>
          </cell>
          <cell r="M209">
            <v>0.22</v>
          </cell>
          <cell r="N209" t="str">
            <v>5W</v>
          </cell>
          <cell r="P209" t="str">
            <v>PONFCS</v>
          </cell>
          <cell r="Q209" t="str">
            <v>/  /</v>
          </cell>
        </row>
        <row r="210">
          <cell r="A210">
            <v>4458772</v>
          </cell>
          <cell r="B210">
            <v>44112</v>
          </cell>
          <cell r="C210" t="str">
            <v>PON</v>
          </cell>
          <cell r="D210">
            <v>637006022</v>
          </cell>
          <cell r="E210" t="str">
            <v>F20 IZ Max Disc 9.7 AXS 52 S</v>
          </cell>
          <cell r="F210">
            <v>1</v>
          </cell>
          <cell r="G210">
            <v>0</v>
          </cell>
          <cell r="I210" t="str">
            <v>ID031</v>
          </cell>
          <cell r="L210">
            <v>13.6</v>
          </cell>
          <cell r="M210">
            <v>0.22</v>
          </cell>
          <cell r="N210" t="str">
            <v>5W</v>
          </cell>
          <cell r="P210" t="str">
            <v>PONFCS</v>
          </cell>
          <cell r="Q210" t="str">
            <v>/  /</v>
          </cell>
        </row>
        <row r="211">
          <cell r="A211">
            <v>3911546</v>
          </cell>
          <cell r="B211">
            <v>43766</v>
          </cell>
          <cell r="C211" t="str">
            <v>PON</v>
          </cell>
          <cell r="D211">
            <v>633006332</v>
          </cell>
          <cell r="E211" t="str">
            <v>FC F19 Mare 9.7 Ltd 54M Salmon</v>
          </cell>
          <cell r="F211">
            <v>1</v>
          </cell>
          <cell r="G211">
            <v>0</v>
          </cell>
          <cell r="I211" t="str">
            <v>ID032</v>
          </cell>
          <cell r="L211">
            <v>14</v>
          </cell>
          <cell r="M211">
            <v>0.22600000000000001</v>
          </cell>
          <cell r="N211" t="str">
            <v>5W</v>
          </cell>
          <cell r="P211" t="str">
            <v>PONFCS</v>
          </cell>
          <cell r="Q211" t="str">
            <v>/  /</v>
          </cell>
        </row>
        <row r="212">
          <cell r="A212">
            <v>4519499</v>
          </cell>
          <cell r="B212">
            <v>44148</v>
          </cell>
          <cell r="C212" t="str">
            <v>PON</v>
          </cell>
          <cell r="D212">
            <v>637078255</v>
          </cell>
          <cell r="E212" t="str">
            <v>CV C20S5DscUlt Di2 BlkGph/Wh54</v>
          </cell>
          <cell r="F212">
            <v>1</v>
          </cell>
          <cell r="G212">
            <v>0</v>
          </cell>
          <cell r="I212" t="str">
            <v>ID032</v>
          </cell>
          <cell r="L212">
            <v>13.8</v>
          </cell>
          <cell r="M212">
            <v>0.23300000000000001</v>
          </cell>
          <cell r="N212" t="str">
            <v>5W</v>
          </cell>
          <cell r="P212" t="str">
            <v>PONCVL</v>
          </cell>
          <cell r="Q212" t="str">
            <v>/  /</v>
          </cell>
        </row>
        <row r="213">
          <cell r="A213">
            <v>4519991</v>
          </cell>
          <cell r="B213">
            <v>44148</v>
          </cell>
          <cell r="C213" t="str">
            <v>PON</v>
          </cell>
          <cell r="D213" t="str">
            <v>FS623013063</v>
          </cell>
          <cell r="E213" t="str">
            <v>F16 RAVEN MAX TEAM 29 FRAMESET</v>
          </cell>
          <cell r="F213">
            <v>1</v>
          </cell>
          <cell r="G213">
            <v>0</v>
          </cell>
          <cell r="I213" t="str">
            <v>ID032</v>
          </cell>
          <cell r="L213">
            <v>13.4</v>
          </cell>
          <cell r="M213">
            <v>0.22</v>
          </cell>
          <cell r="N213" t="str">
            <v>5W</v>
          </cell>
          <cell r="P213" t="str">
            <v>PONFCS</v>
          </cell>
          <cell r="Q213" t="str">
            <v>/  /</v>
          </cell>
        </row>
        <row r="214">
          <cell r="A214">
            <v>4006760</v>
          </cell>
          <cell r="B214">
            <v>43816</v>
          </cell>
          <cell r="C214" t="str">
            <v>PON</v>
          </cell>
          <cell r="D214">
            <v>633618540</v>
          </cell>
          <cell r="E214" t="str">
            <v>FC EBikeF19 P/Sqre 6.9 51S Slv</v>
          </cell>
          <cell r="F214">
            <v>1</v>
          </cell>
          <cell r="G214">
            <v>0</v>
          </cell>
          <cell r="I214" t="str">
            <v>ID033</v>
          </cell>
          <cell r="L214">
            <v>25</v>
          </cell>
          <cell r="M214">
            <v>0.58099999999999996</v>
          </cell>
          <cell r="N214" t="str">
            <v>5W</v>
          </cell>
          <cell r="P214" t="str">
            <v>PONFEB</v>
          </cell>
          <cell r="Q214" t="str">
            <v>/  /</v>
          </cell>
        </row>
        <row r="215">
          <cell r="A215">
            <v>4028519</v>
          </cell>
          <cell r="B215">
            <v>43845</v>
          </cell>
          <cell r="C215" t="str">
            <v>PON</v>
          </cell>
          <cell r="D215">
            <v>633728537</v>
          </cell>
          <cell r="E215" t="str">
            <v>FC EBF19 P/Sqre9.6 57LBlkAnth</v>
          </cell>
          <cell r="F215">
            <v>1</v>
          </cell>
          <cell r="G215">
            <v>0</v>
          </cell>
          <cell r="I215" t="str">
            <v>ID033</v>
          </cell>
          <cell r="L215">
            <v>23.8</v>
          </cell>
          <cell r="M215">
            <v>0.57799999999999996</v>
          </cell>
          <cell r="N215" t="str">
            <v>5W</v>
          </cell>
          <cell r="P215" t="str">
            <v>PONFEB</v>
          </cell>
          <cell r="Q215" t="str">
            <v>/  /</v>
          </cell>
        </row>
        <row r="216">
          <cell r="A216">
            <v>4587071</v>
          </cell>
          <cell r="B216">
            <v>44181</v>
          </cell>
          <cell r="C216" t="str">
            <v>PON</v>
          </cell>
          <cell r="D216">
            <v>641528405</v>
          </cell>
          <cell r="E216" t="str">
            <v>K21 Image 5.B Excite Wa S43</v>
          </cell>
          <cell r="F216">
            <v>1</v>
          </cell>
          <cell r="G216">
            <v>0</v>
          </cell>
          <cell r="I216" t="str">
            <v>ID033</v>
          </cell>
          <cell r="L216">
            <v>37</v>
          </cell>
          <cell r="M216">
            <v>0.57299999999999995</v>
          </cell>
          <cell r="N216" t="str">
            <v>5W</v>
          </cell>
          <cell r="P216" t="str">
            <v>PONFCS</v>
          </cell>
          <cell r="Q216" t="str">
            <v>/  /</v>
          </cell>
        </row>
        <row r="217">
          <cell r="A217">
            <v>4644332</v>
          </cell>
          <cell r="B217">
            <v>44225</v>
          </cell>
          <cell r="C217" t="str">
            <v>PON</v>
          </cell>
          <cell r="D217">
            <v>637527021</v>
          </cell>
          <cell r="E217" t="str">
            <v>K20 Endeavour 3.B Move 50M DI</v>
          </cell>
          <cell r="F217">
            <v>1</v>
          </cell>
          <cell r="G217">
            <v>0</v>
          </cell>
          <cell r="I217" t="str">
            <v>ID034</v>
          </cell>
          <cell r="L217">
            <v>33.4</v>
          </cell>
          <cell r="M217">
            <v>0.58099999999999996</v>
          </cell>
          <cell r="N217" t="str">
            <v>5W</v>
          </cell>
          <cell r="P217" t="str">
            <v>PONFCS</v>
          </cell>
          <cell r="Q217" t="str">
            <v>/  /</v>
          </cell>
        </row>
        <row r="218">
          <cell r="A218">
            <v>4644333</v>
          </cell>
          <cell r="B218">
            <v>44225</v>
          </cell>
          <cell r="C218" t="str">
            <v>PON</v>
          </cell>
          <cell r="D218">
            <v>637527021</v>
          </cell>
          <cell r="E218" t="str">
            <v>K20 Endeavour 3.B Move 50M DI</v>
          </cell>
          <cell r="F218">
            <v>1</v>
          </cell>
          <cell r="G218">
            <v>0</v>
          </cell>
          <cell r="I218" t="str">
            <v>ID034</v>
          </cell>
          <cell r="L218">
            <v>33.4</v>
          </cell>
          <cell r="M218">
            <v>0.58099999999999996</v>
          </cell>
          <cell r="N218" t="str">
            <v>5W</v>
          </cell>
          <cell r="P218" t="str">
            <v>PONFCS</v>
          </cell>
          <cell r="Q218" t="str">
            <v>/  /</v>
          </cell>
        </row>
        <row r="219">
          <cell r="A219">
            <v>4644334</v>
          </cell>
          <cell r="B219">
            <v>44225</v>
          </cell>
          <cell r="C219" t="str">
            <v>PON</v>
          </cell>
          <cell r="D219">
            <v>637527021</v>
          </cell>
          <cell r="E219" t="str">
            <v>K20 Endeavour 3.B Move 50M DI</v>
          </cell>
          <cell r="F219">
            <v>1</v>
          </cell>
          <cell r="G219">
            <v>0</v>
          </cell>
          <cell r="I219" t="str">
            <v>ID034</v>
          </cell>
          <cell r="L219">
            <v>33.4</v>
          </cell>
          <cell r="M219">
            <v>0.58099999999999996</v>
          </cell>
          <cell r="N219" t="str">
            <v>5W</v>
          </cell>
          <cell r="P219" t="str">
            <v>PONFCS</v>
          </cell>
          <cell r="Q219" t="str">
            <v>/  /</v>
          </cell>
        </row>
        <row r="220">
          <cell r="A220">
            <v>4644335</v>
          </cell>
          <cell r="B220">
            <v>44225</v>
          </cell>
          <cell r="C220" t="str">
            <v>PON</v>
          </cell>
          <cell r="D220">
            <v>637527021</v>
          </cell>
          <cell r="E220" t="str">
            <v>K20 Endeavour 3.B Move 50M DI</v>
          </cell>
          <cell r="F220">
            <v>1</v>
          </cell>
          <cell r="G220">
            <v>0</v>
          </cell>
          <cell r="I220" t="str">
            <v>ID034</v>
          </cell>
          <cell r="L220">
            <v>33.4</v>
          </cell>
          <cell r="M220">
            <v>0.58099999999999996</v>
          </cell>
          <cell r="N220" t="str">
            <v>5W</v>
          </cell>
          <cell r="P220" t="str">
            <v>PONFCS</v>
          </cell>
          <cell r="Q220" t="str">
            <v>/  /</v>
          </cell>
        </row>
        <row r="221">
          <cell r="A221">
            <v>4011634</v>
          </cell>
          <cell r="B221">
            <v>43822</v>
          </cell>
          <cell r="C221" t="str">
            <v>PON</v>
          </cell>
          <cell r="D221" t="str">
            <v>A5974</v>
          </cell>
          <cell r="E221" t="str">
            <v>GZ G19 Vento C7 HMB 57 Men Blk</v>
          </cell>
          <cell r="F221">
            <v>1</v>
          </cell>
          <cell r="G221">
            <v>0</v>
          </cell>
          <cell r="I221" t="str">
            <v>ID034</v>
          </cell>
          <cell r="L221">
            <v>31.7</v>
          </cell>
          <cell r="M221">
            <v>0.61499999999999999</v>
          </cell>
          <cell r="N221" t="str">
            <v>5W</v>
          </cell>
          <cell r="P221" t="str">
            <v>PONGAZ</v>
          </cell>
          <cell r="Q221" t="str">
            <v>/  /</v>
          </cell>
        </row>
        <row r="222">
          <cell r="A222">
            <v>4458773</v>
          </cell>
          <cell r="B222">
            <v>44112</v>
          </cell>
          <cell r="C222" t="str">
            <v>PON</v>
          </cell>
          <cell r="D222">
            <v>637006022</v>
          </cell>
          <cell r="E222" t="str">
            <v>F20 IZ Max Disc 9.7 AXS 52 S</v>
          </cell>
          <cell r="F222">
            <v>1</v>
          </cell>
          <cell r="G222">
            <v>0</v>
          </cell>
          <cell r="I222" t="str">
            <v>ID041</v>
          </cell>
          <cell r="L222">
            <v>13.6</v>
          </cell>
          <cell r="M222">
            <v>0.22</v>
          </cell>
          <cell r="N222" t="str">
            <v>5W</v>
          </cell>
          <cell r="P222" t="str">
            <v>PONFCS</v>
          </cell>
          <cell r="Q222" t="str">
            <v>/  /</v>
          </cell>
        </row>
        <row r="223">
          <cell r="A223">
            <v>4458774</v>
          </cell>
          <cell r="B223">
            <v>44112</v>
          </cell>
          <cell r="C223" t="str">
            <v>PON</v>
          </cell>
          <cell r="D223">
            <v>637006022</v>
          </cell>
          <cell r="E223" t="str">
            <v>F20 IZ Max Disc 9.7 AXS 52 S</v>
          </cell>
          <cell r="F223">
            <v>1</v>
          </cell>
          <cell r="G223">
            <v>0</v>
          </cell>
          <cell r="I223" t="str">
            <v>ID041</v>
          </cell>
          <cell r="L223">
            <v>13.6</v>
          </cell>
          <cell r="M223">
            <v>0.22</v>
          </cell>
          <cell r="N223" t="str">
            <v>5W</v>
          </cell>
          <cell r="P223" t="str">
            <v>PONFCS</v>
          </cell>
          <cell r="Q223" t="str">
            <v>/  /</v>
          </cell>
        </row>
        <row r="224">
          <cell r="A224">
            <v>4458775</v>
          </cell>
          <cell r="B224">
            <v>44112</v>
          </cell>
          <cell r="C224" t="str">
            <v>PON</v>
          </cell>
          <cell r="D224">
            <v>637006022</v>
          </cell>
          <cell r="E224" t="str">
            <v>F20 IZ Max Disc 9.7 AXS 52 S</v>
          </cell>
          <cell r="F224">
            <v>1</v>
          </cell>
          <cell r="G224">
            <v>0</v>
          </cell>
          <cell r="I224" t="str">
            <v>ID041</v>
          </cell>
          <cell r="L224">
            <v>13.6</v>
          </cell>
          <cell r="M224">
            <v>0.22</v>
          </cell>
          <cell r="N224" t="str">
            <v>5W</v>
          </cell>
          <cell r="P224" t="str">
            <v>PONFCS</v>
          </cell>
          <cell r="Q224" t="str">
            <v>/  /</v>
          </cell>
        </row>
        <row r="225">
          <cell r="A225">
            <v>4458776</v>
          </cell>
          <cell r="B225">
            <v>44112</v>
          </cell>
          <cell r="C225" t="str">
            <v>PON</v>
          </cell>
          <cell r="D225">
            <v>637006022</v>
          </cell>
          <cell r="E225" t="str">
            <v>F20 IZ Max Disc 9.7 AXS 52 S</v>
          </cell>
          <cell r="F225">
            <v>1</v>
          </cell>
          <cell r="G225">
            <v>0</v>
          </cell>
          <cell r="I225" t="str">
            <v>ID041</v>
          </cell>
          <cell r="L225">
            <v>13.6</v>
          </cell>
          <cell r="M225">
            <v>0.22</v>
          </cell>
          <cell r="N225" t="str">
            <v>5W</v>
          </cell>
          <cell r="P225" t="str">
            <v>PONFCS</v>
          </cell>
          <cell r="Q225" t="str">
            <v>/  /</v>
          </cell>
        </row>
        <row r="226">
          <cell r="A226">
            <v>4614624</v>
          </cell>
          <cell r="B226">
            <v>44203</v>
          </cell>
          <cell r="C226" t="str">
            <v>PON</v>
          </cell>
          <cell r="D226">
            <v>641078303</v>
          </cell>
          <cell r="E226" t="str">
            <v>C21 S5 D/Frc Blue Chameleon 56</v>
          </cell>
          <cell r="F226">
            <v>1</v>
          </cell>
          <cell r="G226">
            <v>0</v>
          </cell>
          <cell r="I226" t="str">
            <v>ID041</v>
          </cell>
          <cell r="L226">
            <v>13.9</v>
          </cell>
          <cell r="M226">
            <v>0.24399999999999999</v>
          </cell>
          <cell r="N226" t="str">
            <v>5W</v>
          </cell>
          <cell r="P226" t="str">
            <v>PONCVL</v>
          </cell>
          <cell r="Q226" t="str">
            <v>/  /</v>
          </cell>
        </row>
        <row r="227">
          <cell r="A227">
            <v>3948695</v>
          </cell>
          <cell r="B227">
            <v>43788</v>
          </cell>
          <cell r="C227" t="str">
            <v>PON</v>
          </cell>
          <cell r="D227">
            <v>628078165</v>
          </cell>
          <cell r="E227" t="str">
            <v>CV C18 R5 Disc DA Di2 61 XXL</v>
          </cell>
          <cell r="F227">
            <v>1</v>
          </cell>
          <cell r="G227">
            <v>0</v>
          </cell>
          <cell r="I227" t="str">
            <v>ID042</v>
          </cell>
          <cell r="L227">
            <v>12.8</v>
          </cell>
          <cell r="M227">
            <v>0.24099999999999999</v>
          </cell>
          <cell r="N227" t="str">
            <v>5W</v>
          </cell>
          <cell r="P227" t="str">
            <v>PONCVL</v>
          </cell>
          <cell r="Q227" t="str">
            <v>/  /</v>
          </cell>
        </row>
        <row r="228">
          <cell r="A228">
            <v>4458965</v>
          </cell>
          <cell r="B228">
            <v>44112</v>
          </cell>
          <cell r="C228" t="str">
            <v>PON</v>
          </cell>
          <cell r="D228">
            <v>641006032</v>
          </cell>
          <cell r="E228" t="str">
            <v>F21 IZ MAX DISC 9.6 52 S R/RED</v>
          </cell>
          <cell r="F228">
            <v>1</v>
          </cell>
          <cell r="G228">
            <v>0</v>
          </cell>
          <cell r="I228" t="str">
            <v>ID042</v>
          </cell>
          <cell r="L228">
            <v>13.2</v>
          </cell>
          <cell r="M228">
            <v>0.221</v>
          </cell>
          <cell r="N228" t="str">
            <v>5W</v>
          </cell>
          <cell r="P228" t="str">
            <v>PONFCS</v>
          </cell>
          <cell r="Q228" t="str">
            <v>/  /</v>
          </cell>
        </row>
        <row r="229">
          <cell r="A229">
            <v>4614620</v>
          </cell>
          <cell r="B229">
            <v>44203</v>
          </cell>
          <cell r="C229" t="str">
            <v>PON</v>
          </cell>
          <cell r="D229">
            <v>641078303</v>
          </cell>
          <cell r="E229" t="str">
            <v>C21 S5 D/Frc Blue Chameleon 56</v>
          </cell>
          <cell r="F229">
            <v>1</v>
          </cell>
          <cell r="G229">
            <v>0</v>
          </cell>
          <cell r="I229" t="str">
            <v>ID042</v>
          </cell>
          <cell r="L229">
            <v>13.9</v>
          </cell>
          <cell r="M229">
            <v>0.24399999999999999</v>
          </cell>
          <cell r="N229" t="str">
            <v>5W</v>
          </cell>
          <cell r="P229" t="str">
            <v>PONCVL</v>
          </cell>
          <cell r="Q229" t="str">
            <v>/  /</v>
          </cell>
        </row>
        <row r="230">
          <cell r="A230">
            <v>4614623</v>
          </cell>
          <cell r="B230">
            <v>44203</v>
          </cell>
          <cell r="C230" t="str">
            <v>PON</v>
          </cell>
          <cell r="D230">
            <v>641078303</v>
          </cell>
          <cell r="E230" t="str">
            <v>C21 S5 D/Frc Blue Chameleon 56</v>
          </cell>
          <cell r="F230">
            <v>1</v>
          </cell>
          <cell r="G230">
            <v>0</v>
          </cell>
          <cell r="I230" t="str">
            <v>ID042</v>
          </cell>
          <cell r="L230">
            <v>13.9</v>
          </cell>
          <cell r="M230">
            <v>0.24399999999999999</v>
          </cell>
          <cell r="N230" t="str">
            <v>5W</v>
          </cell>
          <cell r="P230" t="str">
            <v>PONCVL</v>
          </cell>
          <cell r="Q230" t="str">
            <v>/  /</v>
          </cell>
        </row>
        <row r="231">
          <cell r="A231">
            <v>4644282</v>
          </cell>
          <cell r="B231">
            <v>44225</v>
          </cell>
          <cell r="C231" t="str">
            <v>PON</v>
          </cell>
          <cell r="D231">
            <v>637526787</v>
          </cell>
          <cell r="E231" t="str">
            <v>K20 Endeavour 1.B Move 50M GRY</v>
          </cell>
          <cell r="F231">
            <v>1</v>
          </cell>
          <cell r="G231">
            <v>0</v>
          </cell>
          <cell r="I231" t="str">
            <v>ID043</v>
          </cell>
          <cell r="L231">
            <v>32.5</v>
          </cell>
          <cell r="M231">
            <v>0.58399999999999996</v>
          </cell>
          <cell r="N231" t="str">
            <v>5W</v>
          </cell>
          <cell r="P231" t="str">
            <v>PONFCS</v>
          </cell>
          <cell r="Q231" t="str">
            <v>/  /</v>
          </cell>
        </row>
        <row r="232">
          <cell r="A232">
            <v>4644283</v>
          </cell>
          <cell r="B232">
            <v>44225</v>
          </cell>
          <cell r="C232" t="str">
            <v>PON</v>
          </cell>
          <cell r="D232">
            <v>637526787</v>
          </cell>
          <cell r="E232" t="str">
            <v>K20 Endeavour 1.B Move 50M GRY</v>
          </cell>
          <cell r="F232">
            <v>1</v>
          </cell>
          <cell r="G232">
            <v>0</v>
          </cell>
          <cell r="I232" t="str">
            <v>ID043</v>
          </cell>
          <cell r="L232">
            <v>32.5</v>
          </cell>
          <cell r="M232">
            <v>0.58399999999999996</v>
          </cell>
          <cell r="N232" t="str">
            <v>5W</v>
          </cell>
          <cell r="P232" t="str">
            <v>PONFCS</v>
          </cell>
          <cell r="Q232" t="str">
            <v>/  /</v>
          </cell>
        </row>
        <row r="233">
          <cell r="A233">
            <v>4644284</v>
          </cell>
          <cell r="B233">
            <v>44225</v>
          </cell>
          <cell r="C233" t="str">
            <v>PON</v>
          </cell>
          <cell r="D233">
            <v>637526787</v>
          </cell>
          <cell r="E233" t="str">
            <v>K20 Endeavour 1.B Move 50M GRY</v>
          </cell>
          <cell r="F233">
            <v>1</v>
          </cell>
          <cell r="G233">
            <v>0</v>
          </cell>
          <cell r="I233" t="str">
            <v>ID043</v>
          </cell>
          <cell r="L233">
            <v>32.5</v>
          </cell>
          <cell r="M233">
            <v>0.58399999999999996</v>
          </cell>
          <cell r="N233" t="str">
            <v>5W</v>
          </cell>
          <cell r="P233" t="str">
            <v>PONFCS</v>
          </cell>
          <cell r="Q233" t="str">
            <v>/  /</v>
          </cell>
        </row>
        <row r="234">
          <cell r="A234">
            <v>4644305</v>
          </cell>
          <cell r="B234">
            <v>44225</v>
          </cell>
          <cell r="C234" t="str">
            <v>PON</v>
          </cell>
          <cell r="D234">
            <v>637527028</v>
          </cell>
          <cell r="E234" t="str">
            <v>K20 Endeavour 3.B Move 50M WA</v>
          </cell>
          <cell r="F234">
            <v>1</v>
          </cell>
          <cell r="G234">
            <v>0</v>
          </cell>
          <cell r="I234" t="str">
            <v>ID043</v>
          </cell>
          <cell r="L234">
            <v>33</v>
          </cell>
          <cell r="M234">
            <v>0.53200000000000003</v>
          </cell>
          <cell r="N234" t="str">
            <v>5W</v>
          </cell>
          <cell r="P234" t="str">
            <v>PONFCS</v>
          </cell>
          <cell r="Q234" t="str">
            <v>/  /</v>
          </cell>
        </row>
        <row r="235">
          <cell r="A235">
            <v>4644313</v>
          </cell>
          <cell r="B235">
            <v>44225</v>
          </cell>
          <cell r="C235" t="str">
            <v>PON</v>
          </cell>
          <cell r="D235">
            <v>637527028</v>
          </cell>
          <cell r="E235" t="str">
            <v>K20 Endeavour 3.B Move 50M WA</v>
          </cell>
          <cell r="F235">
            <v>1</v>
          </cell>
          <cell r="G235">
            <v>0</v>
          </cell>
          <cell r="I235" t="str">
            <v>ID043</v>
          </cell>
          <cell r="L235">
            <v>33</v>
          </cell>
          <cell r="M235">
            <v>0.53200000000000003</v>
          </cell>
          <cell r="N235" t="str">
            <v>5W</v>
          </cell>
          <cell r="P235" t="str">
            <v>PONFCS</v>
          </cell>
          <cell r="Q235" t="str">
            <v>/  /</v>
          </cell>
        </row>
        <row r="236">
          <cell r="A236">
            <v>4644317</v>
          </cell>
          <cell r="B236">
            <v>44225</v>
          </cell>
          <cell r="C236" t="str">
            <v>PON</v>
          </cell>
          <cell r="D236">
            <v>637527028</v>
          </cell>
          <cell r="E236" t="str">
            <v>K20 Endeavour 3.B Move 50M WA</v>
          </cell>
          <cell r="F236">
            <v>1</v>
          </cell>
          <cell r="G236">
            <v>0</v>
          </cell>
          <cell r="I236" t="str">
            <v>ID044</v>
          </cell>
          <cell r="L236">
            <v>33</v>
          </cell>
          <cell r="M236">
            <v>0.53200000000000003</v>
          </cell>
          <cell r="N236" t="str">
            <v>5W</v>
          </cell>
          <cell r="P236" t="str">
            <v>PONFCS</v>
          </cell>
          <cell r="Q236" t="str">
            <v>/  /</v>
          </cell>
        </row>
        <row r="237">
          <cell r="A237">
            <v>4632527</v>
          </cell>
          <cell r="B237">
            <v>44217</v>
          </cell>
          <cell r="C237" t="str">
            <v>PON</v>
          </cell>
          <cell r="D237">
            <v>641078041</v>
          </cell>
          <cell r="E237" t="str">
            <v>C21 Aspero GRX Black/Gold 61</v>
          </cell>
          <cell r="F237">
            <v>1</v>
          </cell>
          <cell r="G237">
            <v>0</v>
          </cell>
          <cell r="I237" t="str">
            <v>ID051</v>
          </cell>
          <cell r="L237">
            <v>15.2</v>
          </cell>
          <cell r="M237">
            <v>0.23200000000000001</v>
          </cell>
          <cell r="N237" t="str">
            <v>5W</v>
          </cell>
          <cell r="P237" t="str">
            <v>PONCVL</v>
          </cell>
          <cell r="Q237" t="str">
            <v>/  /</v>
          </cell>
        </row>
        <row r="238">
          <cell r="A238">
            <v>4632528</v>
          </cell>
          <cell r="B238">
            <v>44217</v>
          </cell>
          <cell r="C238" t="str">
            <v>PON</v>
          </cell>
          <cell r="D238">
            <v>641078041</v>
          </cell>
          <cell r="E238" t="str">
            <v>C21 Aspero GRX Black/Gold 61</v>
          </cell>
          <cell r="F238">
            <v>1</v>
          </cell>
          <cell r="G238">
            <v>0</v>
          </cell>
          <cell r="I238" t="str">
            <v>ID051</v>
          </cell>
          <cell r="L238">
            <v>15.2</v>
          </cell>
          <cell r="M238">
            <v>0.23200000000000001</v>
          </cell>
          <cell r="N238" t="str">
            <v>5W</v>
          </cell>
          <cell r="P238" t="str">
            <v>PONCVL</v>
          </cell>
          <cell r="Q238" t="str">
            <v>/  /</v>
          </cell>
        </row>
        <row r="239">
          <cell r="A239">
            <v>4335997</v>
          </cell>
          <cell r="B239">
            <v>44040</v>
          </cell>
          <cell r="C239" t="str">
            <v>PON</v>
          </cell>
          <cell r="D239">
            <v>641078063</v>
          </cell>
          <cell r="E239" t="str">
            <v>C21 Aspero GRX Seabreeze/Blu56</v>
          </cell>
          <cell r="F239">
            <v>1</v>
          </cell>
          <cell r="G239">
            <v>0</v>
          </cell>
          <cell r="I239" t="str">
            <v>ID051</v>
          </cell>
          <cell r="L239">
            <v>14.6</v>
          </cell>
          <cell r="M239">
            <v>0.23200000000000001</v>
          </cell>
          <cell r="N239" t="str">
            <v>5W</v>
          </cell>
          <cell r="P239" t="str">
            <v>PONCVL</v>
          </cell>
          <cell r="Q239" t="str">
            <v>/  /</v>
          </cell>
        </row>
        <row r="240">
          <cell r="A240">
            <v>4335998</v>
          </cell>
          <cell r="B240">
            <v>44040</v>
          </cell>
          <cell r="C240" t="str">
            <v>PON</v>
          </cell>
          <cell r="D240">
            <v>641078063</v>
          </cell>
          <cell r="E240" t="str">
            <v>C21 Aspero GRX Seabreeze/Blu56</v>
          </cell>
          <cell r="F240">
            <v>1</v>
          </cell>
          <cell r="G240">
            <v>0</v>
          </cell>
          <cell r="I240" t="str">
            <v>ID051</v>
          </cell>
          <cell r="L240">
            <v>14.6</v>
          </cell>
          <cell r="M240">
            <v>0.23200000000000001</v>
          </cell>
          <cell r="N240" t="str">
            <v>5W</v>
          </cell>
          <cell r="P240" t="str">
            <v>PONCVL</v>
          </cell>
          <cell r="Q240" t="str">
            <v>/  /</v>
          </cell>
        </row>
        <row r="241">
          <cell r="A241">
            <v>4458798</v>
          </cell>
          <cell r="B241">
            <v>44112</v>
          </cell>
          <cell r="C241" t="str">
            <v>PON</v>
          </cell>
          <cell r="D241">
            <v>637006023</v>
          </cell>
          <cell r="E241" t="str">
            <v>F20 IZ Max Disc 9.7 AXS 54 M</v>
          </cell>
          <cell r="F241">
            <v>1</v>
          </cell>
          <cell r="G241">
            <v>0</v>
          </cell>
          <cell r="I241" t="str">
            <v>ID052</v>
          </cell>
          <cell r="L241">
            <v>13.6</v>
          </cell>
          <cell r="M241">
            <v>0.218</v>
          </cell>
          <cell r="N241" t="str">
            <v>5W</v>
          </cell>
          <cell r="P241" t="str">
            <v>PONFCS</v>
          </cell>
          <cell r="Q241" t="str">
            <v>/  /</v>
          </cell>
        </row>
        <row r="242">
          <cell r="A242">
            <v>4614058</v>
          </cell>
          <cell r="B242">
            <v>44203</v>
          </cell>
          <cell r="C242" t="str">
            <v>PON</v>
          </cell>
          <cell r="D242">
            <v>641078153</v>
          </cell>
          <cell r="E242" t="str">
            <v>C21 P Srs 105 Chameleon Blu 56</v>
          </cell>
          <cell r="F242">
            <v>1</v>
          </cell>
          <cell r="G242">
            <v>0</v>
          </cell>
          <cell r="I242" t="str">
            <v>ID052</v>
          </cell>
          <cell r="L242">
            <v>15.4</v>
          </cell>
          <cell r="M242">
            <v>0.23499999999999999</v>
          </cell>
          <cell r="N242" t="str">
            <v>5W</v>
          </cell>
          <cell r="P242" t="str">
            <v>PONCVL</v>
          </cell>
          <cell r="Q242" t="str">
            <v>/  /</v>
          </cell>
        </row>
        <row r="243">
          <cell r="A243">
            <v>4023432</v>
          </cell>
          <cell r="B243">
            <v>43839</v>
          </cell>
          <cell r="C243" t="str">
            <v>PON</v>
          </cell>
          <cell r="D243">
            <v>633728502</v>
          </cell>
          <cell r="E243" t="str">
            <v>FC EBikeF19 P/Sqre 9.9 57L Slv</v>
          </cell>
          <cell r="F243">
            <v>1</v>
          </cell>
          <cell r="G243">
            <v>0</v>
          </cell>
          <cell r="I243" t="str">
            <v>ID053</v>
          </cell>
          <cell r="L243">
            <v>22.8</v>
          </cell>
          <cell r="M243">
            <v>0.57799999999999996</v>
          </cell>
          <cell r="N243" t="str">
            <v>5W</v>
          </cell>
          <cell r="P243" t="str">
            <v>PONFEB</v>
          </cell>
          <cell r="Q243" t="str">
            <v>/  /</v>
          </cell>
        </row>
        <row r="244">
          <cell r="A244">
            <v>4587070</v>
          </cell>
          <cell r="B244">
            <v>44181</v>
          </cell>
          <cell r="C244" t="str">
            <v>PON</v>
          </cell>
          <cell r="D244">
            <v>641528405</v>
          </cell>
          <cell r="E244" t="str">
            <v>K21 Image 5.B Excite Wa S43</v>
          </cell>
          <cell r="F244">
            <v>1</v>
          </cell>
          <cell r="G244">
            <v>0</v>
          </cell>
          <cell r="I244" t="str">
            <v>ID053</v>
          </cell>
          <cell r="L244">
            <v>37</v>
          </cell>
          <cell r="M244">
            <v>0.57299999999999995</v>
          </cell>
          <cell r="N244" t="str">
            <v>5W</v>
          </cell>
          <cell r="P244" t="str">
            <v>PONFCS</v>
          </cell>
          <cell r="Q244" t="str">
            <v>/  /</v>
          </cell>
        </row>
        <row r="245">
          <cell r="A245">
            <v>4022070</v>
          </cell>
          <cell r="B245">
            <v>43838</v>
          </cell>
          <cell r="C245" t="str">
            <v>PON</v>
          </cell>
          <cell r="D245">
            <v>623523072</v>
          </cell>
          <cell r="E245" t="str">
            <v>KH K16 Include HE 8 60 XL</v>
          </cell>
          <cell r="F245">
            <v>1</v>
          </cell>
          <cell r="G245">
            <v>0</v>
          </cell>
          <cell r="I245" t="str">
            <v>ID054</v>
          </cell>
          <cell r="L245">
            <v>35.799999999999997</v>
          </cell>
          <cell r="M245">
            <v>0.55500000000000005</v>
          </cell>
          <cell r="N245" t="str">
            <v>5W</v>
          </cell>
          <cell r="P245" t="str">
            <v>PONKHF</v>
          </cell>
          <cell r="Q245" t="str">
            <v>/  /</v>
          </cell>
        </row>
        <row r="246">
          <cell r="A246">
            <v>4081022</v>
          </cell>
          <cell r="B246">
            <v>43838</v>
          </cell>
          <cell r="C246" t="str">
            <v>PON</v>
          </cell>
          <cell r="D246">
            <v>623523072</v>
          </cell>
          <cell r="E246" t="str">
            <v>KH K16 Include HE 8 60 XL</v>
          </cell>
          <cell r="F246">
            <v>1</v>
          </cell>
          <cell r="G246">
            <v>0</v>
          </cell>
          <cell r="I246" t="str">
            <v>ID054</v>
          </cell>
          <cell r="L246">
            <v>35.799999999999997</v>
          </cell>
          <cell r="M246">
            <v>0.55500000000000005</v>
          </cell>
          <cell r="N246" t="str">
            <v>5W</v>
          </cell>
          <cell r="P246" t="str">
            <v>PONKHF</v>
          </cell>
          <cell r="Q246" t="str">
            <v>/  /</v>
          </cell>
        </row>
        <row r="247">
          <cell r="A247">
            <v>4644278</v>
          </cell>
          <cell r="B247">
            <v>44225</v>
          </cell>
          <cell r="C247" t="str">
            <v>PON</v>
          </cell>
          <cell r="D247">
            <v>637526787</v>
          </cell>
          <cell r="E247" t="str">
            <v>K20 Endeavour 1.B Move 50M GRY</v>
          </cell>
          <cell r="F247">
            <v>1</v>
          </cell>
          <cell r="G247">
            <v>0</v>
          </cell>
          <cell r="I247" t="str">
            <v>ID054</v>
          </cell>
          <cell r="L247">
            <v>32.5</v>
          </cell>
          <cell r="M247">
            <v>0.58399999999999996</v>
          </cell>
          <cell r="N247" t="str">
            <v>5W</v>
          </cell>
          <cell r="P247" t="str">
            <v>PONFCS</v>
          </cell>
          <cell r="Q247" t="str">
            <v>/  /</v>
          </cell>
        </row>
        <row r="248">
          <cell r="A248">
            <v>4644279</v>
          </cell>
          <cell r="B248">
            <v>44225</v>
          </cell>
          <cell r="C248" t="str">
            <v>PON</v>
          </cell>
          <cell r="D248">
            <v>637526787</v>
          </cell>
          <cell r="E248" t="str">
            <v>K20 Endeavour 1.B Move 50M GRY</v>
          </cell>
          <cell r="F248">
            <v>1</v>
          </cell>
          <cell r="G248">
            <v>0</v>
          </cell>
          <cell r="I248" t="str">
            <v>ID054</v>
          </cell>
          <cell r="L248">
            <v>32.5</v>
          </cell>
          <cell r="M248">
            <v>0.58399999999999996</v>
          </cell>
          <cell r="N248" t="str">
            <v>5W</v>
          </cell>
          <cell r="P248" t="str">
            <v>PONFCS</v>
          </cell>
          <cell r="Q248" t="str">
            <v>/  /</v>
          </cell>
        </row>
        <row r="249">
          <cell r="A249">
            <v>4644280</v>
          </cell>
          <cell r="B249">
            <v>44225</v>
          </cell>
          <cell r="C249" t="str">
            <v>PON</v>
          </cell>
          <cell r="D249">
            <v>637526787</v>
          </cell>
          <cell r="E249" t="str">
            <v>K20 Endeavour 1.B Move 50M GRY</v>
          </cell>
          <cell r="F249">
            <v>1</v>
          </cell>
          <cell r="G249">
            <v>0</v>
          </cell>
          <cell r="I249" t="str">
            <v>ID054</v>
          </cell>
          <cell r="L249">
            <v>32.5</v>
          </cell>
          <cell r="M249">
            <v>0.58399999999999996</v>
          </cell>
          <cell r="N249" t="str">
            <v>5W</v>
          </cell>
          <cell r="P249" t="str">
            <v>PONFCS</v>
          </cell>
          <cell r="Q249" t="str">
            <v>/  /</v>
          </cell>
        </row>
        <row r="250">
          <cell r="A250">
            <v>4644281</v>
          </cell>
          <cell r="B250">
            <v>44225</v>
          </cell>
          <cell r="C250" t="str">
            <v>PON</v>
          </cell>
          <cell r="D250">
            <v>637526787</v>
          </cell>
          <cell r="E250" t="str">
            <v>K20 Endeavour 1.B Move 50M GRY</v>
          </cell>
          <cell r="F250">
            <v>1</v>
          </cell>
          <cell r="G250">
            <v>0</v>
          </cell>
          <cell r="I250" t="str">
            <v>ID054</v>
          </cell>
          <cell r="L250">
            <v>32.5</v>
          </cell>
          <cell r="M250">
            <v>0.58399999999999996</v>
          </cell>
          <cell r="N250" t="str">
            <v>5W</v>
          </cell>
          <cell r="P250" t="str">
            <v>PONFCS</v>
          </cell>
          <cell r="Q250" t="str">
            <v>/  /</v>
          </cell>
        </row>
        <row r="251">
          <cell r="A251">
            <v>3951696</v>
          </cell>
          <cell r="B251">
            <v>43789</v>
          </cell>
          <cell r="C251" t="str">
            <v>PON</v>
          </cell>
          <cell r="D251">
            <v>628078192</v>
          </cell>
          <cell r="E251" t="str">
            <v>C18 R5 DA 9100 54 MD</v>
          </cell>
          <cell r="F251">
            <v>1</v>
          </cell>
          <cell r="G251">
            <v>0</v>
          </cell>
          <cell r="I251" t="str">
            <v>ID061</v>
          </cell>
          <cell r="L251">
            <v>12</v>
          </cell>
          <cell r="M251">
            <v>0.20599999999999999</v>
          </cell>
          <cell r="N251" t="str">
            <v>5W</v>
          </cell>
          <cell r="P251" t="str">
            <v>PONCVL</v>
          </cell>
          <cell r="Q251" t="str">
            <v>/  /</v>
          </cell>
        </row>
        <row r="252">
          <cell r="A252">
            <v>3943821</v>
          </cell>
          <cell r="B252">
            <v>43784</v>
          </cell>
          <cell r="C252" t="str">
            <v>PON</v>
          </cell>
          <cell r="D252">
            <v>633078040</v>
          </cell>
          <cell r="E252" t="str">
            <v>CV C19R5 DscDA Di2 48CMBlk/Gph</v>
          </cell>
          <cell r="F252">
            <v>1</v>
          </cell>
          <cell r="G252">
            <v>0</v>
          </cell>
          <cell r="I252" t="str">
            <v>ID061</v>
          </cell>
          <cell r="L252">
            <v>12.5</v>
          </cell>
          <cell r="M252">
            <v>0.23599999999999999</v>
          </cell>
          <cell r="N252" t="str">
            <v>5W</v>
          </cell>
          <cell r="P252" t="str">
            <v>PONCVL</v>
          </cell>
          <cell r="Q252" t="str">
            <v>/  /</v>
          </cell>
        </row>
        <row r="253">
          <cell r="A253">
            <v>3951726</v>
          </cell>
          <cell r="B253">
            <v>43789</v>
          </cell>
          <cell r="C253" t="str">
            <v>PON</v>
          </cell>
          <cell r="D253">
            <v>633078052</v>
          </cell>
          <cell r="E253" t="str">
            <v>CV C19R5DscEtap 54CMNvy/Rd/Oge</v>
          </cell>
          <cell r="F253">
            <v>1</v>
          </cell>
          <cell r="G253">
            <v>0</v>
          </cell>
          <cell r="I253" t="str">
            <v>ID061</v>
          </cell>
          <cell r="L253">
            <v>12.8</v>
          </cell>
          <cell r="M253">
            <v>0.215</v>
          </cell>
          <cell r="N253" t="str">
            <v>5W</v>
          </cell>
          <cell r="P253" t="str">
            <v>PONCVL</v>
          </cell>
          <cell r="Q253" t="str">
            <v>/  /</v>
          </cell>
        </row>
        <row r="254">
          <cell r="A254">
            <v>3974180</v>
          </cell>
          <cell r="B254">
            <v>43802</v>
          </cell>
          <cell r="C254" t="str">
            <v>PON</v>
          </cell>
          <cell r="D254">
            <v>628078190</v>
          </cell>
          <cell r="E254" t="str">
            <v>C18 R5 DA 9100 48 XS</v>
          </cell>
          <cell r="F254">
            <v>1</v>
          </cell>
          <cell r="G254">
            <v>0</v>
          </cell>
          <cell r="I254" t="str">
            <v>ID062</v>
          </cell>
          <cell r="L254">
            <v>11.7</v>
          </cell>
          <cell r="M254">
            <v>0.20200000000000001</v>
          </cell>
          <cell r="N254" t="str">
            <v>5W</v>
          </cell>
          <cell r="P254" t="str">
            <v>PONCVL</v>
          </cell>
          <cell r="Q254" t="str">
            <v>/  /</v>
          </cell>
        </row>
        <row r="255">
          <cell r="A255">
            <v>4081121</v>
          </cell>
          <cell r="B255">
            <v>43802</v>
          </cell>
          <cell r="C255" t="str">
            <v>PON</v>
          </cell>
          <cell r="D255">
            <v>628078190</v>
          </cell>
          <cell r="E255" t="str">
            <v>C18 R5 DA 9100 48 XS</v>
          </cell>
          <cell r="F255">
            <v>1</v>
          </cell>
          <cell r="G255">
            <v>0</v>
          </cell>
          <cell r="I255" t="str">
            <v>ID062</v>
          </cell>
          <cell r="L255">
            <v>11.7</v>
          </cell>
          <cell r="M255">
            <v>0.20200000000000001</v>
          </cell>
          <cell r="N255" t="str">
            <v>5W</v>
          </cell>
          <cell r="P255" t="str">
            <v>PONCVL</v>
          </cell>
          <cell r="Q255" t="str">
            <v>/  /</v>
          </cell>
        </row>
        <row r="256">
          <cell r="A256">
            <v>4458799</v>
          </cell>
          <cell r="B256">
            <v>44112</v>
          </cell>
          <cell r="C256" t="str">
            <v>PON</v>
          </cell>
          <cell r="D256">
            <v>637006023</v>
          </cell>
          <cell r="E256" t="str">
            <v>F20 IZ Max Disc 9.7 AXS 54 M</v>
          </cell>
          <cell r="F256">
            <v>1</v>
          </cell>
          <cell r="G256">
            <v>0</v>
          </cell>
          <cell r="I256" t="str">
            <v>ID062</v>
          </cell>
          <cell r="L256">
            <v>13.6</v>
          </cell>
          <cell r="M256">
            <v>0.218</v>
          </cell>
          <cell r="N256" t="str">
            <v>5W</v>
          </cell>
          <cell r="P256" t="str">
            <v>PONFCS</v>
          </cell>
          <cell r="Q256" t="str">
            <v>/  /</v>
          </cell>
        </row>
        <row r="257">
          <cell r="A257">
            <v>4458800</v>
          </cell>
          <cell r="B257">
            <v>44112</v>
          </cell>
          <cell r="C257" t="str">
            <v>PON</v>
          </cell>
          <cell r="D257">
            <v>637006023</v>
          </cell>
          <cell r="E257" t="str">
            <v>F20 IZ Max Disc 9.7 AXS 54 M</v>
          </cell>
          <cell r="F257">
            <v>1</v>
          </cell>
          <cell r="G257">
            <v>0</v>
          </cell>
          <cell r="I257" t="str">
            <v>ID062</v>
          </cell>
          <cell r="L257">
            <v>13.6</v>
          </cell>
          <cell r="M257">
            <v>0.218</v>
          </cell>
          <cell r="N257" t="str">
            <v>5W</v>
          </cell>
          <cell r="P257" t="str">
            <v>PONFCS</v>
          </cell>
          <cell r="Q257" t="str">
            <v>/  /</v>
          </cell>
        </row>
        <row r="258">
          <cell r="A258">
            <v>4458801</v>
          </cell>
          <cell r="B258">
            <v>44112</v>
          </cell>
          <cell r="C258" t="str">
            <v>PON</v>
          </cell>
          <cell r="D258">
            <v>637006023</v>
          </cell>
          <cell r="E258" t="str">
            <v>F20 IZ Max Disc 9.7 AXS 54 M</v>
          </cell>
          <cell r="F258">
            <v>1</v>
          </cell>
          <cell r="G258">
            <v>0</v>
          </cell>
          <cell r="I258" t="str">
            <v>ID062</v>
          </cell>
          <cell r="L258">
            <v>13.6</v>
          </cell>
          <cell r="M258">
            <v>0.218</v>
          </cell>
          <cell r="N258" t="str">
            <v>5W</v>
          </cell>
          <cell r="P258" t="str">
            <v>PONFCS</v>
          </cell>
          <cell r="Q258" t="str">
            <v>/  /</v>
          </cell>
        </row>
        <row r="259">
          <cell r="A259">
            <v>4644285</v>
          </cell>
          <cell r="B259">
            <v>44225</v>
          </cell>
          <cell r="C259" t="str">
            <v>PON</v>
          </cell>
          <cell r="D259">
            <v>637526787</v>
          </cell>
          <cell r="E259" t="str">
            <v>K20 Endeavour 1.B Move 50M GRY</v>
          </cell>
          <cell r="F259">
            <v>1</v>
          </cell>
          <cell r="G259">
            <v>0</v>
          </cell>
          <cell r="I259" t="str">
            <v>ID063</v>
          </cell>
          <cell r="L259">
            <v>32.5</v>
          </cell>
          <cell r="M259">
            <v>0.58399999999999996</v>
          </cell>
          <cell r="N259" t="str">
            <v>5W</v>
          </cell>
          <cell r="P259" t="str">
            <v>PONFCS</v>
          </cell>
          <cell r="Q259" t="str">
            <v>/  /</v>
          </cell>
        </row>
        <row r="260">
          <cell r="A260">
            <v>4547299</v>
          </cell>
          <cell r="B260">
            <v>44162</v>
          </cell>
          <cell r="C260" t="str">
            <v>PON</v>
          </cell>
          <cell r="D260">
            <v>637517001</v>
          </cell>
          <cell r="E260" t="str">
            <v>F20 Thron2 6.7 44M Green</v>
          </cell>
          <cell r="F260">
            <v>1</v>
          </cell>
          <cell r="G260">
            <v>0</v>
          </cell>
          <cell r="I260" t="str">
            <v>ID064</v>
          </cell>
          <cell r="L260">
            <v>32</v>
          </cell>
          <cell r="M260">
            <v>0.58099999999999996</v>
          </cell>
          <cell r="N260" t="str">
            <v>5W</v>
          </cell>
          <cell r="P260" t="str">
            <v>PONFCS</v>
          </cell>
          <cell r="Q260" t="str">
            <v>/  /</v>
          </cell>
        </row>
        <row r="261">
          <cell r="A261">
            <v>4547342</v>
          </cell>
          <cell r="B261">
            <v>44162</v>
          </cell>
          <cell r="C261" t="str">
            <v>PON</v>
          </cell>
          <cell r="D261">
            <v>637518021</v>
          </cell>
          <cell r="E261" t="str">
            <v>F20 Thron2 6.8 44M Grey</v>
          </cell>
          <cell r="F261">
            <v>1</v>
          </cell>
          <cell r="G261">
            <v>0</v>
          </cell>
          <cell r="I261" t="str">
            <v>ID064</v>
          </cell>
          <cell r="L261">
            <v>33</v>
          </cell>
          <cell r="M261">
            <v>0.58099999999999996</v>
          </cell>
          <cell r="N261" t="str">
            <v>5W</v>
          </cell>
          <cell r="P261" t="str">
            <v>PONFCS</v>
          </cell>
          <cell r="Q261" t="str">
            <v>/  /</v>
          </cell>
        </row>
        <row r="262">
          <cell r="A262">
            <v>4458760</v>
          </cell>
          <cell r="B262">
            <v>44112</v>
          </cell>
          <cell r="C262" t="str">
            <v>PON</v>
          </cell>
          <cell r="D262">
            <v>637006021</v>
          </cell>
          <cell r="E262" t="str">
            <v>F20 IZ Max Disc 9.7 AXS 50 XS</v>
          </cell>
          <cell r="F262">
            <v>1</v>
          </cell>
          <cell r="G262">
            <v>0</v>
          </cell>
          <cell r="I262" t="str">
            <v>ID071</v>
          </cell>
          <cell r="L262">
            <v>13.4</v>
          </cell>
          <cell r="M262">
            <v>0.214</v>
          </cell>
          <cell r="N262" t="str">
            <v>5W</v>
          </cell>
          <cell r="P262" t="str">
            <v>PONFCS</v>
          </cell>
          <cell r="Q262" t="str">
            <v>/  /</v>
          </cell>
        </row>
        <row r="263">
          <cell r="A263">
            <v>4458761</v>
          </cell>
          <cell r="B263">
            <v>44112</v>
          </cell>
          <cell r="C263" t="str">
            <v>PON</v>
          </cell>
          <cell r="D263">
            <v>637006021</v>
          </cell>
          <cell r="E263" t="str">
            <v>F20 IZ Max Disc 9.7 AXS 50 XS</v>
          </cell>
          <cell r="F263">
            <v>1</v>
          </cell>
          <cell r="G263">
            <v>0</v>
          </cell>
          <cell r="I263" t="str">
            <v>ID071</v>
          </cell>
          <cell r="L263">
            <v>13.4</v>
          </cell>
          <cell r="M263">
            <v>0.214</v>
          </cell>
          <cell r="N263" t="str">
            <v>5W</v>
          </cell>
          <cell r="P263" t="str">
            <v>PONFCS</v>
          </cell>
          <cell r="Q263" t="str">
            <v>/  /</v>
          </cell>
        </row>
        <row r="264">
          <cell r="A264">
            <v>4458762</v>
          </cell>
          <cell r="B264">
            <v>44112</v>
          </cell>
          <cell r="C264" t="str">
            <v>PON</v>
          </cell>
          <cell r="D264">
            <v>637006021</v>
          </cell>
          <cell r="E264" t="str">
            <v>F20 IZ Max Disc 9.7 AXS 50 XS</v>
          </cell>
          <cell r="F264">
            <v>1</v>
          </cell>
          <cell r="G264">
            <v>0</v>
          </cell>
          <cell r="I264" t="str">
            <v>ID071</v>
          </cell>
          <cell r="L264">
            <v>13.4</v>
          </cell>
          <cell r="M264">
            <v>0.214</v>
          </cell>
          <cell r="N264" t="str">
            <v>5W</v>
          </cell>
          <cell r="P264" t="str">
            <v>PONFCS</v>
          </cell>
          <cell r="Q264" t="str">
            <v>/  /</v>
          </cell>
        </row>
        <row r="265">
          <cell r="A265">
            <v>4458763</v>
          </cell>
          <cell r="B265">
            <v>44112</v>
          </cell>
          <cell r="C265" t="str">
            <v>PON</v>
          </cell>
          <cell r="D265">
            <v>637006021</v>
          </cell>
          <cell r="E265" t="str">
            <v>F20 IZ Max Disc 9.7 AXS 50 XS</v>
          </cell>
          <cell r="F265">
            <v>1</v>
          </cell>
          <cell r="G265">
            <v>0</v>
          </cell>
          <cell r="I265" t="str">
            <v>ID071</v>
          </cell>
          <cell r="L265">
            <v>13.4</v>
          </cell>
          <cell r="M265">
            <v>0.214</v>
          </cell>
          <cell r="N265" t="str">
            <v>5W</v>
          </cell>
          <cell r="P265" t="str">
            <v>PONFCS</v>
          </cell>
          <cell r="Q265" t="str">
            <v>/  /</v>
          </cell>
        </row>
        <row r="266">
          <cell r="A266">
            <v>4458764</v>
          </cell>
          <cell r="B266">
            <v>44112</v>
          </cell>
          <cell r="C266" t="str">
            <v>PON</v>
          </cell>
          <cell r="D266">
            <v>637006021</v>
          </cell>
          <cell r="E266" t="str">
            <v>F20 IZ Max Disc 9.7 AXS 50 XS</v>
          </cell>
          <cell r="F266">
            <v>1</v>
          </cell>
          <cell r="G266">
            <v>0</v>
          </cell>
          <cell r="I266" t="str">
            <v>ID071</v>
          </cell>
          <cell r="L266">
            <v>13.4</v>
          </cell>
          <cell r="M266">
            <v>0.214</v>
          </cell>
          <cell r="N266" t="str">
            <v>5W</v>
          </cell>
          <cell r="P266" t="str">
            <v>PONFCS</v>
          </cell>
          <cell r="Q266" t="str">
            <v>/  /</v>
          </cell>
        </row>
        <row r="267">
          <cell r="A267">
            <v>4614245</v>
          </cell>
          <cell r="B267">
            <v>44203</v>
          </cell>
          <cell r="C267" t="str">
            <v>PON</v>
          </cell>
          <cell r="D267">
            <v>641078302</v>
          </cell>
          <cell r="E267" t="str">
            <v>C21 S5 D/Frc Blue Chameleon 54</v>
          </cell>
          <cell r="F267">
            <v>1</v>
          </cell>
          <cell r="G267">
            <v>0</v>
          </cell>
          <cell r="I267" t="str">
            <v>ID072</v>
          </cell>
          <cell r="L267">
            <v>13.9</v>
          </cell>
          <cell r="M267">
            <v>0.24099999999999999</v>
          </cell>
          <cell r="N267" t="str">
            <v>5W</v>
          </cell>
          <cell r="P267" t="str">
            <v>PONCVL</v>
          </cell>
          <cell r="Q267" t="str">
            <v>/  /</v>
          </cell>
        </row>
        <row r="268">
          <cell r="A268">
            <v>4614246</v>
          </cell>
          <cell r="B268">
            <v>44203</v>
          </cell>
          <cell r="C268" t="str">
            <v>PON</v>
          </cell>
          <cell r="D268">
            <v>641078302</v>
          </cell>
          <cell r="E268" t="str">
            <v>C21 S5 D/Frc Blue Chameleon 54</v>
          </cell>
          <cell r="F268">
            <v>1</v>
          </cell>
          <cell r="G268">
            <v>0</v>
          </cell>
          <cell r="I268" t="str">
            <v>ID072</v>
          </cell>
          <cell r="L268">
            <v>13.9</v>
          </cell>
          <cell r="M268">
            <v>0.24099999999999999</v>
          </cell>
          <cell r="N268" t="str">
            <v>5W</v>
          </cell>
          <cell r="P268" t="str">
            <v>PONCVL</v>
          </cell>
          <cell r="Q268" t="str">
            <v>/  /</v>
          </cell>
        </row>
        <row r="269">
          <cell r="A269">
            <v>4614247</v>
          </cell>
          <cell r="B269">
            <v>44203</v>
          </cell>
          <cell r="C269" t="str">
            <v>PON</v>
          </cell>
          <cell r="D269">
            <v>641078302</v>
          </cell>
          <cell r="E269" t="str">
            <v>C21 S5 D/Frc Blue Chameleon 54</v>
          </cell>
          <cell r="F269">
            <v>1</v>
          </cell>
          <cell r="G269">
            <v>0</v>
          </cell>
          <cell r="I269" t="str">
            <v>ID072</v>
          </cell>
          <cell r="L269">
            <v>13.9</v>
          </cell>
          <cell r="M269">
            <v>0.24099999999999999</v>
          </cell>
          <cell r="N269" t="str">
            <v>5W</v>
          </cell>
          <cell r="P269" t="str">
            <v>PONCVL</v>
          </cell>
          <cell r="Q269" t="str">
            <v>/  /</v>
          </cell>
        </row>
        <row r="270">
          <cell r="A270">
            <v>4614248</v>
          </cell>
          <cell r="B270">
            <v>44203</v>
          </cell>
          <cell r="C270" t="str">
            <v>PON</v>
          </cell>
          <cell r="D270">
            <v>641078302</v>
          </cell>
          <cell r="E270" t="str">
            <v>C21 S5 D/Frc Blue Chameleon 54</v>
          </cell>
          <cell r="F270">
            <v>1</v>
          </cell>
          <cell r="G270">
            <v>0</v>
          </cell>
          <cell r="I270" t="str">
            <v>ID072</v>
          </cell>
          <cell r="L270">
            <v>13.9</v>
          </cell>
          <cell r="M270">
            <v>0.24099999999999999</v>
          </cell>
          <cell r="N270" t="str">
            <v>5W</v>
          </cell>
          <cell r="P270" t="str">
            <v>PONCVL</v>
          </cell>
          <cell r="Q270" t="str">
            <v>/  /</v>
          </cell>
        </row>
        <row r="271">
          <cell r="A271">
            <v>4543898</v>
          </cell>
          <cell r="B271">
            <v>44161</v>
          </cell>
          <cell r="C271" t="str">
            <v>PON</v>
          </cell>
          <cell r="D271">
            <v>637518107</v>
          </cell>
          <cell r="E271" t="str">
            <v>F20 JAM2 6.8 NINE 45L BLK BSCH</v>
          </cell>
          <cell r="F271">
            <v>1</v>
          </cell>
          <cell r="G271">
            <v>0</v>
          </cell>
          <cell r="I271" t="str">
            <v>ID073</v>
          </cell>
          <cell r="L271">
            <v>32.666699999999999</v>
          </cell>
          <cell r="M271">
            <v>0.58099999999999996</v>
          </cell>
          <cell r="N271" t="str">
            <v>5W</v>
          </cell>
          <cell r="P271" t="str">
            <v>PONFCS</v>
          </cell>
          <cell r="Q271" t="str">
            <v>/  /</v>
          </cell>
        </row>
        <row r="272">
          <cell r="A272">
            <v>4543899</v>
          </cell>
          <cell r="B272">
            <v>44161</v>
          </cell>
          <cell r="C272" t="str">
            <v>PON</v>
          </cell>
          <cell r="D272">
            <v>637518107</v>
          </cell>
          <cell r="E272" t="str">
            <v>F20 JAM2 6.8 NINE 45L BLK BSCH</v>
          </cell>
          <cell r="F272">
            <v>1</v>
          </cell>
          <cell r="G272">
            <v>0</v>
          </cell>
          <cell r="I272" t="str">
            <v>ID073</v>
          </cell>
          <cell r="L272">
            <v>32.666699999999999</v>
          </cell>
          <cell r="M272">
            <v>0.58099999999999996</v>
          </cell>
          <cell r="N272" t="str">
            <v>5W</v>
          </cell>
          <cell r="P272" t="str">
            <v>PONFCS</v>
          </cell>
          <cell r="Q272" t="str">
            <v>/  /</v>
          </cell>
        </row>
        <row r="273">
          <cell r="A273">
            <v>4543900</v>
          </cell>
          <cell r="B273">
            <v>44161</v>
          </cell>
          <cell r="C273" t="str">
            <v>PON</v>
          </cell>
          <cell r="D273">
            <v>637518107</v>
          </cell>
          <cell r="E273" t="str">
            <v>F20 JAM2 6.8 NINE 45L BLK BSCH</v>
          </cell>
          <cell r="F273">
            <v>1</v>
          </cell>
          <cell r="G273">
            <v>0</v>
          </cell>
          <cell r="I273" t="str">
            <v>ID073</v>
          </cell>
          <cell r="L273">
            <v>32.666699999999999</v>
          </cell>
          <cell r="M273">
            <v>0.58099999999999996</v>
          </cell>
          <cell r="N273" t="str">
            <v>5W</v>
          </cell>
          <cell r="P273" t="str">
            <v>PONFCS</v>
          </cell>
          <cell r="Q273" t="str">
            <v>/  /</v>
          </cell>
        </row>
        <row r="274">
          <cell r="A274">
            <v>4587074</v>
          </cell>
          <cell r="B274">
            <v>44181</v>
          </cell>
          <cell r="C274" t="str">
            <v>PON</v>
          </cell>
          <cell r="D274">
            <v>641528405</v>
          </cell>
          <cell r="E274" t="str">
            <v>K21 Image 5.B Excite Wa S43</v>
          </cell>
          <cell r="F274">
            <v>1</v>
          </cell>
          <cell r="G274">
            <v>0</v>
          </cell>
          <cell r="I274" t="str">
            <v>ID073</v>
          </cell>
          <cell r="L274">
            <v>37</v>
          </cell>
          <cell r="M274">
            <v>0.57299999999999995</v>
          </cell>
          <cell r="N274" t="str">
            <v>5W</v>
          </cell>
          <cell r="P274" t="str">
            <v>PONFCS</v>
          </cell>
          <cell r="Q274" t="str">
            <v>/  /</v>
          </cell>
        </row>
        <row r="275">
          <cell r="A275">
            <v>3992253</v>
          </cell>
          <cell r="B275">
            <v>43810</v>
          </cell>
          <cell r="C275" t="str">
            <v>PON</v>
          </cell>
          <cell r="D275">
            <v>633728528</v>
          </cell>
          <cell r="E275" t="str">
            <v>FC EBikeF19 P/Sqre 9.7 60XL B</v>
          </cell>
          <cell r="F275">
            <v>1</v>
          </cell>
          <cell r="G275">
            <v>0</v>
          </cell>
          <cell r="I275" t="str">
            <v>ID074</v>
          </cell>
          <cell r="L275">
            <v>23.2</v>
          </cell>
          <cell r="M275">
            <v>0.57299999999999995</v>
          </cell>
          <cell r="N275" t="str">
            <v>5W</v>
          </cell>
          <cell r="P275" t="str">
            <v>PONFEB</v>
          </cell>
          <cell r="Q275" t="str">
            <v>/  /</v>
          </cell>
        </row>
        <row r="276">
          <cell r="A276">
            <v>4088116</v>
          </cell>
          <cell r="B276">
            <v>43810</v>
          </cell>
          <cell r="C276" t="str">
            <v>PON</v>
          </cell>
          <cell r="D276">
            <v>633728528</v>
          </cell>
          <cell r="E276" t="str">
            <v>FC EBikeF19 P/Sqre 9.7 60XL B</v>
          </cell>
          <cell r="F276">
            <v>1</v>
          </cell>
          <cell r="G276">
            <v>0</v>
          </cell>
          <cell r="I276" t="str">
            <v>ID074</v>
          </cell>
          <cell r="L276">
            <v>23.2</v>
          </cell>
          <cell r="M276">
            <v>0.57299999999999995</v>
          </cell>
          <cell r="N276" t="str">
            <v>5W</v>
          </cell>
          <cell r="P276" t="str">
            <v>PONFEB</v>
          </cell>
          <cell r="Q276" t="str">
            <v>/  /</v>
          </cell>
        </row>
        <row r="277">
          <cell r="A277">
            <v>4644314</v>
          </cell>
          <cell r="B277">
            <v>44225</v>
          </cell>
          <cell r="C277" t="str">
            <v>PON</v>
          </cell>
          <cell r="D277">
            <v>637527028</v>
          </cell>
          <cell r="E277" t="str">
            <v>K20 Endeavour 3.B Move 50M WA</v>
          </cell>
          <cell r="F277">
            <v>1</v>
          </cell>
          <cell r="G277">
            <v>0</v>
          </cell>
          <cell r="I277" t="str">
            <v>ID074</v>
          </cell>
          <cell r="L277">
            <v>33</v>
          </cell>
          <cell r="M277">
            <v>0.53200000000000003</v>
          </cell>
          <cell r="N277" t="str">
            <v>5W</v>
          </cell>
          <cell r="P277" t="str">
            <v>PONFCS</v>
          </cell>
          <cell r="Q277" t="str">
            <v>/  /</v>
          </cell>
        </row>
        <row r="278">
          <cell r="A278">
            <v>4644315</v>
          </cell>
          <cell r="B278">
            <v>44225</v>
          </cell>
          <cell r="C278" t="str">
            <v>PON</v>
          </cell>
          <cell r="D278">
            <v>637527028</v>
          </cell>
          <cell r="E278" t="str">
            <v>K20 Endeavour 3.B Move 50M WA</v>
          </cell>
          <cell r="F278">
            <v>1</v>
          </cell>
          <cell r="G278">
            <v>0</v>
          </cell>
          <cell r="I278" t="str">
            <v>ID074</v>
          </cell>
          <cell r="L278">
            <v>33</v>
          </cell>
          <cell r="M278">
            <v>0.53200000000000003</v>
          </cell>
          <cell r="N278" t="str">
            <v>5W</v>
          </cell>
          <cell r="P278" t="str">
            <v>PONFCS</v>
          </cell>
          <cell r="Q278" t="str">
            <v>/  /</v>
          </cell>
        </row>
        <row r="279">
          <cell r="A279">
            <v>4644316</v>
          </cell>
          <cell r="B279">
            <v>44225</v>
          </cell>
          <cell r="C279" t="str">
            <v>PON</v>
          </cell>
          <cell r="D279">
            <v>637527028</v>
          </cell>
          <cell r="E279" t="str">
            <v>K20 Endeavour 3.B Move 50M WA</v>
          </cell>
          <cell r="F279">
            <v>1</v>
          </cell>
          <cell r="G279">
            <v>0</v>
          </cell>
          <cell r="I279" t="str">
            <v>ID074</v>
          </cell>
          <cell r="L279">
            <v>33</v>
          </cell>
          <cell r="M279">
            <v>0.53200000000000003</v>
          </cell>
          <cell r="N279" t="str">
            <v>5W</v>
          </cell>
          <cell r="P279" t="str">
            <v>PONFCS</v>
          </cell>
          <cell r="Q279" t="str">
            <v>/  /</v>
          </cell>
        </row>
        <row r="280">
          <cell r="A280">
            <v>3995210</v>
          </cell>
          <cell r="B280">
            <v>43811</v>
          </cell>
          <cell r="C280" t="str">
            <v>PON</v>
          </cell>
          <cell r="D280">
            <v>623073426</v>
          </cell>
          <cell r="E280" t="str">
            <v>Cervelo C16 F/S P3 61</v>
          </cell>
          <cell r="F280">
            <v>1</v>
          </cell>
          <cell r="G280">
            <v>0</v>
          </cell>
          <cell r="I280" t="str">
            <v>ID081</v>
          </cell>
          <cell r="L280">
            <v>6.5</v>
          </cell>
          <cell r="M280">
            <v>0.14299999999999999</v>
          </cell>
          <cell r="N280" t="str">
            <v>5W</v>
          </cell>
          <cell r="P280" t="str">
            <v>PONCVL</v>
          </cell>
          <cell r="Q280" t="str">
            <v>/  /</v>
          </cell>
        </row>
        <row r="281">
          <cell r="A281">
            <v>4458876</v>
          </cell>
          <cell r="B281">
            <v>44112</v>
          </cell>
          <cell r="C281" t="str">
            <v>PON</v>
          </cell>
          <cell r="D281">
            <v>641006001</v>
          </cell>
          <cell r="E281" t="str">
            <v>F21 IZ MAX DISC 9.9 50 XS L/GR</v>
          </cell>
          <cell r="F281">
            <v>1</v>
          </cell>
          <cell r="G281">
            <v>0</v>
          </cell>
          <cell r="I281" t="str">
            <v>ID082</v>
          </cell>
          <cell r="L281">
            <v>13.1</v>
          </cell>
          <cell r="M281">
            <v>0.221</v>
          </cell>
          <cell r="N281" t="str">
            <v>5W</v>
          </cell>
          <cell r="P281" t="str">
            <v>PONFCS</v>
          </cell>
          <cell r="Q281" t="str">
            <v>/  /</v>
          </cell>
        </row>
        <row r="282">
          <cell r="A282">
            <v>4458877</v>
          </cell>
          <cell r="B282">
            <v>44112</v>
          </cell>
          <cell r="C282" t="str">
            <v>PON</v>
          </cell>
          <cell r="D282">
            <v>641006001</v>
          </cell>
          <cell r="E282" t="str">
            <v>F21 IZ MAX DISC 9.9 50 XS L/GR</v>
          </cell>
          <cell r="F282">
            <v>1</v>
          </cell>
          <cell r="G282">
            <v>0</v>
          </cell>
          <cell r="I282" t="str">
            <v>ID082</v>
          </cell>
          <cell r="L282">
            <v>13.1</v>
          </cell>
          <cell r="M282">
            <v>0.221</v>
          </cell>
          <cell r="N282" t="str">
            <v>5W</v>
          </cell>
          <cell r="P282" t="str">
            <v>PONFCS</v>
          </cell>
          <cell r="Q282" t="str">
            <v>/  /</v>
          </cell>
        </row>
        <row r="283">
          <cell r="A283">
            <v>4458878</v>
          </cell>
          <cell r="B283">
            <v>44112</v>
          </cell>
          <cell r="C283" t="str">
            <v>PON</v>
          </cell>
          <cell r="D283">
            <v>641006001</v>
          </cell>
          <cell r="E283" t="str">
            <v>F21 IZ MAX DISC 9.9 50 XS L/GR</v>
          </cell>
          <cell r="F283">
            <v>1</v>
          </cell>
          <cell r="G283">
            <v>0</v>
          </cell>
          <cell r="I283" t="str">
            <v>ID082</v>
          </cell>
          <cell r="L283">
            <v>13.1</v>
          </cell>
          <cell r="M283">
            <v>0.221</v>
          </cell>
          <cell r="N283" t="str">
            <v>5W</v>
          </cell>
          <cell r="P283" t="str">
            <v>PONFCS</v>
          </cell>
          <cell r="Q283" t="str">
            <v>/  /</v>
          </cell>
        </row>
        <row r="284">
          <cell r="A284">
            <v>3974210</v>
          </cell>
          <cell r="B284">
            <v>43802</v>
          </cell>
          <cell r="C284" t="str">
            <v>PON</v>
          </cell>
          <cell r="D284" t="str">
            <v>LTD628073132</v>
          </cell>
          <cell r="E284" t="str">
            <v>CV C18 S5Ltd 54 Blk/Fluo DADI2</v>
          </cell>
          <cell r="F284">
            <v>1</v>
          </cell>
          <cell r="G284">
            <v>0</v>
          </cell>
          <cell r="I284" t="str">
            <v>ID082</v>
          </cell>
          <cell r="L284">
            <v>12</v>
          </cell>
          <cell r="M284">
            <v>0.19400000000000001</v>
          </cell>
          <cell r="N284" t="str">
            <v>5W</v>
          </cell>
          <cell r="P284" t="str">
            <v>PONCVL</v>
          </cell>
          <cell r="Q284" t="str">
            <v>/  /</v>
          </cell>
        </row>
        <row r="285">
          <cell r="A285">
            <v>4543869</v>
          </cell>
          <cell r="B285">
            <v>44161</v>
          </cell>
          <cell r="C285" t="str">
            <v>PON</v>
          </cell>
          <cell r="D285">
            <v>641518010</v>
          </cell>
          <cell r="E285" t="str">
            <v>F21 Jam2 6.9 Nine S 40 625Wh</v>
          </cell>
          <cell r="F285">
            <v>1</v>
          </cell>
          <cell r="G285">
            <v>0</v>
          </cell>
          <cell r="I285" t="str">
            <v>ID083</v>
          </cell>
          <cell r="L285">
            <v>33.5</v>
          </cell>
          <cell r="M285">
            <v>0.55000000000000004</v>
          </cell>
          <cell r="N285" t="str">
            <v>5W</v>
          </cell>
          <cell r="P285" t="str">
            <v>PONFCS</v>
          </cell>
          <cell r="Q285" t="str">
            <v>/  /</v>
          </cell>
        </row>
        <row r="286">
          <cell r="A286">
            <v>4644354</v>
          </cell>
          <cell r="B286">
            <v>44225</v>
          </cell>
          <cell r="C286" t="str">
            <v>PON</v>
          </cell>
          <cell r="D286">
            <v>637527027</v>
          </cell>
          <cell r="E286" t="str">
            <v>K20 Endeavour 3.B Move 45S WA</v>
          </cell>
          <cell r="F286">
            <v>1</v>
          </cell>
          <cell r="G286">
            <v>0</v>
          </cell>
          <cell r="I286" t="str">
            <v>ID084</v>
          </cell>
          <cell r="L286">
            <v>33</v>
          </cell>
          <cell r="M286">
            <v>0.53200000000000003</v>
          </cell>
          <cell r="N286" t="str">
            <v>5W</v>
          </cell>
          <cell r="P286" t="str">
            <v>PONFCS</v>
          </cell>
          <cell r="Q286" t="str">
            <v>/  /</v>
          </cell>
        </row>
        <row r="287">
          <cell r="A287">
            <v>4644355</v>
          </cell>
          <cell r="B287">
            <v>44225</v>
          </cell>
          <cell r="C287" t="str">
            <v>PON</v>
          </cell>
          <cell r="D287">
            <v>637527027</v>
          </cell>
          <cell r="E287" t="str">
            <v>K20 Endeavour 3.B Move 45S WA</v>
          </cell>
          <cell r="F287">
            <v>1</v>
          </cell>
          <cell r="G287">
            <v>0</v>
          </cell>
          <cell r="I287" t="str">
            <v>ID084</v>
          </cell>
          <cell r="L287">
            <v>33</v>
          </cell>
          <cell r="M287">
            <v>0.53200000000000003</v>
          </cell>
          <cell r="N287" t="str">
            <v>5W</v>
          </cell>
          <cell r="P287" t="str">
            <v>PONFCS</v>
          </cell>
          <cell r="Q287" t="str">
            <v>/  /</v>
          </cell>
        </row>
        <row r="288">
          <cell r="A288">
            <v>4614045</v>
          </cell>
          <cell r="B288">
            <v>44203</v>
          </cell>
          <cell r="C288" t="str">
            <v>PON</v>
          </cell>
          <cell r="D288">
            <v>641078204</v>
          </cell>
          <cell r="E288" t="str">
            <v>C21 P5 Disc Orange/Chamelon 54</v>
          </cell>
          <cell r="F288">
            <v>1</v>
          </cell>
          <cell r="G288">
            <v>0</v>
          </cell>
          <cell r="I288" t="str">
            <v>ID092</v>
          </cell>
          <cell r="L288">
            <v>15.7</v>
          </cell>
          <cell r="M288">
            <v>0.26300000000000001</v>
          </cell>
          <cell r="N288" t="str">
            <v>5W</v>
          </cell>
          <cell r="P288" t="str">
            <v>PONCVL</v>
          </cell>
          <cell r="Q288" t="str">
            <v>/  /</v>
          </cell>
        </row>
        <row r="289">
          <cell r="A289">
            <v>4614046</v>
          </cell>
          <cell r="B289">
            <v>44203</v>
          </cell>
          <cell r="C289" t="str">
            <v>PON</v>
          </cell>
          <cell r="D289">
            <v>641078204</v>
          </cell>
          <cell r="E289" t="str">
            <v>C21 P5 Disc Orange/Chamelon 54</v>
          </cell>
          <cell r="F289">
            <v>1</v>
          </cell>
          <cell r="G289">
            <v>0</v>
          </cell>
          <cell r="I289" t="str">
            <v>ID092</v>
          </cell>
          <cell r="L289">
            <v>15.7</v>
          </cell>
          <cell r="M289">
            <v>0.26300000000000001</v>
          </cell>
          <cell r="N289" t="str">
            <v>5W</v>
          </cell>
          <cell r="P289" t="str">
            <v>PONCVL</v>
          </cell>
          <cell r="Q289" t="str">
            <v>/  /</v>
          </cell>
        </row>
        <row r="290">
          <cell r="A290">
            <v>4614047</v>
          </cell>
          <cell r="B290">
            <v>44203</v>
          </cell>
          <cell r="C290" t="str">
            <v>PON</v>
          </cell>
          <cell r="D290">
            <v>641078204</v>
          </cell>
          <cell r="E290" t="str">
            <v>C21 P5 Disc Orange/Chamelon 54</v>
          </cell>
          <cell r="F290">
            <v>1</v>
          </cell>
          <cell r="G290">
            <v>0</v>
          </cell>
          <cell r="I290" t="str">
            <v>ID092</v>
          </cell>
          <cell r="L290">
            <v>15.7</v>
          </cell>
          <cell r="M290">
            <v>0.26300000000000001</v>
          </cell>
          <cell r="N290" t="str">
            <v>5W</v>
          </cell>
          <cell r="P290" t="str">
            <v>PONCVL</v>
          </cell>
          <cell r="Q290" t="str">
            <v>/  /</v>
          </cell>
        </row>
        <row r="291">
          <cell r="A291">
            <v>4614048</v>
          </cell>
          <cell r="B291">
            <v>44203</v>
          </cell>
          <cell r="C291" t="str">
            <v>PON</v>
          </cell>
          <cell r="D291">
            <v>641078204</v>
          </cell>
          <cell r="E291" t="str">
            <v>C21 P5 Disc Orange/Chamelon 54</v>
          </cell>
          <cell r="F291">
            <v>1</v>
          </cell>
          <cell r="G291">
            <v>0</v>
          </cell>
          <cell r="I291" t="str">
            <v>ID092</v>
          </cell>
          <cell r="L291">
            <v>15.7</v>
          </cell>
          <cell r="M291">
            <v>0.26300000000000001</v>
          </cell>
          <cell r="N291" t="str">
            <v>5W</v>
          </cell>
          <cell r="P291" t="str">
            <v>PONCVL</v>
          </cell>
          <cell r="Q291" t="str">
            <v>/  /</v>
          </cell>
        </row>
        <row r="292">
          <cell r="A292">
            <v>4543942</v>
          </cell>
          <cell r="B292">
            <v>44161</v>
          </cell>
          <cell r="C292" t="str">
            <v>PON</v>
          </cell>
          <cell r="D292">
            <v>637518117</v>
          </cell>
          <cell r="E292" t="str">
            <v>F20 JAM2 6.8 NINE 45L BLUE BCH</v>
          </cell>
          <cell r="F292">
            <v>1</v>
          </cell>
          <cell r="G292">
            <v>0</v>
          </cell>
          <cell r="I292" t="str">
            <v>ID094</v>
          </cell>
          <cell r="L292">
            <v>32.769199999999998</v>
          </cell>
          <cell r="M292">
            <v>0.57799999999999996</v>
          </cell>
          <cell r="N292" t="str">
            <v>5W</v>
          </cell>
          <cell r="P292" t="str">
            <v>PONFCS</v>
          </cell>
          <cell r="Q292" t="str">
            <v>/  /</v>
          </cell>
        </row>
        <row r="293">
          <cell r="A293">
            <v>4543943</v>
          </cell>
          <cell r="B293">
            <v>44161</v>
          </cell>
          <cell r="C293" t="str">
            <v>PON</v>
          </cell>
          <cell r="D293">
            <v>637518117</v>
          </cell>
          <cell r="E293" t="str">
            <v>F20 JAM2 6.8 NINE 45L BLUE BCH</v>
          </cell>
          <cell r="F293">
            <v>1</v>
          </cell>
          <cell r="G293">
            <v>0</v>
          </cell>
          <cell r="I293" t="str">
            <v>ID094</v>
          </cell>
          <cell r="L293">
            <v>32.769199999999998</v>
          </cell>
          <cell r="M293">
            <v>0.57799999999999996</v>
          </cell>
          <cell r="N293" t="str">
            <v>5W</v>
          </cell>
          <cell r="P293" t="str">
            <v>PONFCS</v>
          </cell>
          <cell r="Q293" t="str">
            <v>/  /</v>
          </cell>
        </row>
        <row r="294">
          <cell r="A294">
            <v>4413259</v>
          </cell>
          <cell r="B294">
            <v>44082</v>
          </cell>
          <cell r="C294" t="str">
            <v>PON</v>
          </cell>
          <cell r="D294">
            <v>641078104</v>
          </cell>
          <cell r="E294" t="str">
            <v>C21 Calednia UltDI2 Blk/Wht 54</v>
          </cell>
          <cell r="F294">
            <v>1</v>
          </cell>
          <cell r="G294">
            <v>0</v>
          </cell>
          <cell r="I294" t="str">
            <v>ID101</v>
          </cell>
          <cell r="L294">
            <v>14.1</v>
          </cell>
          <cell r="M294">
            <v>0.23300000000000001</v>
          </cell>
          <cell r="N294" t="str">
            <v>5W</v>
          </cell>
          <cell r="P294" t="str">
            <v>PONCVL</v>
          </cell>
          <cell r="Q294" t="str">
            <v>/  /</v>
          </cell>
        </row>
        <row r="295">
          <cell r="A295">
            <v>4413260</v>
          </cell>
          <cell r="B295">
            <v>44082</v>
          </cell>
          <cell r="C295" t="str">
            <v>PON</v>
          </cell>
          <cell r="D295">
            <v>641078104</v>
          </cell>
          <cell r="E295" t="str">
            <v>C21 Calednia UltDI2 Blk/Wht 54</v>
          </cell>
          <cell r="F295">
            <v>1</v>
          </cell>
          <cell r="G295">
            <v>0</v>
          </cell>
          <cell r="I295" t="str">
            <v>ID101</v>
          </cell>
          <cell r="L295">
            <v>14.1</v>
          </cell>
          <cell r="M295">
            <v>0.23300000000000001</v>
          </cell>
          <cell r="N295" t="str">
            <v>5W</v>
          </cell>
          <cell r="P295" t="str">
            <v>PONCVL</v>
          </cell>
          <cell r="Q295" t="str">
            <v>/  /</v>
          </cell>
        </row>
        <row r="296">
          <cell r="A296">
            <v>4614229</v>
          </cell>
          <cell r="B296">
            <v>44203</v>
          </cell>
          <cell r="C296" t="str">
            <v>PON</v>
          </cell>
          <cell r="D296">
            <v>641078292</v>
          </cell>
          <cell r="E296" t="str">
            <v>C21 S/Srs D/Ult Puprle Chmln56</v>
          </cell>
          <cell r="F296">
            <v>1</v>
          </cell>
          <cell r="G296">
            <v>0</v>
          </cell>
          <cell r="I296" t="str">
            <v>ID101</v>
          </cell>
          <cell r="L296">
            <v>14.1</v>
          </cell>
          <cell r="M296">
            <v>0.24399999999999999</v>
          </cell>
          <cell r="N296" t="str">
            <v>5W</v>
          </cell>
          <cell r="P296" t="str">
            <v>PONCVL</v>
          </cell>
          <cell r="Q296" t="str">
            <v>/  /</v>
          </cell>
        </row>
        <row r="297">
          <cell r="A297">
            <v>4614055</v>
          </cell>
          <cell r="B297">
            <v>44203</v>
          </cell>
          <cell r="C297" t="str">
            <v>PON</v>
          </cell>
          <cell r="D297">
            <v>641078206</v>
          </cell>
          <cell r="E297" t="str">
            <v>C21 P5 Disc Orange/Chamelon 58</v>
          </cell>
          <cell r="F297">
            <v>1</v>
          </cell>
          <cell r="G297">
            <v>0</v>
          </cell>
          <cell r="I297" t="str">
            <v>ID102</v>
          </cell>
          <cell r="L297">
            <v>15.7</v>
          </cell>
          <cell r="M297">
            <v>0.26300000000000001</v>
          </cell>
          <cell r="N297" t="str">
            <v>5W</v>
          </cell>
          <cell r="P297" t="str">
            <v>PONCVL</v>
          </cell>
          <cell r="Q297" t="str">
            <v>/  /</v>
          </cell>
        </row>
        <row r="298">
          <cell r="A298">
            <v>4614056</v>
          </cell>
          <cell r="B298">
            <v>44203</v>
          </cell>
          <cell r="C298" t="str">
            <v>PON</v>
          </cell>
          <cell r="D298">
            <v>641078206</v>
          </cell>
          <cell r="E298" t="str">
            <v>C21 P5 Disc Orange/Chamelon 58</v>
          </cell>
          <cell r="F298">
            <v>1</v>
          </cell>
          <cell r="G298">
            <v>0</v>
          </cell>
          <cell r="I298" t="str">
            <v>ID102</v>
          </cell>
          <cell r="L298">
            <v>15.7</v>
          </cell>
          <cell r="M298">
            <v>0.26300000000000001</v>
          </cell>
          <cell r="N298" t="str">
            <v>5W</v>
          </cell>
          <cell r="P298" t="str">
            <v>PONCVL</v>
          </cell>
          <cell r="Q298" t="str">
            <v>/  /</v>
          </cell>
        </row>
        <row r="299">
          <cell r="A299">
            <v>4008431</v>
          </cell>
          <cell r="B299">
            <v>43818</v>
          </cell>
          <cell r="C299" t="str">
            <v>PON</v>
          </cell>
          <cell r="D299" t="str">
            <v>A5800</v>
          </cell>
          <cell r="E299" t="str">
            <v>GZ G19 Chamonix T10 HMB 53 Men</v>
          </cell>
          <cell r="F299">
            <v>1</v>
          </cell>
          <cell r="G299">
            <v>0</v>
          </cell>
          <cell r="I299" t="str">
            <v>ID103</v>
          </cell>
          <cell r="L299">
            <v>29.4</v>
          </cell>
          <cell r="M299">
            <v>0.64</v>
          </cell>
          <cell r="N299" t="str">
            <v>5W</v>
          </cell>
          <cell r="P299" t="str">
            <v>PONGAZ</v>
          </cell>
          <cell r="Q299" t="str">
            <v>/  /</v>
          </cell>
        </row>
        <row r="300">
          <cell r="A300">
            <v>4543940</v>
          </cell>
          <cell r="B300">
            <v>44161</v>
          </cell>
          <cell r="C300" t="str">
            <v>PON</v>
          </cell>
          <cell r="D300">
            <v>637518117</v>
          </cell>
          <cell r="E300" t="str">
            <v>F20 JAM2 6.8 NINE 45L BLUE BCH</v>
          </cell>
          <cell r="F300">
            <v>1</v>
          </cell>
          <cell r="G300">
            <v>0</v>
          </cell>
          <cell r="I300" t="str">
            <v>ID104</v>
          </cell>
          <cell r="L300">
            <v>32.769199999999998</v>
          </cell>
          <cell r="M300">
            <v>0.57799999999999996</v>
          </cell>
          <cell r="N300" t="str">
            <v>5W</v>
          </cell>
          <cell r="P300" t="str">
            <v>PONFCS</v>
          </cell>
          <cell r="Q300" t="str">
            <v>/  /</v>
          </cell>
        </row>
        <row r="301">
          <cell r="A301">
            <v>4543941</v>
          </cell>
          <cell r="B301">
            <v>44161</v>
          </cell>
          <cell r="C301" t="str">
            <v>PON</v>
          </cell>
          <cell r="D301">
            <v>637518117</v>
          </cell>
          <cell r="E301" t="str">
            <v>F20 JAM2 6.8 NINE 45L BLUE BCH</v>
          </cell>
          <cell r="F301">
            <v>1</v>
          </cell>
          <cell r="G301">
            <v>0</v>
          </cell>
          <cell r="I301" t="str">
            <v>ID104</v>
          </cell>
          <cell r="L301">
            <v>32.769199999999998</v>
          </cell>
          <cell r="M301">
            <v>0.57799999999999996</v>
          </cell>
          <cell r="N301" t="str">
            <v>5W</v>
          </cell>
          <cell r="P301" t="str">
            <v>PONFCS</v>
          </cell>
          <cell r="Q301" t="str">
            <v>/  /</v>
          </cell>
        </row>
        <row r="302">
          <cell r="A302">
            <v>3948693</v>
          </cell>
          <cell r="B302">
            <v>43788</v>
          </cell>
          <cell r="C302" t="str">
            <v>PON</v>
          </cell>
          <cell r="D302">
            <v>628078161</v>
          </cell>
          <cell r="E302" t="str">
            <v>CV C18 R5 Disc DA Di2 51 SM</v>
          </cell>
          <cell r="F302">
            <v>1</v>
          </cell>
          <cell r="G302">
            <v>0</v>
          </cell>
          <cell r="I302" t="str">
            <v>ID111</v>
          </cell>
          <cell r="L302">
            <v>12.4</v>
          </cell>
          <cell r="M302">
            <v>0.23599999999999999</v>
          </cell>
          <cell r="N302" t="str">
            <v>5W</v>
          </cell>
          <cell r="P302" t="str">
            <v>PONCVL</v>
          </cell>
          <cell r="Q302" t="str">
            <v>/  /</v>
          </cell>
        </row>
        <row r="303">
          <cell r="A303">
            <v>4614177</v>
          </cell>
          <cell r="B303">
            <v>44203</v>
          </cell>
          <cell r="C303" t="str">
            <v>PON</v>
          </cell>
          <cell r="D303">
            <v>641078189</v>
          </cell>
          <cell r="E303" t="str">
            <v>C21 P5 D/Ace Crbn/Blk/Slv 54</v>
          </cell>
          <cell r="F303">
            <v>1</v>
          </cell>
          <cell r="G303">
            <v>0</v>
          </cell>
          <cell r="I303" t="str">
            <v>ID111</v>
          </cell>
          <cell r="L303">
            <v>15.5</v>
          </cell>
          <cell r="M303">
            <v>0.26300000000000001</v>
          </cell>
          <cell r="N303" t="str">
            <v>5W</v>
          </cell>
          <cell r="P303" t="str">
            <v>PONCVL</v>
          </cell>
          <cell r="Q303" t="str">
            <v>/  /</v>
          </cell>
        </row>
        <row r="304">
          <cell r="A304">
            <v>4459075</v>
          </cell>
          <cell r="B304">
            <v>44112</v>
          </cell>
          <cell r="C304" t="str">
            <v>PON</v>
          </cell>
          <cell r="D304">
            <v>641080005</v>
          </cell>
          <cell r="E304" t="str">
            <v>F21 IZ MAX DISC F/S 9 58XL CBN</v>
          </cell>
          <cell r="F304">
            <v>1</v>
          </cell>
          <cell r="G304">
            <v>0</v>
          </cell>
          <cell r="I304" t="str">
            <v>ID111</v>
          </cell>
          <cell r="L304">
            <v>6.1</v>
          </cell>
          <cell r="M304">
            <v>0.155</v>
          </cell>
          <cell r="N304" t="str">
            <v>5W</v>
          </cell>
          <cell r="P304" t="str">
            <v>PONFCS</v>
          </cell>
          <cell r="Q304" t="str">
            <v>/  /</v>
          </cell>
        </row>
        <row r="305">
          <cell r="A305">
            <v>4459076</v>
          </cell>
          <cell r="B305">
            <v>44112</v>
          </cell>
          <cell r="C305" t="str">
            <v>PON</v>
          </cell>
          <cell r="D305">
            <v>641080005</v>
          </cell>
          <cell r="E305" t="str">
            <v>F21 IZ MAX DISC F/S 9 58XL CBN</v>
          </cell>
          <cell r="F305">
            <v>1</v>
          </cell>
          <cell r="G305">
            <v>0</v>
          </cell>
          <cell r="I305" t="str">
            <v>ID111</v>
          </cell>
          <cell r="L305">
            <v>6.1</v>
          </cell>
          <cell r="M305">
            <v>0.155</v>
          </cell>
          <cell r="N305" t="str">
            <v>5W</v>
          </cell>
          <cell r="P305" t="str">
            <v>PONFCS</v>
          </cell>
          <cell r="Q305" t="str">
            <v>/  /</v>
          </cell>
        </row>
        <row r="306">
          <cell r="A306">
            <v>4459077</v>
          </cell>
          <cell r="B306">
            <v>44112</v>
          </cell>
          <cell r="C306" t="str">
            <v>PON</v>
          </cell>
          <cell r="D306">
            <v>641080005</v>
          </cell>
          <cell r="E306" t="str">
            <v>F21 IZ MAX DISC F/S 9 58XL CBN</v>
          </cell>
          <cell r="F306">
            <v>1</v>
          </cell>
          <cell r="G306">
            <v>0</v>
          </cell>
          <cell r="I306" t="str">
            <v>ID111</v>
          </cell>
          <cell r="L306">
            <v>6.1</v>
          </cell>
          <cell r="M306">
            <v>0.155</v>
          </cell>
          <cell r="N306" t="str">
            <v>5W</v>
          </cell>
          <cell r="P306" t="str">
            <v>PONFCS</v>
          </cell>
          <cell r="Q306" t="str">
            <v>/  /</v>
          </cell>
        </row>
        <row r="307">
          <cell r="A307">
            <v>4458755</v>
          </cell>
          <cell r="B307">
            <v>44112</v>
          </cell>
          <cell r="C307" t="str">
            <v>PON</v>
          </cell>
          <cell r="D307">
            <v>637006020</v>
          </cell>
          <cell r="E307" t="str">
            <v>F20 IZ Max Disc 9.7 AXS 47 XXS</v>
          </cell>
          <cell r="F307">
            <v>1</v>
          </cell>
          <cell r="G307">
            <v>0</v>
          </cell>
          <cell r="I307" t="str">
            <v>ID112</v>
          </cell>
          <cell r="L307">
            <v>13.4</v>
          </cell>
          <cell r="M307">
            <v>0.215</v>
          </cell>
          <cell r="N307" t="str">
            <v>5W</v>
          </cell>
          <cell r="P307" t="str">
            <v>PONFCS</v>
          </cell>
          <cell r="Q307" t="str">
            <v>/  /</v>
          </cell>
        </row>
        <row r="308">
          <cell r="A308">
            <v>4458756</v>
          </cell>
          <cell r="B308">
            <v>44112</v>
          </cell>
          <cell r="C308" t="str">
            <v>PON</v>
          </cell>
          <cell r="D308">
            <v>637006020</v>
          </cell>
          <cell r="E308" t="str">
            <v>F20 IZ Max Disc 9.7 AXS 47 XXS</v>
          </cell>
          <cell r="F308">
            <v>1</v>
          </cell>
          <cell r="G308">
            <v>0</v>
          </cell>
          <cell r="I308" t="str">
            <v>ID112</v>
          </cell>
          <cell r="L308">
            <v>13.4</v>
          </cell>
          <cell r="M308">
            <v>0.215</v>
          </cell>
          <cell r="N308" t="str">
            <v>5W</v>
          </cell>
          <cell r="P308" t="str">
            <v>PONFCS</v>
          </cell>
          <cell r="Q308" t="str">
            <v>/  /</v>
          </cell>
        </row>
        <row r="309">
          <cell r="A309">
            <v>4458757</v>
          </cell>
          <cell r="B309">
            <v>44112</v>
          </cell>
          <cell r="C309" t="str">
            <v>PON</v>
          </cell>
          <cell r="D309">
            <v>637006020</v>
          </cell>
          <cell r="E309" t="str">
            <v>F20 IZ Max Disc 9.7 AXS 47 XXS</v>
          </cell>
          <cell r="F309">
            <v>1</v>
          </cell>
          <cell r="G309">
            <v>0</v>
          </cell>
          <cell r="I309" t="str">
            <v>ID112</v>
          </cell>
          <cell r="L309">
            <v>13.4</v>
          </cell>
          <cell r="M309">
            <v>0.215</v>
          </cell>
          <cell r="N309" t="str">
            <v>5W</v>
          </cell>
          <cell r="P309" t="str">
            <v>PONFCS</v>
          </cell>
          <cell r="Q309" t="str">
            <v>/  /</v>
          </cell>
        </row>
        <row r="310">
          <cell r="A310">
            <v>4458758</v>
          </cell>
          <cell r="B310">
            <v>44112</v>
          </cell>
          <cell r="C310" t="str">
            <v>PON</v>
          </cell>
          <cell r="D310">
            <v>637006020</v>
          </cell>
          <cell r="E310" t="str">
            <v>F20 IZ Max Disc 9.7 AXS 47 XXS</v>
          </cell>
          <cell r="F310">
            <v>1</v>
          </cell>
          <cell r="G310">
            <v>0</v>
          </cell>
          <cell r="I310" t="str">
            <v>ID112</v>
          </cell>
          <cell r="L310">
            <v>13.4</v>
          </cell>
          <cell r="M310">
            <v>0.215</v>
          </cell>
          <cell r="N310" t="str">
            <v>5W</v>
          </cell>
          <cell r="P310" t="str">
            <v>PONFCS</v>
          </cell>
          <cell r="Q310" t="str">
            <v>/  /</v>
          </cell>
        </row>
        <row r="311">
          <cell r="A311">
            <v>4614182</v>
          </cell>
          <cell r="B311">
            <v>44203</v>
          </cell>
          <cell r="C311" t="str">
            <v>PON</v>
          </cell>
          <cell r="D311">
            <v>641078191</v>
          </cell>
          <cell r="E311" t="str">
            <v>C21 P5 D/Ace Crbn/Blk/Slv 58</v>
          </cell>
          <cell r="F311">
            <v>1</v>
          </cell>
          <cell r="G311">
            <v>0</v>
          </cell>
          <cell r="I311" t="str">
            <v>ID112</v>
          </cell>
          <cell r="L311">
            <v>15.6</v>
          </cell>
          <cell r="M311">
            <v>0.26300000000000001</v>
          </cell>
          <cell r="N311" t="str">
            <v>5W</v>
          </cell>
          <cell r="P311" t="str">
            <v>PONCVL</v>
          </cell>
          <cell r="Q311" t="str">
            <v>/  /</v>
          </cell>
        </row>
        <row r="312">
          <cell r="A312">
            <v>4008392</v>
          </cell>
          <cell r="B312">
            <v>43818</v>
          </cell>
          <cell r="C312" t="str">
            <v>PON</v>
          </cell>
          <cell r="D312" t="str">
            <v>A5974</v>
          </cell>
          <cell r="E312" t="str">
            <v>GZ G19 Vento C7 HMB 57 Men Blk</v>
          </cell>
          <cell r="F312">
            <v>1</v>
          </cell>
          <cell r="G312">
            <v>0</v>
          </cell>
          <cell r="I312" t="str">
            <v>ID113</v>
          </cell>
          <cell r="L312">
            <v>31.7</v>
          </cell>
          <cell r="M312">
            <v>0.61499999999999999</v>
          </cell>
          <cell r="N312" t="str">
            <v>5W</v>
          </cell>
          <cell r="P312" t="str">
            <v>PONGAZ</v>
          </cell>
          <cell r="Q312" t="str">
            <v>/  /</v>
          </cell>
        </row>
        <row r="313">
          <cell r="A313">
            <v>3992255</v>
          </cell>
          <cell r="B313">
            <v>43810</v>
          </cell>
          <cell r="C313" t="str">
            <v>PON</v>
          </cell>
          <cell r="D313" t="str">
            <v>A3452</v>
          </cell>
          <cell r="E313" t="str">
            <v>GZ G17 Orange C7 HMB 61 Men</v>
          </cell>
          <cell r="F313">
            <v>1</v>
          </cell>
          <cell r="G313">
            <v>0</v>
          </cell>
          <cell r="I313" t="str">
            <v>ID114</v>
          </cell>
          <cell r="L313">
            <v>18</v>
          </cell>
          <cell r="M313">
            <v>0.41</v>
          </cell>
          <cell r="N313" t="str">
            <v>5W</v>
          </cell>
          <cell r="P313" t="str">
            <v>PONGAZ</v>
          </cell>
          <cell r="Q313" t="str">
            <v>/  /</v>
          </cell>
        </row>
        <row r="314">
          <cell r="A314">
            <v>3943823</v>
          </cell>
          <cell r="B314">
            <v>43784</v>
          </cell>
          <cell r="C314" t="str">
            <v>PON</v>
          </cell>
          <cell r="D314">
            <v>633078041</v>
          </cell>
          <cell r="E314" t="str">
            <v>CV C19R5 DscDA Di2 51CMBlk/Gph</v>
          </cell>
          <cell r="F314">
            <v>1</v>
          </cell>
          <cell r="G314">
            <v>0</v>
          </cell>
          <cell r="I314" t="str">
            <v>ID121</v>
          </cell>
          <cell r="L314">
            <v>12.6</v>
          </cell>
          <cell r="M314">
            <v>0.215</v>
          </cell>
          <cell r="N314" t="str">
            <v>5W</v>
          </cell>
          <cell r="P314" t="str">
            <v>PONCVL</v>
          </cell>
          <cell r="Q314" t="str">
            <v>/  /</v>
          </cell>
        </row>
        <row r="315">
          <cell r="A315">
            <v>4614013</v>
          </cell>
          <cell r="B315">
            <v>44203</v>
          </cell>
          <cell r="C315" t="str">
            <v>PON</v>
          </cell>
          <cell r="D315">
            <v>641073085</v>
          </cell>
          <cell r="E315" t="str">
            <v>C21 P5 Disc F/Set Orange/Chm54</v>
          </cell>
          <cell r="F315">
            <v>1</v>
          </cell>
          <cell r="G315">
            <v>0</v>
          </cell>
          <cell r="I315" t="str">
            <v>ID121</v>
          </cell>
          <cell r="L315">
            <v>8.6</v>
          </cell>
          <cell r="M315">
            <v>0.17199999999999999</v>
          </cell>
          <cell r="N315" t="str">
            <v>5W</v>
          </cell>
          <cell r="P315" t="str">
            <v>PONCVL</v>
          </cell>
          <cell r="Q315" t="str">
            <v>/  /</v>
          </cell>
        </row>
        <row r="316">
          <cell r="A316">
            <v>4614173</v>
          </cell>
          <cell r="B316">
            <v>44203</v>
          </cell>
          <cell r="C316" t="str">
            <v>PON</v>
          </cell>
          <cell r="D316">
            <v>641078189</v>
          </cell>
          <cell r="E316" t="str">
            <v>C21 P5 D/Ace Crbn/Blk/Slv 54</v>
          </cell>
          <cell r="F316">
            <v>1</v>
          </cell>
          <cell r="G316">
            <v>0</v>
          </cell>
          <cell r="I316" t="str">
            <v>ID121</v>
          </cell>
          <cell r="L316">
            <v>15.5</v>
          </cell>
          <cell r="M316">
            <v>0.26300000000000001</v>
          </cell>
          <cell r="N316" t="str">
            <v>5W</v>
          </cell>
          <cell r="P316" t="str">
            <v>PONCVL</v>
          </cell>
          <cell r="Q316" t="str">
            <v>/  /</v>
          </cell>
        </row>
        <row r="317">
          <cell r="A317">
            <v>4614174</v>
          </cell>
          <cell r="B317">
            <v>44203</v>
          </cell>
          <cell r="C317" t="str">
            <v>PON</v>
          </cell>
          <cell r="D317">
            <v>641078189</v>
          </cell>
          <cell r="E317" t="str">
            <v>C21 P5 D/Ace Crbn/Blk/Slv 54</v>
          </cell>
          <cell r="F317">
            <v>1</v>
          </cell>
          <cell r="G317">
            <v>0</v>
          </cell>
          <cell r="I317" t="str">
            <v>ID121</v>
          </cell>
          <cell r="L317">
            <v>15.5</v>
          </cell>
          <cell r="M317">
            <v>0.26300000000000001</v>
          </cell>
          <cell r="N317" t="str">
            <v>5W</v>
          </cell>
          <cell r="P317" t="str">
            <v>PONCVL</v>
          </cell>
          <cell r="Q317" t="str">
            <v>/  /</v>
          </cell>
        </row>
        <row r="318">
          <cell r="A318">
            <v>4614175</v>
          </cell>
          <cell r="B318">
            <v>44203</v>
          </cell>
          <cell r="C318" t="str">
            <v>PON</v>
          </cell>
          <cell r="D318">
            <v>641078189</v>
          </cell>
          <cell r="E318" t="str">
            <v>C21 P5 D/Ace Crbn/Blk/Slv 54</v>
          </cell>
          <cell r="F318">
            <v>1</v>
          </cell>
          <cell r="G318">
            <v>0</v>
          </cell>
          <cell r="I318" t="str">
            <v>ID121</v>
          </cell>
          <cell r="L318">
            <v>15.5</v>
          </cell>
          <cell r="M318">
            <v>0.26300000000000001</v>
          </cell>
          <cell r="N318" t="str">
            <v>5W</v>
          </cell>
          <cell r="P318" t="str">
            <v>PONCVL</v>
          </cell>
          <cell r="Q318" t="str">
            <v>/  /</v>
          </cell>
        </row>
        <row r="319">
          <cell r="A319">
            <v>4614169</v>
          </cell>
          <cell r="B319">
            <v>44203</v>
          </cell>
          <cell r="C319" t="str">
            <v>PON</v>
          </cell>
          <cell r="D319">
            <v>641078187</v>
          </cell>
          <cell r="E319" t="str">
            <v>C21 P5 D/Ace Crbn/Blk/Slv 48</v>
          </cell>
          <cell r="F319">
            <v>1</v>
          </cell>
          <cell r="G319">
            <v>0</v>
          </cell>
          <cell r="I319" t="str">
            <v>ID122</v>
          </cell>
          <cell r="L319">
            <v>15.4</v>
          </cell>
          <cell r="M319">
            <v>0.26300000000000001</v>
          </cell>
          <cell r="N319" t="str">
            <v>5W</v>
          </cell>
          <cell r="P319" t="str">
            <v>PONCVL</v>
          </cell>
          <cell r="Q319" t="str">
            <v>/  /</v>
          </cell>
        </row>
        <row r="320">
          <cell r="A320">
            <v>4089430</v>
          </cell>
          <cell r="B320">
            <v>43803</v>
          </cell>
          <cell r="C320" t="str">
            <v>PON</v>
          </cell>
          <cell r="D320">
            <v>633618540</v>
          </cell>
          <cell r="E320" t="str">
            <v>FC EBikeF19 P/Sqre 6.9 51S Slv</v>
          </cell>
          <cell r="F320">
            <v>1</v>
          </cell>
          <cell r="G320">
            <v>0</v>
          </cell>
          <cell r="I320" t="str">
            <v>ID124</v>
          </cell>
          <cell r="L320">
            <v>25</v>
          </cell>
          <cell r="M320">
            <v>0.58099999999999996</v>
          </cell>
          <cell r="N320" t="str">
            <v>5W</v>
          </cell>
          <cell r="P320" t="str">
            <v>PONFEB</v>
          </cell>
          <cell r="Q320" t="str">
            <v>/  /</v>
          </cell>
        </row>
        <row r="321">
          <cell r="A321">
            <v>4614011</v>
          </cell>
          <cell r="B321">
            <v>44203</v>
          </cell>
          <cell r="C321" t="str">
            <v>PON</v>
          </cell>
          <cell r="D321">
            <v>641073085</v>
          </cell>
          <cell r="E321" t="str">
            <v>C21 P5 Disc F/Set Orange/Chm54</v>
          </cell>
          <cell r="F321">
            <v>1</v>
          </cell>
          <cell r="G321">
            <v>0</v>
          </cell>
          <cell r="I321" t="str">
            <v>ID131</v>
          </cell>
          <cell r="L321">
            <v>8.6</v>
          </cell>
          <cell r="M321">
            <v>0.17199999999999999</v>
          </cell>
          <cell r="N321" t="str">
            <v>5W</v>
          </cell>
          <cell r="P321" t="str">
            <v>PONCVL</v>
          </cell>
          <cell r="Q321" t="str">
            <v>/  /</v>
          </cell>
        </row>
        <row r="322">
          <cell r="A322">
            <v>4614012</v>
          </cell>
          <cell r="B322">
            <v>44203</v>
          </cell>
          <cell r="C322" t="str">
            <v>PON</v>
          </cell>
          <cell r="D322">
            <v>641073085</v>
          </cell>
          <cell r="E322" t="str">
            <v>C21 P5 Disc F/Set Orange/Chm54</v>
          </cell>
          <cell r="F322">
            <v>1</v>
          </cell>
          <cell r="G322">
            <v>0</v>
          </cell>
          <cell r="I322" t="str">
            <v>ID131</v>
          </cell>
          <cell r="L322">
            <v>8.6</v>
          </cell>
          <cell r="M322">
            <v>0.17199999999999999</v>
          </cell>
          <cell r="N322" t="str">
            <v>5W</v>
          </cell>
          <cell r="P322" t="str">
            <v>PONCVL</v>
          </cell>
          <cell r="Q322" t="str">
            <v>/  /</v>
          </cell>
        </row>
        <row r="323">
          <cell r="A323">
            <v>4614166</v>
          </cell>
          <cell r="B323">
            <v>44203</v>
          </cell>
          <cell r="C323" t="str">
            <v>PON</v>
          </cell>
          <cell r="D323">
            <v>641073153</v>
          </cell>
          <cell r="E323" t="str">
            <v>C21 S5 Disc Cbn/Holographic 56</v>
          </cell>
          <cell r="F323">
            <v>1</v>
          </cell>
          <cell r="G323">
            <v>0</v>
          </cell>
          <cell r="I323" t="str">
            <v>ID132</v>
          </cell>
          <cell r="L323">
            <v>7</v>
          </cell>
          <cell r="M323">
            <v>0.16900000000000001</v>
          </cell>
          <cell r="N323" t="str">
            <v>5W</v>
          </cell>
          <cell r="P323" t="str">
            <v>PONCVL</v>
          </cell>
          <cell r="Q323" t="str">
            <v>/  /</v>
          </cell>
        </row>
        <row r="324">
          <cell r="A324">
            <v>4614167</v>
          </cell>
          <cell r="B324">
            <v>44203</v>
          </cell>
          <cell r="C324" t="str">
            <v>PON</v>
          </cell>
          <cell r="D324">
            <v>641073153</v>
          </cell>
          <cell r="E324" t="str">
            <v>C21 S5 Disc Cbn/Holographic 56</v>
          </cell>
          <cell r="F324">
            <v>1</v>
          </cell>
          <cell r="G324">
            <v>0</v>
          </cell>
          <cell r="I324" t="str">
            <v>ID132</v>
          </cell>
          <cell r="L324">
            <v>7</v>
          </cell>
          <cell r="M324">
            <v>0.16900000000000001</v>
          </cell>
          <cell r="N324" t="str">
            <v>5W</v>
          </cell>
          <cell r="P324" t="str">
            <v>PONCVL</v>
          </cell>
          <cell r="Q324" t="str">
            <v>/  /</v>
          </cell>
        </row>
        <row r="325">
          <cell r="A325">
            <v>4614115</v>
          </cell>
          <cell r="B325">
            <v>44203</v>
          </cell>
          <cell r="C325" t="str">
            <v>PON</v>
          </cell>
          <cell r="D325">
            <v>641073167</v>
          </cell>
          <cell r="E325" t="str">
            <v>C21 S5 Disc F/set Gy/Carbon 54</v>
          </cell>
          <cell r="F325">
            <v>1</v>
          </cell>
          <cell r="G325">
            <v>0</v>
          </cell>
          <cell r="I325" t="str">
            <v>ID132</v>
          </cell>
          <cell r="L325">
            <v>7.1</v>
          </cell>
          <cell r="M325">
            <v>0.17199999999999999</v>
          </cell>
          <cell r="N325" t="str">
            <v>5W</v>
          </cell>
          <cell r="P325" t="str">
            <v>PONCVL</v>
          </cell>
          <cell r="Q325" t="str">
            <v>/  /</v>
          </cell>
        </row>
        <row r="326">
          <cell r="A326">
            <v>4614116</v>
          </cell>
          <cell r="B326">
            <v>44203</v>
          </cell>
          <cell r="C326" t="str">
            <v>PON</v>
          </cell>
          <cell r="D326">
            <v>641073167</v>
          </cell>
          <cell r="E326" t="str">
            <v>C21 S5 Disc F/set Gy/Carbon 54</v>
          </cell>
          <cell r="F326">
            <v>1</v>
          </cell>
          <cell r="G326">
            <v>0</v>
          </cell>
          <cell r="I326" t="str">
            <v>ID132</v>
          </cell>
          <cell r="L326">
            <v>7.1</v>
          </cell>
          <cell r="M326">
            <v>0.17199999999999999</v>
          </cell>
          <cell r="N326" t="str">
            <v>5W</v>
          </cell>
          <cell r="P326" t="str">
            <v>PONCVL</v>
          </cell>
          <cell r="Q326" t="str">
            <v>/  /</v>
          </cell>
        </row>
        <row r="327">
          <cell r="A327">
            <v>4538408</v>
          </cell>
          <cell r="B327">
            <v>44160</v>
          </cell>
          <cell r="C327" t="str">
            <v>PON</v>
          </cell>
          <cell r="D327">
            <v>637518151</v>
          </cell>
          <cell r="E327" t="str">
            <v>F20 JAM2 6.7 NINE 42M BLUE BSH</v>
          </cell>
          <cell r="F327">
            <v>1</v>
          </cell>
          <cell r="G327">
            <v>0</v>
          </cell>
          <cell r="I327" t="str">
            <v>ID133</v>
          </cell>
          <cell r="L327">
            <v>32.6</v>
          </cell>
          <cell r="M327">
            <v>0.58099999999999996</v>
          </cell>
          <cell r="N327" t="str">
            <v>5W</v>
          </cell>
          <cell r="P327" t="str">
            <v>PONFCS</v>
          </cell>
          <cell r="Q327" t="str">
            <v>/  /</v>
          </cell>
        </row>
        <row r="328">
          <cell r="A328">
            <v>4365420</v>
          </cell>
          <cell r="B328">
            <v>44054</v>
          </cell>
          <cell r="C328" t="str">
            <v>PON</v>
          </cell>
          <cell r="D328">
            <v>637529012</v>
          </cell>
          <cell r="E328" t="str">
            <v>K20 Endeavour 7.B Pure 56L TR</v>
          </cell>
          <cell r="F328">
            <v>1</v>
          </cell>
          <cell r="G328">
            <v>0</v>
          </cell>
          <cell r="I328" t="str">
            <v>ID133</v>
          </cell>
          <cell r="L328">
            <v>33.700000000000003</v>
          </cell>
          <cell r="M328">
            <v>0.57799999999999996</v>
          </cell>
          <cell r="N328" t="str">
            <v>5W</v>
          </cell>
          <cell r="P328" t="str">
            <v>PONFCS</v>
          </cell>
          <cell r="Q328" t="str">
            <v>/  /</v>
          </cell>
        </row>
        <row r="329">
          <cell r="A329">
            <v>4541401</v>
          </cell>
          <cell r="B329">
            <v>44160</v>
          </cell>
          <cell r="C329" t="str">
            <v>PON</v>
          </cell>
          <cell r="D329">
            <v>637529081</v>
          </cell>
          <cell r="E329" t="str">
            <v>K21 Endeavour 7.B Move M 48 Di</v>
          </cell>
          <cell r="F329">
            <v>1</v>
          </cell>
          <cell r="G329">
            <v>0</v>
          </cell>
          <cell r="I329" t="str">
            <v>ID134</v>
          </cell>
          <cell r="L329">
            <v>34.5</v>
          </cell>
          <cell r="M329">
            <v>0.57299999999999995</v>
          </cell>
          <cell r="N329" t="str">
            <v>5W</v>
          </cell>
          <cell r="P329" t="str">
            <v>PONFCS</v>
          </cell>
          <cell r="Q329" t="str">
            <v>/  /</v>
          </cell>
        </row>
        <row r="330">
          <cell r="A330">
            <v>4541402</v>
          </cell>
          <cell r="B330">
            <v>44160</v>
          </cell>
          <cell r="C330" t="str">
            <v>PON</v>
          </cell>
          <cell r="D330">
            <v>637529081</v>
          </cell>
          <cell r="E330" t="str">
            <v>K21 Endeavour 7.B Move M 48 Di</v>
          </cell>
          <cell r="F330">
            <v>1</v>
          </cell>
          <cell r="G330">
            <v>0</v>
          </cell>
          <cell r="I330" t="str">
            <v>ID134</v>
          </cell>
          <cell r="L330">
            <v>34.5</v>
          </cell>
          <cell r="M330">
            <v>0.57299999999999995</v>
          </cell>
          <cell r="N330" t="str">
            <v>5W</v>
          </cell>
          <cell r="P330" t="str">
            <v>PONFCS</v>
          </cell>
          <cell r="Q330" t="str">
            <v>/  /</v>
          </cell>
        </row>
        <row r="331">
          <cell r="A331">
            <v>4541403</v>
          </cell>
          <cell r="B331">
            <v>44160</v>
          </cell>
          <cell r="C331" t="str">
            <v>PON</v>
          </cell>
          <cell r="D331">
            <v>637529081</v>
          </cell>
          <cell r="E331" t="str">
            <v>K21 Endeavour 7.B Move M 48 Di</v>
          </cell>
          <cell r="F331">
            <v>1</v>
          </cell>
          <cell r="G331">
            <v>0</v>
          </cell>
          <cell r="I331" t="str">
            <v>ID134</v>
          </cell>
          <cell r="L331">
            <v>34.5</v>
          </cell>
          <cell r="M331">
            <v>0.57299999999999995</v>
          </cell>
          <cell r="N331" t="str">
            <v>5W</v>
          </cell>
          <cell r="P331" t="str">
            <v>PONFCS</v>
          </cell>
          <cell r="Q331" t="str">
            <v>/  /</v>
          </cell>
        </row>
        <row r="332">
          <cell r="A332">
            <v>4541404</v>
          </cell>
          <cell r="B332">
            <v>44160</v>
          </cell>
          <cell r="C332" t="str">
            <v>PON</v>
          </cell>
          <cell r="D332">
            <v>637529081</v>
          </cell>
          <cell r="E332" t="str">
            <v>K21 Endeavour 7.B Move M 48 Di</v>
          </cell>
          <cell r="F332">
            <v>1</v>
          </cell>
          <cell r="G332">
            <v>0</v>
          </cell>
          <cell r="I332" t="str">
            <v>ID134</v>
          </cell>
          <cell r="L332">
            <v>34.5</v>
          </cell>
          <cell r="M332">
            <v>0.57299999999999995</v>
          </cell>
          <cell r="N332" t="str">
            <v>5W</v>
          </cell>
          <cell r="P332" t="str">
            <v>PONFCS</v>
          </cell>
          <cell r="Q332" t="str">
            <v>/  /</v>
          </cell>
        </row>
        <row r="333">
          <cell r="A333">
            <v>4614618</v>
          </cell>
          <cell r="B333">
            <v>44203</v>
          </cell>
          <cell r="C333" t="str">
            <v>PON</v>
          </cell>
          <cell r="D333">
            <v>641073151</v>
          </cell>
          <cell r="E333" t="str">
            <v>C21 S5 Disc Cbn/Holographic 51</v>
          </cell>
          <cell r="F333">
            <v>1</v>
          </cell>
          <cell r="G333">
            <v>0</v>
          </cell>
          <cell r="I333" t="str">
            <v>ID141</v>
          </cell>
          <cell r="L333">
            <v>7</v>
          </cell>
          <cell r="M333">
            <v>0.16900000000000001</v>
          </cell>
          <cell r="N333" t="str">
            <v>5W</v>
          </cell>
          <cell r="P333" t="str">
            <v>PONCVL</v>
          </cell>
          <cell r="Q333" t="str">
            <v>/  /</v>
          </cell>
        </row>
        <row r="334">
          <cell r="A334">
            <v>4614032</v>
          </cell>
          <cell r="B334">
            <v>44203</v>
          </cell>
          <cell r="C334" t="str">
            <v>PON</v>
          </cell>
          <cell r="D334">
            <v>641078195</v>
          </cell>
          <cell r="E334" t="str">
            <v>C21 P5 Disc F/E/A Orng/Cham 56</v>
          </cell>
          <cell r="F334">
            <v>1</v>
          </cell>
          <cell r="G334">
            <v>0</v>
          </cell>
          <cell r="I334" t="str">
            <v>ID141</v>
          </cell>
          <cell r="L334">
            <v>15.8</v>
          </cell>
          <cell r="M334">
            <v>0.26500000000000001</v>
          </cell>
          <cell r="N334" t="str">
            <v>5W</v>
          </cell>
          <cell r="P334" t="str">
            <v>PONCVL</v>
          </cell>
          <cell r="Q334" t="str">
            <v>/  /</v>
          </cell>
        </row>
        <row r="335">
          <cell r="A335">
            <v>4614033</v>
          </cell>
          <cell r="B335">
            <v>44203</v>
          </cell>
          <cell r="C335" t="str">
            <v>PON</v>
          </cell>
          <cell r="D335">
            <v>641078195</v>
          </cell>
          <cell r="E335" t="str">
            <v>C21 P5 Disc F/E/A Orng/Cham 56</v>
          </cell>
          <cell r="F335">
            <v>1</v>
          </cell>
          <cell r="G335">
            <v>0</v>
          </cell>
          <cell r="I335" t="str">
            <v>ID141</v>
          </cell>
          <cell r="L335">
            <v>15.8</v>
          </cell>
          <cell r="M335">
            <v>0.26500000000000001</v>
          </cell>
          <cell r="N335" t="str">
            <v>5W</v>
          </cell>
          <cell r="P335" t="str">
            <v>PONCVL</v>
          </cell>
          <cell r="Q335" t="str">
            <v>/  /</v>
          </cell>
        </row>
        <row r="336">
          <cell r="A336">
            <v>4614617</v>
          </cell>
          <cell r="B336">
            <v>44203</v>
          </cell>
          <cell r="C336" t="str">
            <v>PON</v>
          </cell>
          <cell r="D336">
            <v>641073151</v>
          </cell>
          <cell r="E336" t="str">
            <v>C21 S5 Disc Cbn/Holographic 51</v>
          </cell>
          <cell r="F336">
            <v>1</v>
          </cell>
          <cell r="G336">
            <v>0</v>
          </cell>
          <cell r="I336" t="str">
            <v>ID142</v>
          </cell>
          <cell r="L336">
            <v>7</v>
          </cell>
          <cell r="M336">
            <v>0.16900000000000001</v>
          </cell>
          <cell r="N336" t="str">
            <v>5W</v>
          </cell>
          <cell r="P336" t="str">
            <v>PONCVL</v>
          </cell>
          <cell r="Q336" t="str">
            <v>/  /</v>
          </cell>
        </row>
        <row r="337">
          <cell r="A337">
            <v>4614025</v>
          </cell>
          <cell r="B337">
            <v>44203</v>
          </cell>
          <cell r="C337" t="str">
            <v>PON</v>
          </cell>
          <cell r="D337">
            <v>641078194</v>
          </cell>
          <cell r="E337" t="str">
            <v>C21 P5 Disc F/E/A Orng/Cham 54</v>
          </cell>
          <cell r="F337">
            <v>1</v>
          </cell>
          <cell r="G337">
            <v>0</v>
          </cell>
          <cell r="I337" t="str">
            <v>ID142</v>
          </cell>
          <cell r="L337">
            <v>15.8</v>
          </cell>
          <cell r="M337">
            <v>0.26500000000000001</v>
          </cell>
          <cell r="N337" t="str">
            <v>5W</v>
          </cell>
          <cell r="P337" t="str">
            <v>PONCVL</v>
          </cell>
          <cell r="Q337" t="str">
            <v>/  /</v>
          </cell>
        </row>
        <row r="338">
          <cell r="A338">
            <v>4614026</v>
          </cell>
          <cell r="B338">
            <v>44203</v>
          </cell>
          <cell r="C338" t="str">
            <v>PON</v>
          </cell>
          <cell r="D338">
            <v>641078194</v>
          </cell>
          <cell r="E338" t="str">
            <v>C21 P5 Disc F/E/A Orng/Cham 54</v>
          </cell>
          <cell r="F338">
            <v>1</v>
          </cell>
          <cell r="G338">
            <v>0</v>
          </cell>
          <cell r="I338" t="str">
            <v>ID142</v>
          </cell>
          <cell r="L338">
            <v>15.8</v>
          </cell>
          <cell r="M338">
            <v>0.26500000000000001</v>
          </cell>
          <cell r="N338" t="str">
            <v>5W</v>
          </cell>
          <cell r="P338" t="str">
            <v>PONCVL</v>
          </cell>
          <cell r="Q338" t="str">
            <v>/  /</v>
          </cell>
        </row>
        <row r="339">
          <cell r="A339">
            <v>4614027</v>
          </cell>
          <cell r="B339">
            <v>44203</v>
          </cell>
          <cell r="C339" t="str">
            <v>PON</v>
          </cell>
          <cell r="D339">
            <v>641078194</v>
          </cell>
          <cell r="E339" t="str">
            <v>C21 P5 Disc F/E/A Orng/Cham 54</v>
          </cell>
          <cell r="F339">
            <v>1</v>
          </cell>
          <cell r="G339">
            <v>0</v>
          </cell>
          <cell r="I339" t="str">
            <v>ID142</v>
          </cell>
          <cell r="L339">
            <v>15.8</v>
          </cell>
          <cell r="M339">
            <v>0.26500000000000001</v>
          </cell>
          <cell r="N339" t="str">
            <v>5W</v>
          </cell>
          <cell r="P339" t="str">
            <v>PONCVL</v>
          </cell>
          <cell r="Q339" t="str">
            <v>/  /</v>
          </cell>
        </row>
        <row r="340">
          <cell r="A340">
            <v>4541366</v>
          </cell>
          <cell r="B340">
            <v>44160</v>
          </cell>
          <cell r="C340" t="str">
            <v>PON</v>
          </cell>
          <cell r="D340">
            <v>637526050</v>
          </cell>
          <cell r="E340" t="str">
            <v>K21 ENDV 1.B MOVE 400 S 45</v>
          </cell>
          <cell r="F340">
            <v>1</v>
          </cell>
          <cell r="G340">
            <v>0</v>
          </cell>
          <cell r="I340" t="str">
            <v>ID143</v>
          </cell>
          <cell r="L340">
            <v>31.2</v>
          </cell>
          <cell r="M340">
            <v>0.57799999999999996</v>
          </cell>
          <cell r="N340" t="str">
            <v>5W</v>
          </cell>
          <cell r="P340" t="str">
            <v>PONFCS</v>
          </cell>
          <cell r="Q340" t="str">
            <v>/  /</v>
          </cell>
        </row>
        <row r="341">
          <cell r="A341">
            <v>4365421</v>
          </cell>
          <cell r="B341">
            <v>44054</v>
          </cell>
          <cell r="C341" t="str">
            <v>PON</v>
          </cell>
          <cell r="D341">
            <v>637529012</v>
          </cell>
          <cell r="E341" t="str">
            <v>K20 Endeavour 7.B Pure 56L TR</v>
          </cell>
          <cell r="F341">
            <v>1</v>
          </cell>
          <cell r="G341">
            <v>0</v>
          </cell>
          <cell r="I341" t="str">
            <v>ID143</v>
          </cell>
          <cell r="L341">
            <v>33.700000000000003</v>
          </cell>
          <cell r="M341">
            <v>0.57799999999999996</v>
          </cell>
          <cell r="N341" t="str">
            <v>5W</v>
          </cell>
          <cell r="P341" t="str">
            <v>PONFCS</v>
          </cell>
          <cell r="Q341" t="str">
            <v>/  /</v>
          </cell>
        </row>
        <row r="342">
          <cell r="A342">
            <v>4365422</v>
          </cell>
          <cell r="B342">
            <v>44054</v>
          </cell>
          <cell r="C342" t="str">
            <v>PON</v>
          </cell>
          <cell r="D342">
            <v>637529012</v>
          </cell>
          <cell r="E342" t="str">
            <v>K20 Endeavour 7.B Pure 56L TR</v>
          </cell>
          <cell r="F342">
            <v>1</v>
          </cell>
          <cell r="G342">
            <v>0</v>
          </cell>
          <cell r="I342" t="str">
            <v>ID143</v>
          </cell>
          <cell r="L342">
            <v>33.700000000000003</v>
          </cell>
          <cell r="M342">
            <v>0.57799999999999996</v>
          </cell>
          <cell r="N342" t="str">
            <v>5W</v>
          </cell>
          <cell r="P342" t="str">
            <v>PONFCS</v>
          </cell>
          <cell r="Q342" t="str">
            <v>/  /</v>
          </cell>
        </row>
        <row r="343">
          <cell r="A343">
            <v>4023689</v>
          </cell>
          <cell r="B343">
            <v>43840</v>
          </cell>
          <cell r="C343" t="str">
            <v>PON</v>
          </cell>
          <cell r="D343">
            <v>633728532</v>
          </cell>
          <cell r="E343" t="str">
            <v>FC EBikeF19 P/Sqre 9.6 57L Red</v>
          </cell>
          <cell r="F343">
            <v>1</v>
          </cell>
          <cell r="G343">
            <v>0</v>
          </cell>
          <cell r="I343" t="str">
            <v>ID144</v>
          </cell>
          <cell r="L343">
            <v>23.6</v>
          </cell>
          <cell r="M343">
            <v>0.58099999999999996</v>
          </cell>
          <cell r="N343" t="str">
            <v>5W</v>
          </cell>
          <cell r="P343" t="str">
            <v>PONFEB</v>
          </cell>
          <cell r="Q343" t="str">
            <v>/  /</v>
          </cell>
        </row>
        <row r="344">
          <cell r="A344">
            <v>4613993</v>
          </cell>
          <cell r="B344">
            <v>44203</v>
          </cell>
          <cell r="C344" t="str">
            <v>PON</v>
          </cell>
          <cell r="D344">
            <v>641078121</v>
          </cell>
          <cell r="E344" t="str">
            <v>C21 Cal 5 R ET Blue Crbn 51</v>
          </cell>
          <cell r="F344">
            <v>1</v>
          </cell>
          <cell r="G344">
            <v>0</v>
          </cell>
          <cell r="I344" t="str">
            <v>ID151</v>
          </cell>
          <cell r="L344">
            <v>13.3</v>
          </cell>
          <cell r="M344">
            <v>0.26500000000000001</v>
          </cell>
          <cell r="N344" t="str">
            <v>5W</v>
          </cell>
          <cell r="P344" t="str">
            <v>PONCVL</v>
          </cell>
          <cell r="Q344" t="str">
            <v>/  /</v>
          </cell>
        </row>
        <row r="345">
          <cell r="A345">
            <v>4614029</v>
          </cell>
          <cell r="B345">
            <v>44203</v>
          </cell>
          <cell r="C345" t="str">
            <v>PON</v>
          </cell>
          <cell r="D345">
            <v>641078195</v>
          </cell>
          <cell r="E345" t="str">
            <v>C21 P5 Disc F/E/A Orng/Cham 56</v>
          </cell>
          <cell r="F345">
            <v>1</v>
          </cell>
          <cell r="G345">
            <v>0</v>
          </cell>
          <cell r="I345" t="str">
            <v>ID151</v>
          </cell>
          <cell r="L345">
            <v>15.8</v>
          </cell>
          <cell r="M345">
            <v>0.26500000000000001</v>
          </cell>
          <cell r="N345" t="str">
            <v>5W</v>
          </cell>
          <cell r="P345" t="str">
            <v>PONCVL</v>
          </cell>
          <cell r="Q345" t="str">
            <v>/  /</v>
          </cell>
        </row>
        <row r="346">
          <cell r="A346">
            <v>4614030</v>
          </cell>
          <cell r="B346">
            <v>44203</v>
          </cell>
          <cell r="C346" t="str">
            <v>PON</v>
          </cell>
          <cell r="D346">
            <v>641078195</v>
          </cell>
          <cell r="E346" t="str">
            <v>C21 P5 Disc F/E/A Orng/Cham 56</v>
          </cell>
          <cell r="F346">
            <v>1</v>
          </cell>
          <cell r="G346">
            <v>0</v>
          </cell>
          <cell r="I346" t="str">
            <v>ID151</v>
          </cell>
          <cell r="L346">
            <v>15.8</v>
          </cell>
          <cell r="M346">
            <v>0.26500000000000001</v>
          </cell>
          <cell r="N346" t="str">
            <v>5W</v>
          </cell>
          <cell r="P346" t="str">
            <v>PONCVL</v>
          </cell>
          <cell r="Q346" t="str">
            <v>/  /</v>
          </cell>
        </row>
        <row r="347">
          <cell r="A347">
            <v>4413242</v>
          </cell>
          <cell r="B347">
            <v>44082</v>
          </cell>
          <cell r="C347" t="str">
            <v>PON</v>
          </cell>
          <cell r="D347">
            <v>641078103</v>
          </cell>
          <cell r="E347" t="str">
            <v>C21 Calednia UltDI2 Blk/Wht 51</v>
          </cell>
          <cell r="F347">
            <v>1</v>
          </cell>
          <cell r="G347">
            <v>0</v>
          </cell>
          <cell r="I347" t="str">
            <v>ID152</v>
          </cell>
          <cell r="L347">
            <v>14.1</v>
          </cell>
          <cell r="M347">
            <v>0.23300000000000001</v>
          </cell>
          <cell r="N347" t="str">
            <v>5W</v>
          </cell>
          <cell r="P347" t="str">
            <v>PONCVL</v>
          </cell>
          <cell r="Q347" t="str">
            <v>/  /</v>
          </cell>
        </row>
        <row r="348">
          <cell r="A348">
            <v>4413243</v>
          </cell>
          <cell r="B348">
            <v>44082</v>
          </cell>
          <cell r="C348" t="str">
            <v>PON</v>
          </cell>
          <cell r="D348">
            <v>641078103</v>
          </cell>
          <cell r="E348" t="str">
            <v>C21 Calednia UltDI2 Blk/Wht 51</v>
          </cell>
          <cell r="F348">
            <v>1</v>
          </cell>
          <cell r="G348">
            <v>0</v>
          </cell>
          <cell r="I348" t="str">
            <v>ID152</v>
          </cell>
          <cell r="L348">
            <v>14.1</v>
          </cell>
          <cell r="M348">
            <v>0.23300000000000001</v>
          </cell>
          <cell r="N348" t="str">
            <v>5W</v>
          </cell>
          <cell r="P348" t="str">
            <v>PONCVL</v>
          </cell>
          <cell r="Q348" t="str">
            <v>/  /</v>
          </cell>
        </row>
        <row r="349">
          <cell r="A349">
            <v>4413244</v>
          </cell>
          <cell r="B349">
            <v>44082</v>
          </cell>
          <cell r="C349" t="str">
            <v>PON</v>
          </cell>
          <cell r="D349">
            <v>641078103</v>
          </cell>
          <cell r="E349" t="str">
            <v>C21 Calednia UltDI2 Blk/Wht 51</v>
          </cell>
          <cell r="F349">
            <v>1</v>
          </cell>
          <cell r="G349">
            <v>0</v>
          </cell>
          <cell r="I349" t="str">
            <v>ID152</v>
          </cell>
          <cell r="L349">
            <v>14.1</v>
          </cell>
          <cell r="M349">
            <v>0.23300000000000001</v>
          </cell>
          <cell r="N349" t="str">
            <v>5W</v>
          </cell>
          <cell r="P349" t="str">
            <v>PONCVL</v>
          </cell>
          <cell r="Q349" t="str">
            <v>/  /</v>
          </cell>
        </row>
        <row r="350">
          <cell r="A350">
            <v>4547346</v>
          </cell>
          <cell r="B350">
            <v>44162</v>
          </cell>
          <cell r="C350" t="str">
            <v>PON</v>
          </cell>
          <cell r="D350">
            <v>637518021</v>
          </cell>
          <cell r="E350" t="str">
            <v>F20 Thron2 6.8 44M Grey</v>
          </cell>
          <cell r="F350">
            <v>1</v>
          </cell>
          <cell r="G350">
            <v>0</v>
          </cell>
          <cell r="I350" t="str">
            <v>ID153</v>
          </cell>
          <cell r="L350">
            <v>33</v>
          </cell>
          <cell r="M350">
            <v>0.58099999999999996</v>
          </cell>
          <cell r="N350" t="str">
            <v>5W</v>
          </cell>
          <cell r="P350" t="str">
            <v>PONFCS</v>
          </cell>
          <cell r="Q350" t="str">
            <v>/  /</v>
          </cell>
        </row>
        <row r="351">
          <cell r="A351">
            <v>4541367</v>
          </cell>
          <cell r="B351">
            <v>44160</v>
          </cell>
          <cell r="C351" t="str">
            <v>PON</v>
          </cell>
          <cell r="D351">
            <v>637526050</v>
          </cell>
          <cell r="E351" t="str">
            <v>K21 ENDV 1.B MOVE 400 S 45</v>
          </cell>
          <cell r="F351">
            <v>1</v>
          </cell>
          <cell r="G351">
            <v>0</v>
          </cell>
          <cell r="I351" t="str">
            <v>ID153</v>
          </cell>
          <cell r="L351">
            <v>31.2</v>
          </cell>
          <cell r="M351">
            <v>0.57799999999999996</v>
          </cell>
          <cell r="N351" t="str">
            <v>5W</v>
          </cell>
          <cell r="P351" t="str">
            <v>PONFCS</v>
          </cell>
          <cell r="Q351" t="str">
            <v>/  /</v>
          </cell>
        </row>
        <row r="352">
          <cell r="A352">
            <v>4365389</v>
          </cell>
          <cell r="B352">
            <v>44054</v>
          </cell>
          <cell r="C352" t="str">
            <v>PON</v>
          </cell>
          <cell r="D352">
            <v>637526050</v>
          </cell>
          <cell r="E352" t="str">
            <v>K21 ENDV 1.B MOVE 400 S 45</v>
          </cell>
          <cell r="F352">
            <v>1</v>
          </cell>
          <cell r="G352">
            <v>0</v>
          </cell>
          <cell r="I352" t="str">
            <v>ID154</v>
          </cell>
          <cell r="L352">
            <v>31.2</v>
          </cell>
          <cell r="M352">
            <v>0.57799999999999996</v>
          </cell>
          <cell r="N352" t="str">
            <v>5W</v>
          </cell>
          <cell r="P352" t="str">
            <v>PONFCS</v>
          </cell>
          <cell r="Q352" t="str">
            <v>/  /</v>
          </cell>
        </row>
        <row r="353">
          <cell r="A353">
            <v>4365390</v>
          </cell>
          <cell r="B353">
            <v>44054</v>
          </cell>
          <cell r="C353" t="str">
            <v>PON</v>
          </cell>
          <cell r="D353">
            <v>637526050</v>
          </cell>
          <cell r="E353" t="str">
            <v>K21 ENDV 1.B MOVE 400 S 45</v>
          </cell>
          <cell r="F353">
            <v>1</v>
          </cell>
          <cell r="G353">
            <v>0</v>
          </cell>
          <cell r="I353" t="str">
            <v>ID154</v>
          </cell>
          <cell r="L353">
            <v>31.2</v>
          </cell>
          <cell r="M353">
            <v>0.57799999999999996</v>
          </cell>
          <cell r="N353" t="str">
            <v>5W</v>
          </cell>
          <cell r="P353" t="str">
            <v>PONFCS</v>
          </cell>
          <cell r="Q353" t="str">
            <v>/  /</v>
          </cell>
        </row>
        <row r="354">
          <cell r="A354">
            <v>4365391</v>
          </cell>
          <cell r="B354">
            <v>44054</v>
          </cell>
          <cell r="C354" t="str">
            <v>PON</v>
          </cell>
          <cell r="D354">
            <v>637526050</v>
          </cell>
          <cell r="E354" t="str">
            <v>K21 ENDV 1.B MOVE 400 S 45</v>
          </cell>
          <cell r="F354">
            <v>1</v>
          </cell>
          <cell r="G354">
            <v>0</v>
          </cell>
          <cell r="I354" t="str">
            <v>ID154</v>
          </cell>
          <cell r="L354">
            <v>31.2</v>
          </cell>
          <cell r="M354">
            <v>0.57799999999999996</v>
          </cell>
          <cell r="N354" t="str">
            <v>5W</v>
          </cell>
          <cell r="P354" t="str">
            <v>PONFCS</v>
          </cell>
          <cell r="Q354" t="str">
            <v>/  /</v>
          </cell>
        </row>
        <row r="355">
          <cell r="A355">
            <v>4365392</v>
          </cell>
          <cell r="B355">
            <v>44054</v>
          </cell>
          <cell r="C355" t="str">
            <v>PON</v>
          </cell>
          <cell r="D355">
            <v>637526050</v>
          </cell>
          <cell r="E355" t="str">
            <v>K21 ENDV 1.B MOVE 400 S 45</v>
          </cell>
          <cell r="F355">
            <v>1</v>
          </cell>
          <cell r="G355">
            <v>0</v>
          </cell>
          <cell r="I355" t="str">
            <v>ID154</v>
          </cell>
          <cell r="L355">
            <v>31.2</v>
          </cell>
          <cell r="M355">
            <v>0.57799999999999996</v>
          </cell>
          <cell r="N355" t="str">
            <v>5W</v>
          </cell>
          <cell r="P355" t="str">
            <v>PONFCS</v>
          </cell>
          <cell r="Q355" t="str">
            <v>/  /</v>
          </cell>
        </row>
        <row r="356">
          <cell r="A356">
            <v>4614016</v>
          </cell>
          <cell r="B356">
            <v>44203</v>
          </cell>
          <cell r="C356" t="str">
            <v>PON</v>
          </cell>
          <cell r="D356">
            <v>641078192</v>
          </cell>
          <cell r="E356" t="str">
            <v>C21 P5 Disc F/E/A Orng/Cham 48</v>
          </cell>
          <cell r="F356">
            <v>1</v>
          </cell>
          <cell r="G356">
            <v>0</v>
          </cell>
          <cell r="I356" t="str">
            <v>ID161</v>
          </cell>
          <cell r="L356">
            <v>15.7</v>
          </cell>
          <cell r="M356">
            <v>0.26500000000000001</v>
          </cell>
          <cell r="N356" t="str">
            <v>5W</v>
          </cell>
          <cell r="P356" t="str">
            <v>PONCVL</v>
          </cell>
          <cell r="Q356" t="str">
            <v>/  /</v>
          </cell>
        </row>
        <row r="357">
          <cell r="A357">
            <v>4614186</v>
          </cell>
          <cell r="B357">
            <v>44203</v>
          </cell>
          <cell r="C357" t="str">
            <v>PON</v>
          </cell>
          <cell r="D357">
            <v>641078198</v>
          </cell>
          <cell r="E357" t="str">
            <v>C21 P5 Disc Ult Cbn/Moss/Wht51</v>
          </cell>
          <cell r="F357">
            <v>1</v>
          </cell>
          <cell r="G357">
            <v>0</v>
          </cell>
          <cell r="I357" t="str">
            <v>ID161</v>
          </cell>
          <cell r="L357">
            <v>15.6</v>
          </cell>
          <cell r="M357">
            <v>0.26300000000000001</v>
          </cell>
          <cell r="N357" t="str">
            <v>5W</v>
          </cell>
          <cell r="P357" t="str">
            <v>PONCVL</v>
          </cell>
          <cell r="Q357" t="str">
            <v>/  /</v>
          </cell>
        </row>
        <row r="358">
          <cell r="A358">
            <v>3855719</v>
          </cell>
          <cell r="B358">
            <v>43727</v>
          </cell>
          <cell r="C358" t="str">
            <v>PON</v>
          </cell>
          <cell r="D358">
            <v>637078301</v>
          </cell>
          <cell r="E358" t="str">
            <v>CVC20 PXSeries DADi2 XLTealNvy</v>
          </cell>
          <cell r="F358">
            <v>1</v>
          </cell>
          <cell r="G358">
            <v>0</v>
          </cell>
          <cell r="I358" t="str">
            <v>ID162</v>
          </cell>
          <cell r="L358">
            <v>16.7</v>
          </cell>
          <cell r="M358">
            <v>0.245</v>
          </cell>
          <cell r="N358" t="str">
            <v>5W</v>
          </cell>
          <cell r="P358" t="str">
            <v>PONCVL</v>
          </cell>
          <cell r="Q358" t="str">
            <v>/  /</v>
          </cell>
        </row>
        <row r="359">
          <cell r="A359">
            <v>4614003</v>
          </cell>
          <cell r="B359">
            <v>44203</v>
          </cell>
          <cell r="C359" t="str">
            <v>PON</v>
          </cell>
          <cell r="D359">
            <v>641078123</v>
          </cell>
          <cell r="E359" t="str">
            <v>C21 Cal 5 R ET Blue Crbn 56</v>
          </cell>
          <cell r="F359">
            <v>1</v>
          </cell>
          <cell r="G359">
            <v>0</v>
          </cell>
          <cell r="I359" t="str">
            <v>ID162</v>
          </cell>
          <cell r="L359">
            <v>13.3</v>
          </cell>
          <cell r="M359">
            <v>0.26300000000000001</v>
          </cell>
          <cell r="N359" t="str">
            <v>5W</v>
          </cell>
          <cell r="P359" t="str">
            <v>PONCVL</v>
          </cell>
          <cell r="Q359" t="str">
            <v>/  /</v>
          </cell>
        </row>
        <row r="360">
          <cell r="A360">
            <v>4614004</v>
          </cell>
          <cell r="B360">
            <v>44203</v>
          </cell>
          <cell r="C360" t="str">
            <v>PON</v>
          </cell>
          <cell r="D360">
            <v>641078123</v>
          </cell>
          <cell r="E360" t="str">
            <v>C21 Cal 5 R ET Blue Crbn 56</v>
          </cell>
          <cell r="F360">
            <v>1</v>
          </cell>
          <cell r="G360">
            <v>0</v>
          </cell>
          <cell r="I360" t="str">
            <v>ID162</v>
          </cell>
          <cell r="L360">
            <v>13.3</v>
          </cell>
          <cell r="M360">
            <v>0.26300000000000001</v>
          </cell>
          <cell r="N360" t="str">
            <v>5W</v>
          </cell>
          <cell r="P360" t="str">
            <v>PONCVL</v>
          </cell>
          <cell r="Q360" t="str">
            <v>/  /</v>
          </cell>
        </row>
        <row r="361">
          <cell r="A361">
            <v>4541376</v>
          </cell>
          <cell r="B361">
            <v>44160</v>
          </cell>
          <cell r="C361" t="str">
            <v>PON</v>
          </cell>
          <cell r="D361">
            <v>637527068</v>
          </cell>
          <cell r="E361" t="str">
            <v>K21 End 1.B Move 500L Grey</v>
          </cell>
          <cell r="F361">
            <v>1</v>
          </cell>
          <cell r="G361">
            <v>0</v>
          </cell>
          <cell r="I361" t="str">
            <v>ID164</v>
          </cell>
          <cell r="L361">
            <v>32</v>
          </cell>
          <cell r="M361">
            <v>0.54800000000000004</v>
          </cell>
          <cell r="N361" t="str">
            <v>5W</v>
          </cell>
          <cell r="P361" t="str">
            <v>PONFCS</v>
          </cell>
          <cell r="Q361" t="str">
            <v>/  /</v>
          </cell>
        </row>
        <row r="362">
          <cell r="A362">
            <v>4541377</v>
          </cell>
          <cell r="B362">
            <v>44160</v>
          </cell>
          <cell r="C362" t="str">
            <v>PON</v>
          </cell>
          <cell r="D362">
            <v>637527068</v>
          </cell>
          <cell r="E362" t="str">
            <v>K21 End 1.B Move 500L Grey</v>
          </cell>
          <cell r="F362">
            <v>1</v>
          </cell>
          <cell r="G362">
            <v>0</v>
          </cell>
          <cell r="I362" t="str">
            <v>ID164</v>
          </cell>
          <cell r="L362">
            <v>32</v>
          </cell>
          <cell r="M362">
            <v>0.54800000000000004</v>
          </cell>
          <cell r="N362" t="str">
            <v>5W</v>
          </cell>
          <cell r="P362" t="str">
            <v>PONFCS</v>
          </cell>
          <cell r="Q362" t="str">
            <v>/  /</v>
          </cell>
        </row>
        <row r="363">
          <cell r="A363">
            <v>4541378</v>
          </cell>
          <cell r="B363">
            <v>44160</v>
          </cell>
          <cell r="C363" t="str">
            <v>PON</v>
          </cell>
          <cell r="D363">
            <v>637527068</v>
          </cell>
          <cell r="E363" t="str">
            <v>K21 End 1.B Move 500L Grey</v>
          </cell>
          <cell r="F363">
            <v>1</v>
          </cell>
          <cell r="G363">
            <v>0</v>
          </cell>
          <cell r="I363" t="str">
            <v>ID164</v>
          </cell>
          <cell r="L363">
            <v>32</v>
          </cell>
          <cell r="M363">
            <v>0.54800000000000004</v>
          </cell>
          <cell r="N363" t="str">
            <v>5W</v>
          </cell>
          <cell r="P363" t="str">
            <v>PONFCS</v>
          </cell>
          <cell r="Q363" t="str">
            <v>/  /</v>
          </cell>
        </row>
        <row r="364">
          <cell r="A364">
            <v>4541379</v>
          </cell>
          <cell r="B364">
            <v>44160</v>
          </cell>
          <cell r="C364" t="str">
            <v>PON</v>
          </cell>
          <cell r="D364">
            <v>637527068</v>
          </cell>
          <cell r="E364" t="str">
            <v>K21 End 1.B Move 500L Grey</v>
          </cell>
          <cell r="F364">
            <v>1</v>
          </cell>
          <cell r="G364">
            <v>0</v>
          </cell>
          <cell r="I364" t="str">
            <v>ID164</v>
          </cell>
          <cell r="L364">
            <v>32</v>
          </cell>
          <cell r="M364">
            <v>0.54800000000000004</v>
          </cell>
          <cell r="N364" t="str">
            <v>5W</v>
          </cell>
          <cell r="P364" t="str">
            <v>PONFCS</v>
          </cell>
          <cell r="Q364" t="str">
            <v>/  /</v>
          </cell>
        </row>
        <row r="365">
          <cell r="A365">
            <v>4307535</v>
          </cell>
          <cell r="B365">
            <v>44021</v>
          </cell>
          <cell r="C365" t="str">
            <v>PON</v>
          </cell>
          <cell r="D365">
            <v>628073084</v>
          </cell>
          <cell r="E365" t="str">
            <v>CV C18 R3 F/S 58 XL Fluo/Black</v>
          </cell>
          <cell r="F365">
            <v>1</v>
          </cell>
          <cell r="G365">
            <v>0</v>
          </cell>
          <cell r="I365" t="str">
            <v>IE011</v>
          </cell>
          <cell r="L365">
            <v>5.7</v>
          </cell>
          <cell r="M365">
            <v>0.13400000000000001</v>
          </cell>
          <cell r="N365" t="str">
            <v>5W</v>
          </cell>
          <cell r="P365" t="str">
            <v>PONCVL</v>
          </cell>
          <cell r="Q365" t="str">
            <v>/  /</v>
          </cell>
        </row>
        <row r="366">
          <cell r="A366">
            <v>4628152</v>
          </cell>
          <cell r="B366">
            <v>44215</v>
          </cell>
          <cell r="C366" t="str">
            <v>PON</v>
          </cell>
          <cell r="D366">
            <v>633073613</v>
          </cell>
          <cell r="E366" t="str">
            <v>CV C19C3 DscF/S 56CMBlk/Wh/Grn</v>
          </cell>
          <cell r="F366">
            <v>1</v>
          </cell>
          <cell r="G366">
            <v>0</v>
          </cell>
          <cell r="I366" t="str">
            <v>IE011</v>
          </cell>
          <cell r="L366">
            <v>5.7</v>
          </cell>
          <cell r="M366">
            <v>0.14299999999999999</v>
          </cell>
          <cell r="N366" t="str">
            <v>5W</v>
          </cell>
          <cell r="P366" t="str">
            <v>PONCVL</v>
          </cell>
          <cell r="Q366" t="str">
            <v>/  /</v>
          </cell>
        </row>
        <row r="367">
          <cell r="A367">
            <v>4536125</v>
          </cell>
          <cell r="B367">
            <v>44159</v>
          </cell>
          <cell r="C367" t="str">
            <v>PON</v>
          </cell>
          <cell r="D367">
            <v>637073130</v>
          </cell>
          <cell r="E367" t="str">
            <v>CV C20S SerDsc F/S GphBlk Rd58</v>
          </cell>
          <cell r="F367">
            <v>1</v>
          </cell>
          <cell r="G367">
            <v>0</v>
          </cell>
          <cell r="I367" t="str">
            <v>IE011</v>
          </cell>
          <cell r="L367">
            <v>7.5</v>
          </cell>
          <cell r="M367">
            <v>0.16900000000000001</v>
          </cell>
          <cell r="N367" t="str">
            <v>5W</v>
          </cell>
          <cell r="P367" t="str">
            <v>PONCVL</v>
          </cell>
          <cell r="Q367" t="str">
            <v>/  /</v>
          </cell>
        </row>
        <row r="368">
          <cell r="A368">
            <v>4519496</v>
          </cell>
          <cell r="B368">
            <v>44148</v>
          </cell>
          <cell r="C368" t="str">
            <v>PON</v>
          </cell>
          <cell r="D368">
            <v>637073140</v>
          </cell>
          <cell r="E368" t="str">
            <v>CV C20 PX Series Frameset LG</v>
          </cell>
          <cell r="F368">
            <v>1</v>
          </cell>
          <cell r="G368">
            <v>0</v>
          </cell>
          <cell r="I368" t="str">
            <v>IE011</v>
          </cell>
          <cell r="L368">
            <v>0</v>
          </cell>
          <cell r="M368">
            <v>0</v>
          </cell>
          <cell r="N368" t="str">
            <v>5W</v>
          </cell>
          <cell r="P368" t="str">
            <v>PONCVL</v>
          </cell>
          <cell r="Q368" t="str">
            <v>/  /</v>
          </cell>
        </row>
        <row r="369">
          <cell r="A369">
            <v>4544115</v>
          </cell>
          <cell r="B369">
            <v>44161</v>
          </cell>
          <cell r="C369" t="str">
            <v>PON</v>
          </cell>
          <cell r="D369">
            <v>641073059</v>
          </cell>
          <cell r="E369" t="str">
            <v>C21 Caledonia 5 F/Set Sl/Bl 61</v>
          </cell>
          <cell r="F369">
            <v>1</v>
          </cell>
          <cell r="G369">
            <v>0</v>
          </cell>
          <cell r="I369" t="str">
            <v>IE011</v>
          </cell>
          <cell r="L369">
            <v>7</v>
          </cell>
          <cell r="M369">
            <v>0.16600000000000001</v>
          </cell>
          <cell r="N369" t="str">
            <v>5W</v>
          </cell>
          <cell r="P369" t="str">
            <v>PONCVL</v>
          </cell>
          <cell r="Q369" t="str">
            <v>/  /</v>
          </cell>
        </row>
        <row r="370">
          <cell r="A370">
            <v>4001114</v>
          </cell>
          <cell r="B370">
            <v>43815</v>
          </cell>
          <cell r="C370" t="str">
            <v>PON</v>
          </cell>
          <cell r="D370">
            <v>633073303</v>
          </cell>
          <cell r="E370" t="str">
            <v>CV C20 R3 Dsc F/S 56L Oge Blu</v>
          </cell>
          <cell r="F370">
            <v>1</v>
          </cell>
          <cell r="G370">
            <v>0</v>
          </cell>
          <cell r="I370" t="str">
            <v>IE012</v>
          </cell>
          <cell r="L370">
            <v>3.8</v>
          </cell>
          <cell r="M370">
            <v>0.182</v>
          </cell>
          <cell r="N370" t="str">
            <v>5W</v>
          </cell>
          <cell r="P370" t="str">
            <v>PONCVL</v>
          </cell>
          <cell r="Q370" t="str">
            <v>/  /</v>
          </cell>
        </row>
        <row r="371">
          <cell r="A371">
            <v>4081367</v>
          </cell>
          <cell r="B371">
            <v>43815</v>
          </cell>
          <cell r="C371" t="str">
            <v>PON</v>
          </cell>
          <cell r="D371">
            <v>633073312</v>
          </cell>
          <cell r="E371" t="str">
            <v>CV C19 R3 Dsc F/S 54CM Blk /Wh</v>
          </cell>
          <cell r="F371">
            <v>1</v>
          </cell>
          <cell r="G371">
            <v>0</v>
          </cell>
          <cell r="I371" t="str">
            <v>IE012</v>
          </cell>
          <cell r="L371">
            <v>3.6</v>
          </cell>
          <cell r="M371">
            <v>0.182</v>
          </cell>
          <cell r="N371" t="str">
            <v>5W</v>
          </cell>
          <cell r="P371" t="str">
            <v>PONCVL</v>
          </cell>
          <cell r="Q371" t="str">
            <v>/  /</v>
          </cell>
        </row>
        <row r="372">
          <cell r="A372">
            <v>3940684</v>
          </cell>
          <cell r="B372">
            <v>43784</v>
          </cell>
          <cell r="C372" t="str">
            <v>PON</v>
          </cell>
          <cell r="D372">
            <v>633080205</v>
          </cell>
          <cell r="E372" t="str">
            <v>FC F19 Izalco MaxDisc 8 FS58XL</v>
          </cell>
          <cell r="F372">
            <v>1</v>
          </cell>
          <cell r="G372">
            <v>0</v>
          </cell>
          <cell r="I372" t="str">
            <v>IE012</v>
          </cell>
          <cell r="L372">
            <v>5.9</v>
          </cell>
          <cell r="M372">
            <v>0.161</v>
          </cell>
          <cell r="N372" t="str">
            <v>5W</v>
          </cell>
          <cell r="P372" t="str">
            <v>PONFCS</v>
          </cell>
          <cell r="Q372" t="str">
            <v>/  /</v>
          </cell>
        </row>
        <row r="373">
          <cell r="A373">
            <v>4081473</v>
          </cell>
          <cell r="B373">
            <v>43784</v>
          </cell>
          <cell r="C373" t="str">
            <v>PON</v>
          </cell>
          <cell r="D373">
            <v>633080205</v>
          </cell>
          <cell r="E373" t="str">
            <v>FC F19 Izalco MaxDisc 8 FS58XL</v>
          </cell>
          <cell r="F373">
            <v>1</v>
          </cell>
          <cell r="G373">
            <v>0</v>
          </cell>
          <cell r="I373" t="str">
            <v>IE012</v>
          </cell>
          <cell r="L373">
            <v>5.9</v>
          </cell>
          <cell r="M373">
            <v>0.161</v>
          </cell>
          <cell r="N373" t="str">
            <v>5W</v>
          </cell>
          <cell r="P373" t="str">
            <v>PONFCS</v>
          </cell>
          <cell r="Q373" t="str">
            <v>/  /</v>
          </cell>
        </row>
        <row r="374">
          <cell r="A374">
            <v>3933477</v>
          </cell>
          <cell r="B374">
            <v>43780</v>
          </cell>
          <cell r="C374" t="str">
            <v>PON</v>
          </cell>
          <cell r="D374">
            <v>637073122</v>
          </cell>
          <cell r="E374" t="str">
            <v>CV C20S SerDscF/S Wh/Oge/Bur54</v>
          </cell>
          <cell r="F374">
            <v>1</v>
          </cell>
          <cell r="G374">
            <v>0</v>
          </cell>
          <cell r="I374" t="str">
            <v>IE012</v>
          </cell>
          <cell r="L374">
            <v>7.4</v>
          </cell>
          <cell r="M374">
            <v>0.187</v>
          </cell>
          <cell r="N374" t="str">
            <v>5W</v>
          </cell>
          <cell r="P374" t="str">
            <v>PONCVL</v>
          </cell>
          <cell r="Q374" t="str">
            <v>/  /</v>
          </cell>
        </row>
        <row r="375">
          <cell r="A375">
            <v>3974208</v>
          </cell>
          <cell r="B375">
            <v>43802</v>
          </cell>
          <cell r="C375" t="str">
            <v>PON</v>
          </cell>
          <cell r="D375" t="str">
            <v>FS628008133</v>
          </cell>
          <cell r="E375" t="str">
            <v>FC F18 FS IZ MaxDisc Di2 54Red</v>
          </cell>
          <cell r="F375">
            <v>1</v>
          </cell>
          <cell r="G375">
            <v>0</v>
          </cell>
          <cell r="I375" t="str">
            <v>IE012</v>
          </cell>
          <cell r="L375">
            <v>0</v>
          </cell>
          <cell r="M375">
            <v>0.157</v>
          </cell>
          <cell r="N375" t="str">
            <v>5W</v>
          </cell>
          <cell r="P375" t="str">
            <v>PONFCS</v>
          </cell>
          <cell r="Q375" t="str">
            <v>/  /</v>
          </cell>
        </row>
        <row r="376">
          <cell r="A376">
            <v>3948727</v>
          </cell>
          <cell r="B376">
            <v>43788</v>
          </cell>
          <cell r="C376" t="str">
            <v>PON</v>
          </cell>
          <cell r="D376">
            <v>633073432</v>
          </cell>
          <cell r="E376" t="str">
            <v>CV C19S5 Dsc F/S 54CMBlk/Rd/Wh</v>
          </cell>
          <cell r="F376">
            <v>1</v>
          </cell>
          <cell r="G376">
            <v>0</v>
          </cell>
          <cell r="I376" t="str">
            <v>IE021</v>
          </cell>
          <cell r="L376">
            <v>7</v>
          </cell>
          <cell r="M376">
            <v>0.16700000000000001</v>
          </cell>
          <cell r="N376" t="str">
            <v>5W</v>
          </cell>
          <cell r="P376" t="str">
            <v>PONCVL</v>
          </cell>
          <cell r="Q376" t="str">
            <v>/  /</v>
          </cell>
        </row>
        <row r="377">
          <cell r="A377">
            <v>3948729</v>
          </cell>
          <cell r="B377">
            <v>43788</v>
          </cell>
          <cell r="C377" t="str">
            <v>PON</v>
          </cell>
          <cell r="D377">
            <v>633073461</v>
          </cell>
          <cell r="E377" t="str">
            <v>CV C19S3 RimF/S 51CMEm/Nvy/Grn</v>
          </cell>
          <cell r="F377">
            <v>1</v>
          </cell>
          <cell r="G377">
            <v>0</v>
          </cell>
          <cell r="I377" t="str">
            <v>IE021</v>
          </cell>
          <cell r="L377">
            <v>6.8</v>
          </cell>
          <cell r="M377">
            <v>0.16600000000000001</v>
          </cell>
          <cell r="N377" t="str">
            <v>5W</v>
          </cell>
          <cell r="P377" t="str">
            <v>PONCVL</v>
          </cell>
          <cell r="Q377" t="str">
            <v>/  /</v>
          </cell>
        </row>
        <row r="378">
          <cell r="A378">
            <v>3948731</v>
          </cell>
          <cell r="B378">
            <v>43788</v>
          </cell>
          <cell r="C378" t="str">
            <v>PON</v>
          </cell>
          <cell r="D378">
            <v>633073465</v>
          </cell>
          <cell r="E378" t="str">
            <v>CV C19S3 RimF/S 61CMEm/Nvy/Grn</v>
          </cell>
          <cell r="F378">
            <v>1</v>
          </cell>
          <cell r="G378">
            <v>0</v>
          </cell>
          <cell r="I378" t="str">
            <v>IE021</v>
          </cell>
          <cell r="L378">
            <v>7</v>
          </cell>
          <cell r="M378">
            <v>0.16700000000000001</v>
          </cell>
          <cell r="N378" t="str">
            <v>5W</v>
          </cell>
          <cell r="P378" t="str">
            <v>PONCVL</v>
          </cell>
          <cell r="Q378" t="str">
            <v>/  /</v>
          </cell>
        </row>
        <row r="379">
          <cell r="A379">
            <v>3943817</v>
          </cell>
          <cell r="B379">
            <v>43784</v>
          </cell>
          <cell r="C379" t="str">
            <v>PON</v>
          </cell>
          <cell r="D379">
            <v>633073602</v>
          </cell>
          <cell r="E379" t="str">
            <v>CV C19C3 DscF/S 54CMOlv/Oge/Rd</v>
          </cell>
          <cell r="F379">
            <v>1</v>
          </cell>
          <cell r="G379">
            <v>0</v>
          </cell>
          <cell r="I379" t="str">
            <v>IE021</v>
          </cell>
          <cell r="L379">
            <v>5.4</v>
          </cell>
          <cell r="M379">
            <v>0.127</v>
          </cell>
          <cell r="N379" t="str">
            <v>5W</v>
          </cell>
          <cell r="P379" t="str">
            <v>PONCVL</v>
          </cell>
          <cell r="Q379" t="str">
            <v>/  /</v>
          </cell>
        </row>
        <row r="380">
          <cell r="A380">
            <v>4644672</v>
          </cell>
          <cell r="B380">
            <v>44225</v>
          </cell>
          <cell r="C380" t="str">
            <v>PON</v>
          </cell>
          <cell r="D380">
            <v>613076102</v>
          </cell>
          <cell r="E380" t="str">
            <v>Cervelo C19 T4 FS 56CM</v>
          </cell>
          <cell r="F380">
            <v>1</v>
          </cell>
          <cell r="G380">
            <v>0</v>
          </cell>
          <cell r="I380" t="str">
            <v>IE022</v>
          </cell>
          <cell r="L380">
            <v>6.1</v>
          </cell>
          <cell r="M380">
            <v>0.13600000000000001</v>
          </cell>
          <cell r="N380" t="str">
            <v>5W</v>
          </cell>
          <cell r="P380" t="str">
            <v>PONCVL</v>
          </cell>
          <cell r="Q380" t="str">
            <v>/  /</v>
          </cell>
        </row>
        <row r="381">
          <cell r="A381">
            <v>4036385</v>
          </cell>
          <cell r="B381">
            <v>43851</v>
          </cell>
          <cell r="C381" t="str">
            <v>PON</v>
          </cell>
          <cell r="D381">
            <v>613508124</v>
          </cell>
          <cell r="E381" t="str">
            <v>FC F13 FS IZ Team 2.0 54 MDDI2</v>
          </cell>
          <cell r="F381">
            <v>1</v>
          </cell>
          <cell r="G381">
            <v>0</v>
          </cell>
          <cell r="I381" t="str">
            <v>IE022</v>
          </cell>
          <cell r="L381">
            <v>5.9</v>
          </cell>
          <cell r="M381">
            <v>0.191</v>
          </cell>
          <cell r="N381" t="str">
            <v>5W</v>
          </cell>
          <cell r="P381" t="str">
            <v>PONFCS</v>
          </cell>
          <cell r="Q381" t="str">
            <v>/  /</v>
          </cell>
        </row>
        <row r="382">
          <cell r="A382">
            <v>4036387</v>
          </cell>
          <cell r="B382">
            <v>43851</v>
          </cell>
          <cell r="C382" t="str">
            <v>PON</v>
          </cell>
          <cell r="D382">
            <v>613508125</v>
          </cell>
          <cell r="E382" t="str">
            <v>FC F13 FS IZ Team 2.0 56 LGDI2</v>
          </cell>
          <cell r="F382">
            <v>1</v>
          </cell>
          <cell r="G382">
            <v>0</v>
          </cell>
          <cell r="I382" t="str">
            <v>IE022</v>
          </cell>
          <cell r="L382">
            <v>5.8</v>
          </cell>
          <cell r="M382">
            <v>0.186</v>
          </cell>
          <cell r="N382" t="str">
            <v>5W</v>
          </cell>
          <cell r="P382" t="str">
            <v>PONFCS</v>
          </cell>
          <cell r="Q382" t="str">
            <v>/  /</v>
          </cell>
        </row>
        <row r="383">
          <cell r="A383">
            <v>4081100</v>
          </cell>
          <cell r="B383">
            <v>43787</v>
          </cell>
          <cell r="C383" t="str">
            <v>PON</v>
          </cell>
          <cell r="D383">
            <v>628073114</v>
          </cell>
          <cell r="E383" t="str">
            <v>CV C18 R5Disc FS 58 XLBlk/Fluo</v>
          </cell>
          <cell r="F383">
            <v>1</v>
          </cell>
          <cell r="G383">
            <v>0</v>
          </cell>
          <cell r="I383" t="str">
            <v>IE022</v>
          </cell>
          <cell r="L383">
            <v>5.6</v>
          </cell>
          <cell r="M383">
            <v>0.17699999999999999</v>
          </cell>
          <cell r="N383" t="str">
            <v>5W</v>
          </cell>
          <cell r="P383" t="str">
            <v>PONCVL</v>
          </cell>
          <cell r="Q383" t="str">
            <v>/  /</v>
          </cell>
        </row>
        <row r="384">
          <cell r="A384">
            <v>4459064</v>
          </cell>
          <cell r="B384">
            <v>44112</v>
          </cell>
          <cell r="C384" t="str">
            <v>PON</v>
          </cell>
          <cell r="D384">
            <v>641080003</v>
          </cell>
          <cell r="E384" t="str">
            <v>F21 IZ MAX DISC F/S 9 54M CBN</v>
          </cell>
          <cell r="F384">
            <v>1</v>
          </cell>
          <cell r="G384">
            <v>0</v>
          </cell>
          <cell r="I384" t="str">
            <v>IE022</v>
          </cell>
          <cell r="L384">
            <v>5.9</v>
          </cell>
          <cell r="M384">
            <v>0.13800000000000001</v>
          </cell>
          <cell r="N384" t="str">
            <v>5W</v>
          </cell>
          <cell r="P384" t="str">
            <v>PONFCS</v>
          </cell>
          <cell r="Q384" t="str">
            <v>/  /</v>
          </cell>
        </row>
        <row r="385">
          <cell r="A385">
            <v>3943752</v>
          </cell>
          <cell r="B385">
            <v>43784</v>
          </cell>
          <cell r="C385" t="str">
            <v>PON</v>
          </cell>
          <cell r="D385">
            <v>628073060</v>
          </cell>
          <cell r="E385" t="str">
            <v>CV C18 R3 Disc F/S 48 XS Fluo</v>
          </cell>
          <cell r="F385">
            <v>1</v>
          </cell>
          <cell r="G385">
            <v>0</v>
          </cell>
          <cell r="I385" t="str">
            <v>IE031</v>
          </cell>
          <cell r="L385">
            <v>5.3</v>
          </cell>
          <cell r="M385">
            <v>0.14399999999999999</v>
          </cell>
          <cell r="N385" t="str">
            <v>5W</v>
          </cell>
          <cell r="P385" t="str">
            <v>PONCVL</v>
          </cell>
          <cell r="Q385" t="str">
            <v>/  /</v>
          </cell>
        </row>
        <row r="386">
          <cell r="A386">
            <v>3943754</v>
          </cell>
          <cell r="B386">
            <v>43784</v>
          </cell>
          <cell r="C386" t="str">
            <v>PON</v>
          </cell>
          <cell r="D386">
            <v>628073080</v>
          </cell>
          <cell r="E386" t="str">
            <v>CV C18 R3 F/S 48 XS Fluo/Black</v>
          </cell>
          <cell r="F386">
            <v>1</v>
          </cell>
          <cell r="G386">
            <v>0</v>
          </cell>
          <cell r="I386" t="str">
            <v>IE031</v>
          </cell>
          <cell r="L386">
            <v>4.9000000000000004</v>
          </cell>
          <cell r="M386">
            <v>0.122</v>
          </cell>
          <cell r="N386" t="str">
            <v>5W</v>
          </cell>
          <cell r="P386" t="str">
            <v>PONCVL</v>
          </cell>
          <cell r="Q386" t="str">
            <v>/  /</v>
          </cell>
        </row>
        <row r="387">
          <cell r="A387">
            <v>3943756</v>
          </cell>
          <cell r="B387">
            <v>43784</v>
          </cell>
          <cell r="C387" t="str">
            <v>PON</v>
          </cell>
          <cell r="D387">
            <v>628073083</v>
          </cell>
          <cell r="E387" t="str">
            <v>CV C18 R3 F/S 56 LG Fluo/Black</v>
          </cell>
          <cell r="F387">
            <v>1</v>
          </cell>
          <cell r="G387">
            <v>0</v>
          </cell>
          <cell r="I387" t="str">
            <v>IE031</v>
          </cell>
          <cell r="L387">
            <v>6</v>
          </cell>
          <cell r="M387">
            <v>0.13600000000000001</v>
          </cell>
          <cell r="N387" t="str">
            <v>5W</v>
          </cell>
          <cell r="P387" t="str">
            <v>PONCVL</v>
          </cell>
          <cell r="Q387" t="str">
            <v>/  /</v>
          </cell>
        </row>
        <row r="388">
          <cell r="A388">
            <v>4165380</v>
          </cell>
          <cell r="B388">
            <v>43937</v>
          </cell>
          <cell r="C388" t="str">
            <v>PON</v>
          </cell>
          <cell r="D388">
            <v>633073112</v>
          </cell>
          <cell r="E388" t="str">
            <v>CV C19 R5 Dsc F/S 54CM Blk/Gph</v>
          </cell>
          <cell r="F388">
            <v>1</v>
          </cell>
          <cell r="G388">
            <v>0</v>
          </cell>
          <cell r="I388" t="str">
            <v>IE031</v>
          </cell>
          <cell r="L388">
            <v>5.4</v>
          </cell>
          <cell r="M388">
            <v>0.14599999999999999</v>
          </cell>
          <cell r="N388" t="str">
            <v>5W</v>
          </cell>
          <cell r="P388" t="str">
            <v>PONCVL</v>
          </cell>
          <cell r="Q388" t="str">
            <v>/  /</v>
          </cell>
        </row>
        <row r="389">
          <cell r="A389">
            <v>4248879</v>
          </cell>
          <cell r="B389">
            <v>43986</v>
          </cell>
          <cell r="C389" t="str">
            <v>PON</v>
          </cell>
          <cell r="D389">
            <v>633073301</v>
          </cell>
          <cell r="E389" t="str">
            <v>CV C20 R3 Dsc F/S 51S Oge Blu</v>
          </cell>
          <cell r="F389">
            <v>1</v>
          </cell>
          <cell r="G389">
            <v>0</v>
          </cell>
          <cell r="I389" t="str">
            <v>IE031</v>
          </cell>
          <cell r="L389">
            <v>3.7</v>
          </cell>
          <cell r="M389">
            <v>0.182</v>
          </cell>
          <cell r="N389" t="str">
            <v>5W</v>
          </cell>
          <cell r="P389" t="str">
            <v>PONCVL</v>
          </cell>
          <cell r="Q389" t="str">
            <v>/  /</v>
          </cell>
        </row>
        <row r="390">
          <cell r="A390">
            <v>3940062</v>
          </cell>
          <cell r="B390">
            <v>43783</v>
          </cell>
          <cell r="C390" t="str">
            <v>PON</v>
          </cell>
          <cell r="D390">
            <v>625509010</v>
          </cell>
          <cell r="E390" t="str">
            <v>F17 IZ Max AG2R F/S 48 XXS</v>
          </cell>
          <cell r="F390">
            <v>1</v>
          </cell>
          <cell r="G390">
            <v>0</v>
          </cell>
          <cell r="I390" t="str">
            <v>IE032</v>
          </cell>
          <cell r="L390">
            <v>5.5</v>
          </cell>
          <cell r="M390">
            <v>0.159</v>
          </cell>
          <cell r="N390" t="str">
            <v>5W</v>
          </cell>
          <cell r="P390" t="str">
            <v>PONFCS</v>
          </cell>
          <cell r="Q390" t="str">
            <v>/  /</v>
          </cell>
        </row>
        <row r="391">
          <cell r="A391">
            <v>3940612</v>
          </cell>
          <cell r="B391">
            <v>43784</v>
          </cell>
          <cell r="C391" t="str">
            <v>PON</v>
          </cell>
          <cell r="D391">
            <v>633073040</v>
          </cell>
          <cell r="E391" t="str">
            <v>CV C19R5 Rim F/S 48CMRd/Wh/Nvy</v>
          </cell>
          <cell r="F391">
            <v>1</v>
          </cell>
          <cell r="G391">
            <v>0</v>
          </cell>
          <cell r="I391" t="str">
            <v>IE032</v>
          </cell>
          <cell r="L391">
            <v>4.8</v>
          </cell>
          <cell r="M391">
            <v>0.11899999999999999</v>
          </cell>
          <cell r="N391" t="str">
            <v>5W</v>
          </cell>
          <cell r="P391" t="str">
            <v>PONCVL</v>
          </cell>
          <cell r="Q391" t="str">
            <v>/  /</v>
          </cell>
        </row>
        <row r="392">
          <cell r="A392">
            <v>4144347</v>
          </cell>
          <cell r="B392">
            <v>43917</v>
          </cell>
          <cell r="C392" t="str">
            <v>PON</v>
          </cell>
          <cell r="D392">
            <v>633073111</v>
          </cell>
          <cell r="E392" t="str">
            <v>CV C19 R5 Dsc F/S 51CM Blk/Gph</v>
          </cell>
          <cell r="F392">
            <v>1</v>
          </cell>
          <cell r="G392">
            <v>0</v>
          </cell>
          <cell r="I392" t="str">
            <v>IE032</v>
          </cell>
          <cell r="L392">
            <v>5.2</v>
          </cell>
          <cell r="M392">
            <v>0.14000000000000001</v>
          </cell>
          <cell r="N392" t="str">
            <v>5W</v>
          </cell>
          <cell r="P392" t="str">
            <v>PONCVL</v>
          </cell>
          <cell r="Q392" t="str">
            <v>/  /</v>
          </cell>
        </row>
        <row r="393">
          <cell r="A393">
            <v>3896455</v>
          </cell>
          <cell r="B393">
            <v>43755</v>
          </cell>
          <cell r="C393" t="str">
            <v>PON</v>
          </cell>
          <cell r="D393">
            <v>637073123</v>
          </cell>
          <cell r="E393" t="str">
            <v>CV C20S SerDscF/S Wh/Oge/Bur56</v>
          </cell>
          <cell r="F393">
            <v>1</v>
          </cell>
          <cell r="G393">
            <v>0</v>
          </cell>
          <cell r="I393" t="str">
            <v>IE032</v>
          </cell>
          <cell r="L393">
            <v>7.5</v>
          </cell>
          <cell r="M393">
            <v>0.16900000000000001</v>
          </cell>
          <cell r="N393" t="str">
            <v>5W</v>
          </cell>
          <cell r="P393" t="str">
            <v>PONCVL</v>
          </cell>
          <cell r="Q393" t="str">
            <v>/  /</v>
          </cell>
        </row>
        <row r="394">
          <cell r="A394">
            <v>4459065</v>
          </cell>
          <cell r="B394">
            <v>44112</v>
          </cell>
          <cell r="C394" t="str">
            <v>PON</v>
          </cell>
          <cell r="D394">
            <v>641080003</v>
          </cell>
          <cell r="E394" t="str">
            <v>F21 IZ MAX DISC F/S 9 54M CBN</v>
          </cell>
          <cell r="F394">
            <v>1</v>
          </cell>
          <cell r="G394">
            <v>0</v>
          </cell>
          <cell r="I394" t="str">
            <v>IE032</v>
          </cell>
          <cell r="L394">
            <v>5.9</v>
          </cell>
          <cell r="M394">
            <v>0.13800000000000001</v>
          </cell>
          <cell r="N394" t="str">
            <v>5W</v>
          </cell>
          <cell r="P394" t="str">
            <v>PONFCS</v>
          </cell>
          <cell r="Q394" t="str">
            <v>/  /</v>
          </cell>
        </row>
        <row r="395">
          <cell r="A395">
            <v>4459066</v>
          </cell>
          <cell r="B395">
            <v>44112</v>
          </cell>
          <cell r="C395" t="str">
            <v>PON</v>
          </cell>
          <cell r="D395">
            <v>641080003</v>
          </cell>
          <cell r="E395" t="str">
            <v>F21 IZ MAX DISC F/S 9 54M CBN</v>
          </cell>
          <cell r="F395">
            <v>1</v>
          </cell>
          <cell r="G395">
            <v>0</v>
          </cell>
          <cell r="I395" t="str">
            <v>IE032</v>
          </cell>
          <cell r="L395">
            <v>5.9</v>
          </cell>
          <cell r="M395">
            <v>0.13800000000000001</v>
          </cell>
          <cell r="N395" t="str">
            <v>5W</v>
          </cell>
          <cell r="P395" t="str">
            <v>PONFCS</v>
          </cell>
          <cell r="Q395" t="str">
            <v>/  /</v>
          </cell>
        </row>
        <row r="396">
          <cell r="A396">
            <v>4037599</v>
          </cell>
          <cell r="B396">
            <v>43851</v>
          </cell>
          <cell r="C396" t="str">
            <v>PON</v>
          </cell>
          <cell r="D396">
            <v>613076054</v>
          </cell>
          <cell r="E396" t="str">
            <v>Cervelo C13 P5 3 FS 56</v>
          </cell>
          <cell r="F396">
            <v>1</v>
          </cell>
          <cell r="G396">
            <v>0</v>
          </cell>
          <cell r="I396" t="str">
            <v>IE041</v>
          </cell>
          <cell r="L396">
            <v>6.8</v>
          </cell>
          <cell r="M396">
            <v>0.14000000000000001</v>
          </cell>
          <cell r="N396" t="str">
            <v>5W</v>
          </cell>
          <cell r="P396" t="str">
            <v>PONCVL</v>
          </cell>
          <cell r="Q396" t="str">
            <v>/  /</v>
          </cell>
        </row>
        <row r="397">
          <cell r="A397">
            <v>4037601</v>
          </cell>
          <cell r="B397">
            <v>43851</v>
          </cell>
          <cell r="C397" t="str">
            <v>PON</v>
          </cell>
          <cell r="D397">
            <v>613076066</v>
          </cell>
          <cell r="E397" t="str">
            <v>Cervelo C13 P2 FS 61</v>
          </cell>
          <cell r="F397">
            <v>1</v>
          </cell>
          <cell r="G397">
            <v>0</v>
          </cell>
          <cell r="I397" t="str">
            <v>IE041</v>
          </cell>
          <cell r="L397">
            <v>5.5</v>
          </cell>
          <cell r="M397">
            <v>0.15</v>
          </cell>
          <cell r="N397" t="str">
            <v>5W</v>
          </cell>
          <cell r="P397" t="str">
            <v>PONCVL</v>
          </cell>
          <cell r="Q397" t="str">
            <v>/  /</v>
          </cell>
        </row>
        <row r="398">
          <cell r="A398">
            <v>4037603</v>
          </cell>
          <cell r="B398">
            <v>43851</v>
          </cell>
          <cell r="C398" t="str">
            <v>PON</v>
          </cell>
          <cell r="D398">
            <v>613076085</v>
          </cell>
          <cell r="E398" t="str">
            <v>Cervelo C15 F/S P5 6 61</v>
          </cell>
          <cell r="F398">
            <v>1</v>
          </cell>
          <cell r="G398">
            <v>0</v>
          </cell>
          <cell r="I398" t="str">
            <v>IE041</v>
          </cell>
          <cell r="L398">
            <v>8.8000000000000007</v>
          </cell>
          <cell r="M398">
            <v>0.152</v>
          </cell>
          <cell r="N398" t="str">
            <v>5W</v>
          </cell>
          <cell r="P398" t="str">
            <v>PONCVL</v>
          </cell>
          <cell r="Q398" t="str">
            <v>/  /</v>
          </cell>
        </row>
        <row r="399">
          <cell r="A399">
            <v>4080951</v>
          </cell>
          <cell r="B399">
            <v>43851</v>
          </cell>
          <cell r="C399" t="str">
            <v>PON</v>
          </cell>
          <cell r="D399">
            <v>613076085</v>
          </cell>
          <cell r="E399" t="str">
            <v>Cervelo C15 F/S P5 6 61</v>
          </cell>
          <cell r="F399">
            <v>1</v>
          </cell>
          <cell r="G399">
            <v>0</v>
          </cell>
          <cell r="I399" t="str">
            <v>IE041</v>
          </cell>
          <cell r="L399">
            <v>8.8000000000000007</v>
          </cell>
          <cell r="M399">
            <v>0.152</v>
          </cell>
          <cell r="N399" t="str">
            <v>5W</v>
          </cell>
          <cell r="P399" t="str">
            <v>PONCVL</v>
          </cell>
          <cell r="Q399" t="str">
            <v>/  /</v>
          </cell>
        </row>
        <row r="400">
          <cell r="A400">
            <v>3950073</v>
          </cell>
          <cell r="B400">
            <v>43789</v>
          </cell>
          <cell r="C400" t="str">
            <v>PON</v>
          </cell>
          <cell r="D400">
            <v>633073455</v>
          </cell>
          <cell r="E400" t="str">
            <v>CV C19S3 RimF/S 61CMGph/Blk/Rd</v>
          </cell>
          <cell r="F400">
            <v>1</v>
          </cell>
          <cell r="G400">
            <v>0</v>
          </cell>
          <cell r="I400" t="str">
            <v>IE041</v>
          </cell>
          <cell r="L400">
            <v>6.9</v>
          </cell>
          <cell r="M400">
            <v>0.16500000000000001</v>
          </cell>
          <cell r="N400" t="str">
            <v>5W</v>
          </cell>
          <cell r="P400" t="str">
            <v>PONCVL</v>
          </cell>
          <cell r="Q400" t="str">
            <v>/  /</v>
          </cell>
        </row>
        <row r="401">
          <cell r="A401">
            <v>3940596</v>
          </cell>
          <cell r="B401">
            <v>43784</v>
          </cell>
          <cell r="C401" t="str">
            <v>PON</v>
          </cell>
          <cell r="D401">
            <v>628073062</v>
          </cell>
          <cell r="E401" t="str">
            <v>CV C18 R3 Disc F/S 54 MD Fluo</v>
          </cell>
          <cell r="F401">
            <v>1</v>
          </cell>
          <cell r="G401">
            <v>0</v>
          </cell>
          <cell r="I401" t="str">
            <v>IE042</v>
          </cell>
          <cell r="L401">
            <v>5.7</v>
          </cell>
          <cell r="M401">
            <v>0.154</v>
          </cell>
          <cell r="N401" t="str">
            <v>5W</v>
          </cell>
          <cell r="P401" t="str">
            <v>PONCVL</v>
          </cell>
          <cell r="Q401" t="str">
            <v>/  /</v>
          </cell>
        </row>
        <row r="402">
          <cell r="A402">
            <v>3918688</v>
          </cell>
          <cell r="B402">
            <v>43770</v>
          </cell>
          <cell r="C402" t="str">
            <v>PON</v>
          </cell>
          <cell r="D402">
            <v>628508106</v>
          </cell>
          <cell r="E402" t="str">
            <v>FC F18 IZMax Disc DI2 FS 61XXL</v>
          </cell>
          <cell r="F402">
            <v>1</v>
          </cell>
          <cell r="G402">
            <v>0</v>
          </cell>
          <cell r="I402" t="str">
            <v>IE042</v>
          </cell>
          <cell r="L402">
            <v>6</v>
          </cell>
          <cell r="M402">
            <v>0.151</v>
          </cell>
          <cell r="N402" t="str">
            <v>5W</v>
          </cell>
          <cell r="P402" t="str">
            <v>PONFCS</v>
          </cell>
          <cell r="Q402" t="str">
            <v>/  /</v>
          </cell>
        </row>
        <row r="403">
          <cell r="A403">
            <v>3918704</v>
          </cell>
          <cell r="B403">
            <v>43770</v>
          </cell>
          <cell r="C403" t="str">
            <v>PON</v>
          </cell>
          <cell r="D403">
            <v>628508414</v>
          </cell>
          <cell r="E403" t="str">
            <v>FC F18 Mares Force 1 F/S 58XL</v>
          </cell>
          <cell r="F403">
            <v>1</v>
          </cell>
          <cell r="G403">
            <v>0</v>
          </cell>
          <cell r="I403" t="str">
            <v>IE042</v>
          </cell>
          <cell r="L403">
            <v>6</v>
          </cell>
          <cell r="M403">
            <v>0.16600000000000001</v>
          </cell>
          <cell r="N403" t="str">
            <v>5W</v>
          </cell>
          <cell r="P403" t="str">
            <v>PONFCS</v>
          </cell>
          <cell r="Q403" t="str">
            <v>/  /</v>
          </cell>
        </row>
        <row r="404">
          <cell r="A404">
            <v>3940620</v>
          </cell>
          <cell r="B404">
            <v>43784</v>
          </cell>
          <cell r="C404" t="str">
            <v>PON</v>
          </cell>
          <cell r="D404">
            <v>633073115</v>
          </cell>
          <cell r="E404" t="str">
            <v>CV C19 R5 Dsc F/S 61CM Blk/Gph</v>
          </cell>
          <cell r="F404">
            <v>1</v>
          </cell>
          <cell r="G404">
            <v>0</v>
          </cell>
          <cell r="I404" t="str">
            <v>IE042</v>
          </cell>
          <cell r="L404">
            <v>5.6</v>
          </cell>
          <cell r="M404">
            <v>0.16600000000000001</v>
          </cell>
          <cell r="N404" t="str">
            <v>5W</v>
          </cell>
          <cell r="P404" t="str">
            <v>PONCVL</v>
          </cell>
          <cell r="Q404" t="str">
            <v>/  /</v>
          </cell>
        </row>
        <row r="405">
          <cell r="A405">
            <v>4577152</v>
          </cell>
          <cell r="B405">
            <v>44175</v>
          </cell>
          <cell r="C405" t="str">
            <v>PON</v>
          </cell>
          <cell r="D405">
            <v>633073472</v>
          </cell>
          <cell r="E405" t="str">
            <v>CV C19S3 DscF/S 54CMFlu/Blk/Wh</v>
          </cell>
          <cell r="F405">
            <v>1</v>
          </cell>
          <cell r="G405">
            <v>0</v>
          </cell>
          <cell r="I405" t="str">
            <v>IE042</v>
          </cell>
          <cell r="L405">
            <v>6.9</v>
          </cell>
          <cell r="M405">
            <v>0.19600000000000001</v>
          </cell>
          <cell r="N405" t="str">
            <v>5W</v>
          </cell>
          <cell r="P405" t="str">
            <v>PONCVL</v>
          </cell>
          <cell r="Q405" t="str">
            <v>/  /</v>
          </cell>
        </row>
        <row r="406">
          <cell r="A406">
            <v>4037597</v>
          </cell>
          <cell r="B406">
            <v>43851</v>
          </cell>
          <cell r="C406" t="str">
            <v>PON</v>
          </cell>
          <cell r="D406">
            <v>613076036</v>
          </cell>
          <cell r="E406" t="str">
            <v>Cervelo C13 S5 VWD FS 61</v>
          </cell>
          <cell r="F406">
            <v>1</v>
          </cell>
          <cell r="G406">
            <v>0</v>
          </cell>
          <cell r="I406" t="str">
            <v>IE051</v>
          </cell>
          <cell r="L406">
            <v>5.8</v>
          </cell>
          <cell r="M406">
            <v>0.15</v>
          </cell>
          <cell r="N406" t="str">
            <v>5W</v>
          </cell>
          <cell r="P406" t="str">
            <v>PONCVL</v>
          </cell>
          <cell r="Q406" t="str">
            <v>/  /</v>
          </cell>
        </row>
        <row r="407">
          <cell r="A407">
            <v>4023337</v>
          </cell>
          <cell r="B407">
            <v>43839</v>
          </cell>
          <cell r="C407" t="str">
            <v>PON</v>
          </cell>
          <cell r="D407">
            <v>628509311</v>
          </cell>
          <cell r="E407" t="str">
            <v>F18 IZ Max 50cm White Blue Red</v>
          </cell>
          <cell r="F407">
            <v>1</v>
          </cell>
          <cell r="G407">
            <v>0</v>
          </cell>
          <cell r="I407" t="str">
            <v>IE051</v>
          </cell>
          <cell r="L407">
            <v>5</v>
          </cell>
          <cell r="M407">
            <v>0.16</v>
          </cell>
          <cell r="N407" t="str">
            <v>5W</v>
          </cell>
          <cell r="P407" t="str">
            <v>PONFCS</v>
          </cell>
          <cell r="Q407" t="str">
            <v>/  /</v>
          </cell>
        </row>
        <row r="408">
          <cell r="A408">
            <v>3946424</v>
          </cell>
          <cell r="B408">
            <v>43787</v>
          </cell>
          <cell r="C408" t="str">
            <v>PON</v>
          </cell>
          <cell r="D408">
            <v>633080113</v>
          </cell>
          <cell r="E408" t="str">
            <v>FC F19Izalco MxDsc 9 FS 54MBlk</v>
          </cell>
          <cell r="F408">
            <v>1</v>
          </cell>
          <cell r="G408">
            <v>0</v>
          </cell>
          <cell r="I408" t="str">
            <v>IE051</v>
          </cell>
          <cell r="L408">
            <v>6</v>
          </cell>
          <cell r="M408">
            <v>0.152</v>
          </cell>
          <cell r="N408" t="str">
            <v>5W</v>
          </cell>
          <cell r="P408" t="str">
            <v>PONFCS</v>
          </cell>
          <cell r="Q408" t="str">
            <v>/  /</v>
          </cell>
        </row>
        <row r="409">
          <cell r="A409">
            <v>4081468</v>
          </cell>
          <cell r="B409">
            <v>43787</v>
          </cell>
          <cell r="C409" t="str">
            <v>PON</v>
          </cell>
          <cell r="D409">
            <v>633080113</v>
          </cell>
          <cell r="E409" t="str">
            <v>FC F19Izalco MxDsc 9 FS 54MBlk</v>
          </cell>
          <cell r="F409">
            <v>1</v>
          </cell>
          <cell r="G409">
            <v>0</v>
          </cell>
          <cell r="I409" t="str">
            <v>IE051</v>
          </cell>
          <cell r="L409">
            <v>6</v>
          </cell>
          <cell r="M409">
            <v>0.152</v>
          </cell>
          <cell r="N409" t="str">
            <v>5W</v>
          </cell>
          <cell r="P409" t="str">
            <v>PONFCS</v>
          </cell>
          <cell r="Q409" t="str">
            <v>/  /</v>
          </cell>
        </row>
        <row r="410">
          <cell r="A410">
            <v>4019594</v>
          </cell>
          <cell r="B410">
            <v>43836</v>
          </cell>
          <cell r="C410" t="str">
            <v>PON</v>
          </cell>
          <cell r="D410">
            <v>625073014</v>
          </cell>
          <cell r="E410" t="str">
            <v>CV C17 F/S S3 Disc 58 White</v>
          </cell>
          <cell r="F410">
            <v>1</v>
          </cell>
          <cell r="G410">
            <v>0</v>
          </cell>
          <cell r="I410" t="str">
            <v>IE052</v>
          </cell>
          <cell r="L410">
            <v>6</v>
          </cell>
          <cell r="M410">
            <v>0.17199999999999999</v>
          </cell>
          <cell r="N410" t="str">
            <v>5W</v>
          </cell>
          <cell r="P410" t="str">
            <v>PONCVL</v>
          </cell>
          <cell r="Q410" t="str">
            <v>/  /</v>
          </cell>
        </row>
        <row r="411">
          <cell r="A411">
            <v>3940069</v>
          </cell>
          <cell r="B411">
            <v>43783</v>
          </cell>
          <cell r="C411" t="str">
            <v>PON</v>
          </cell>
          <cell r="D411">
            <v>628073053</v>
          </cell>
          <cell r="E411" t="str">
            <v>CV C18 R3 Disc FS 56 LGNvy/Wht</v>
          </cell>
          <cell r="F411">
            <v>1</v>
          </cell>
          <cell r="G411">
            <v>0</v>
          </cell>
          <cell r="I411" t="str">
            <v>IE052</v>
          </cell>
          <cell r="L411">
            <v>5.6</v>
          </cell>
          <cell r="M411">
            <v>0.153</v>
          </cell>
          <cell r="N411" t="str">
            <v>5W</v>
          </cell>
          <cell r="P411" t="str">
            <v>PONCVL</v>
          </cell>
          <cell r="Q411" t="str">
            <v>/  /</v>
          </cell>
        </row>
        <row r="412">
          <cell r="A412">
            <v>4087357</v>
          </cell>
          <cell r="B412">
            <v>43783</v>
          </cell>
          <cell r="C412" t="str">
            <v>PON</v>
          </cell>
          <cell r="D412">
            <v>628073053</v>
          </cell>
          <cell r="E412" t="str">
            <v>CV C18 R3 Disc FS 56 LGNvy/Wht</v>
          </cell>
          <cell r="F412">
            <v>1</v>
          </cell>
          <cell r="G412">
            <v>0</v>
          </cell>
          <cell r="I412" t="str">
            <v>IE052</v>
          </cell>
          <cell r="L412">
            <v>5.6</v>
          </cell>
          <cell r="M412">
            <v>0.153</v>
          </cell>
          <cell r="N412" t="str">
            <v>5W</v>
          </cell>
          <cell r="P412" t="str">
            <v>PONCVL</v>
          </cell>
          <cell r="Q412" t="str">
            <v>/  /</v>
          </cell>
        </row>
        <row r="413">
          <cell r="A413">
            <v>4088669</v>
          </cell>
          <cell r="B413">
            <v>43783</v>
          </cell>
          <cell r="C413" t="str">
            <v>PON</v>
          </cell>
          <cell r="D413">
            <v>628073053</v>
          </cell>
          <cell r="E413" t="str">
            <v>CV C18 R3 Disc FS 56 LGNvy/Wht</v>
          </cell>
          <cell r="F413">
            <v>1</v>
          </cell>
          <cell r="G413">
            <v>0</v>
          </cell>
          <cell r="I413" t="str">
            <v>IE052</v>
          </cell>
          <cell r="L413">
            <v>5.6</v>
          </cell>
          <cell r="M413">
            <v>0.153</v>
          </cell>
          <cell r="N413" t="str">
            <v>5W</v>
          </cell>
          <cell r="P413" t="str">
            <v>PONCVL</v>
          </cell>
          <cell r="Q413" t="str">
            <v>/  /</v>
          </cell>
        </row>
        <row r="414">
          <cell r="A414">
            <v>4007216</v>
          </cell>
          <cell r="B414">
            <v>43818</v>
          </cell>
          <cell r="C414" t="str">
            <v>PON</v>
          </cell>
          <cell r="D414">
            <v>628073063</v>
          </cell>
          <cell r="E414" t="str">
            <v>CV C18 R3 Disc F/S 56 LG Fluo</v>
          </cell>
          <cell r="F414">
            <v>1</v>
          </cell>
          <cell r="G414">
            <v>0</v>
          </cell>
          <cell r="I414" t="str">
            <v>IE052</v>
          </cell>
          <cell r="L414">
            <v>5.6</v>
          </cell>
          <cell r="M414">
            <v>0.153</v>
          </cell>
          <cell r="N414" t="str">
            <v>5W</v>
          </cell>
          <cell r="P414" t="str">
            <v>PONCVL</v>
          </cell>
          <cell r="Q414" t="str">
            <v>/  /</v>
          </cell>
        </row>
        <row r="415">
          <cell r="A415">
            <v>3940082</v>
          </cell>
          <cell r="B415">
            <v>43783</v>
          </cell>
          <cell r="C415" t="str">
            <v>PON</v>
          </cell>
          <cell r="D415">
            <v>628073080</v>
          </cell>
          <cell r="E415" t="str">
            <v>CV C18 R3 F/S 48 XS Fluo/Black</v>
          </cell>
          <cell r="F415">
            <v>1</v>
          </cell>
          <cell r="G415">
            <v>0</v>
          </cell>
          <cell r="I415" t="str">
            <v>IE052</v>
          </cell>
          <cell r="L415">
            <v>4.9000000000000004</v>
          </cell>
          <cell r="M415">
            <v>0.122</v>
          </cell>
          <cell r="N415" t="str">
            <v>5W</v>
          </cell>
          <cell r="P415" t="str">
            <v>PONCVL</v>
          </cell>
          <cell r="Q415" t="str">
            <v>/  /</v>
          </cell>
        </row>
        <row r="416">
          <cell r="A416">
            <v>3944596</v>
          </cell>
          <cell r="B416">
            <v>43787</v>
          </cell>
          <cell r="C416" t="str">
            <v>PON</v>
          </cell>
          <cell r="D416">
            <v>614508131</v>
          </cell>
          <cell r="E416" t="str">
            <v>FC F14 F/S Cayo Evo Team 51 SM</v>
          </cell>
          <cell r="F416">
            <v>1</v>
          </cell>
          <cell r="G416">
            <v>0</v>
          </cell>
          <cell r="I416" t="str">
            <v>IE061</v>
          </cell>
          <cell r="J416">
            <v>1</v>
          </cell>
          <cell r="L416">
            <v>5.7</v>
          </cell>
          <cell r="M416">
            <v>0.155</v>
          </cell>
          <cell r="N416" t="str">
            <v>5W</v>
          </cell>
          <cell r="P416" t="str">
            <v>PONFCS</v>
          </cell>
          <cell r="Q416" t="str">
            <v>/  /</v>
          </cell>
        </row>
        <row r="417">
          <cell r="A417">
            <v>3944604</v>
          </cell>
          <cell r="B417">
            <v>43787</v>
          </cell>
          <cell r="C417" t="str">
            <v>PON</v>
          </cell>
          <cell r="D417">
            <v>628073052</v>
          </cell>
          <cell r="E417" t="str">
            <v>CV C18 R3 Disc FS 54 MDNvy/Wht</v>
          </cell>
          <cell r="F417">
            <v>1</v>
          </cell>
          <cell r="G417">
            <v>0</v>
          </cell>
          <cell r="I417" t="str">
            <v>IE061</v>
          </cell>
          <cell r="J417">
            <v>1</v>
          </cell>
          <cell r="L417">
            <v>5.6</v>
          </cell>
          <cell r="M417">
            <v>0.157</v>
          </cell>
          <cell r="N417" t="str">
            <v>5W</v>
          </cell>
          <cell r="P417" t="str">
            <v>PONCVL</v>
          </cell>
          <cell r="Q417" t="str">
            <v>/  /</v>
          </cell>
        </row>
        <row r="418">
          <cell r="A418">
            <v>3944634</v>
          </cell>
          <cell r="B418">
            <v>43787</v>
          </cell>
          <cell r="C418" t="str">
            <v>PON</v>
          </cell>
          <cell r="D418">
            <v>633073042</v>
          </cell>
          <cell r="E418" t="str">
            <v>CV C19R5 Rim F/S 54CMRd/Wh/Nvy</v>
          </cell>
          <cell r="F418">
            <v>1</v>
          </cell>
          <cell r="G418">
            <v>0</v>
          </cell>
          <cell r="I418" t="str">
            <v>IE061</v>
          </cell>
          <cell r="J418">
            <v>1</v>
          </cell>
          <cell r="L418">
            <v>5.0999999999999996</v>
          </cell>
          <cell r="M418">
            <v>0.14399999999999999</v>
          </cell>
          <cell r="N418" t="str">
            <v>5W</v>
          </cell>
          <cell r="P418" t="str">
            <v>PONCVL</v>
          </cell>
          <cell r="Q418" t="str">
            <v>/  /</v>
          </cell>
        </row>
        <row r="419">
          <cell r="A419">
            <v>3944636</v>
          </cell>
          <cell r="B419">
            <v>43787</v>
          </cell>
          <cell r="C419" t="str">
            <v>PON</v>
          </cell>
          <cell r="D419">
            <v>633073044</v>
          </cell>
          <cell r="E419" t="str">
            <v>CV C19R5 Rim F/S 58CMRd/Wh/Nvy</v>
          </cell>
          <cell r="F419">
            <v>1</v>
          </cell>
          <cell r="G419">
            <v>0</v>
          </cell>
          <cell r="I419" t="str">
            <v>IE061</v>
          </cell>
          <cell r="J419">
            <v>1</v>
          </cell>
          <cell r="L419">
            <v>5.2</v>
          </cell>
          <cell r="M419">
            <v>0.13800000000000001</v>
          </cell>
          <cell r="N419" t="str">
            <v>5W</v>
          </cell>
          <cell r="P419" t="str">
            <v>PONCVL</v>
          </cell>
          <cell r="Q419" t="str">
            <v>/  /</v>
          </cell>
        </row>
        <row r="420">
          <cell r="A420">
            <v>4473252</v>
          </cell>
          <cell r="B420">
            <v>44124</v>
          </cell>
          <cell r="C420" t="str">
            <v>PON</v>
          </cell>
          <cell r="D420">
            <v>633073051</v>
          </cell>
          <cell r="E420" t="str">
            <v>CV C19 R5 Ltd FS 51 SM Camo</v>
          </cell>
          <cell r="F420">
            <v>1</v>
          </cell>
          <cell r="G420">
            <v>0</v>
          </cell>
          <cell r="I420" t="str">
            <v>IE061</v>
          </cell>
          <cell r="L420">
            <v>4.9000000000000004</v>
          </cell>
          <cell r="M420">
            <v>0.128</v>
          </cell>
          <cell r="N420" t="str">
            <v>5W</v>
          </cell>
          <cell r="P420" t="str">
            <v>PONCVL</v>
          </cell>
          <cell r="Q420" t="str">
            <v>/  /</v>
          </cell>
        </row>
        <row r="421">
          <cell r="A421">
            <v>3937817</v>
          </cell>
          <cell r="B421">
            <v>43782</v>
          </cell>
          <cell r="C421" t="str">
            <v>PON</v>
          </cell>
          <cell r="D421">
            <v>628073063</v>
          </cell>
          <cell r="E421" t="str">
            <v>CV C18 R3 Disc F/S 56 LG Fluo</v>
          </cell>
          <cell r="F421">
            <v>1</v>
          </cell>
          <cell r="G421">
            <v>0</v>
          </cell>
          <cell r="I421" t="str">
            <v>IE062</v>
          </cell>
          <cell r="L421">
            <v>5.6</v>
          </cell>
          <cell r="M421">
            <v>0.153</v>
          </cell>
          <cell r="N421" t="str">
            <v>5W</v>
          </cell>
          <cell r="P421" t="str">
            <v>PONCVL</v>
          </cell>
          <cell r="Q421" t="str">
            <v>/  /</v>
          </cell>
        </row>
        <row r="422">
          <cell r="A422">
            <v>4022860</v>
          </cell>
          <cell r="B422">
            <v>43839</v>
          </cell>
          <cell r="C422" t="str">
            <v>PON</v>
          </cell>
          <cell r="D422">
            <v>628073120</v>
          </cell>
          <cell r="E422" t="str">
            <v>CVC18 R5Disc FS 48 XS Blk/G</v>
          </cell>
          <cell r="F422">
            <v>1</v>
          </cell>
          <cell r="G422">
            <v>0</v>
          </cell>
          <cell r="I422" t="str">
            <v>IE062</v>
          </cell>
          <cell r="L422">
            <v>6</v>
          </cell>
          <cell r="M422">
            <v>0.14000000000000001</v>
          </cell>
          <cell r="N422" t="str">
            <v>5W</v>
          </cell>
          <cell r="P422" t="str">
            <v>PONCVL</v>
          </cell>
          <cell r="Q422" t="str">
            <v>/  /</v>
          </cell>
        </row>
        <row r="423">
          <cell r="A423">
            <v>3937729</v>
          </cell>
          <cell r="B423">
            <v>43782</v>
          </cell>
          <cell r="C423" t="str">
            <v>PON</v>
          </cell>
          <cell r="D423">
            <v>628073185</v>
          </cell>
          <cell r="E423" t="str">
            <v>CV C18 P3 F/S 61 XXL Blk/Fluo</v>
          </cell>
          <cell r="F423">
            <v>1</v>
          </cell>
          <cell r="G423">
            <v>0</v>
          </cell>
          <cell r="I423" t="str">
            <v>IE062</v>
          </cell>
          <cell r="L423">
            <v>6</v>
          </cell>
          <cell r="M423">
            <v>0.17100000000000001</v>
          </cell>
          <cell r="N423" t="str">
            <v>5W</v>
          </cell>
          <cell r="P423" t="str">
            <v>PONCVL</v>
          </cell>
          <cell r="Q423" t="str">
            <v>/  /</v>
          </cell>
        </row>
        <row r="424">
          <cell r="A424">
            <v>4089541</v>
          </cell>
          <cell r="B424">
            <v>43780</v>
          </cell>
          <cell r="C424" t="str">
            <v>PON</v>
          </cell>
          <cell r="D424">
            <v>637073128</v>
          </cell>
          <cell r="E424" t="str">
            <v>CV C20S SerDsc F/S GphBlk Rd54</v>
          </cell>
          <cell r="F424">
            <v>1</v>
          </cell>
          <cell r="G424">
            <v>0</v>
          </cell>
          <cell r="I424" t="str">
            <v>IE062</v>
          </cell>
          <cell r="L424">
            <v>7.4</v>
          </cell>
          <cell r="M424">
            <v>0.16900000000000001</v>
          </cell>
          <cell r="N424" t="str">
            <v>5W</v>
          </cell>
          <cell r="P424" t="str">
            <v>PONCVL</v>
          </cell>
          <cell r="Q424" t="str">
            <v>/  /</v>
          </cell>
        </row>
        <row r="425">
          <cell r="A425">
            <v>4459086</v>
          </cell>
          <cell r="B425">
            <v>44112</v>
          </cell>
          <cell r="C425" t="str">
            <v>PON</v>
          </cell>
          <cell r="D425">
            <v>641080011</v>
          </cell>
          <cell r="E425" t="str">
            <v>F21 IZ MAX DISC F/S 50 XS L/G</v>
          </cell>
          <cell r="F425">
            <v>1</v>
          </cell>
          <cell r="G425">
            <v>0</v>
          </cell>
          <cell r="I425" t="str">
            <v>IE062</v>
          </cell>
          <cell r="L425">
            <v>5.8</v>
          </cell>
          <cell r="M425">
            <v>0.13800000000000001</v>
          </cell>
          <cell r="N425" t="str">
            <v>5W</v>
          </cell>
          <cell r="P425" t="str">
            <v>PONFCS</v>
          </cell>
          <cell r="Q425" t="str">
            <v>/  /</v>
          </cell>
        </row>
        <row r="426">
          <cell r="A426">
            <v>3949926</v>
          </cell>
          <cell r="B426">
            <v>43789</v>
          </cell>
          <cell r="C426" t="str">
            <v>PON</v>
          </cell>
          <cell r="D426">
            <v>623508001</v>
          </cell>
          <cell r="E426" t="str">
            <v>FC F16 F/S IZ Max Mech 50 XS</v>
          </cell>
          <cell r="F426">
            <v>1</v>
          </cell>
          <cell r="G426">
            <v>0</v>
          </cell>
          <cell r="I426" t="str">
            <v>IE071</v>
          </cell>
          <cell r="L426">
            <v>5.0999999999999996</v>
          </cell>
          <cell r="M426">
            <v>0.156</v>
          </cell>
          <cell r="N426" t="str">
            <v>5W</v>
          </cell>
          <cell r="P426" t="str">
            <v>PONFCS</v>
          </cell>
          <cell r="Q426" t="str">
            <v>/  /</v>
          </cell>
        </row>
        <row r="427">
          <cell r="A427">
            <v>3949963</v>
          </cell>
          <cell r="B427">
            <v>43789</v>
          </cell>
          <cell r="C427" t="str">
            <v>PON</v>
          </cell>
          <cell r="D427">
            <v>628073100</v>
          </cell>
          <cell r="E427" t="str">
            <v>CV C18 R5 F/S 48 XS Blk/Green</v>
          </cell>
          <cell r="F427">
            <v>1</v>
          </cell>
          <cell r="G427">
            <v>0</v>
          </cell>
          <cell r="I427" t="str">
            <v>IE071</v>
          </cell>
          <cell r="L427">
            <v>4.8</v>
          </cell>
          <cell r="M427">
            <v>0.11899999999999999</v>
          </cell>
          <cell r="N427" t="str">
            <v>5W</v>
          </cell>
          <cell r="P427" t="str">
            <v>PONCVL</v>
          </cell>
          <cell r="Q427" t="str">
            <v>/  /</v>
          </cell>
        </row>
        <row r="428">
          <cell r="A428">
            <v>3944642</v>
          </cell>
          <cell r="B428">
            <v>43787</v>
          </cell>
          <cell r="C428" t="str">
            <v>PON</v>
          </cell>
          <cell r="D428">
            <v>633073062</v>
          </cell>
          <cell r="E428" t="str">
            <v>CV C19 R5 Rim F/S 54CM Blk/Cr</v>
          </cell>
          <cell r="F428">
            <v>1</v>
          </cell>
          <cell r="G428">
            <v>0</v>
          </cell>
          <cell r="I428" t="str">
            <v>IE071</v>
          </cell>
          <cell r="J428">
            <v>1</v>
          </cell>
          <cell r="L428">
            <v>5.2</v>
          </cell>
          <cell r="M428">
            <v>0.14399999999999999</v>
          </cell>
          <cell r="N428" t="str">
            <v>5W</v>
          </cell>
          <cell r="P428" t="str">
            <v>PONCVL</v>
          </cell>
          <cell r="Q428" t="str">
            <v>/  /</v>
          </cell>
        </row>
        <row r="429">
          <cell r="A429">
            <v>3944650</v>
          </cell>
          <cell r="B429">
            <v>43787</v>
          </cell>
          <cell r="C429" t="str">
            <v>PON</v>
          </cell>
          <cell r="D429">
            <v>633073130</v>
          </cell>
          <cell r="E429" t="str">
            <v>C19 R5 Ltd FS Dsc 48 XS Camo</v>
          </cell>
          <cell r="F429">
            <v>1</v>
          </cell>
          <cell r="G429">
            <v>0</v>
          </cell>
          <cell r="I429" t="str">
            <v>IE071</v>
          </cell>
          <cell r="J429">
            <v>1</v>
          </cell>
          <cell r="L429">
            <v>5.0999999999999996</v>
          </cell>
          <cell r="M429">
            <v>0.13800000000000001</v>
          </cell>
          <cell r="N429" t="str">
            <v>5W</v>
          </cell>
          <cell r="P429" t="str">
            <v>PONCVL</v>
          </cell>
          <cell r="Q429" t="str">
            <v>/  /</v>
          </cell>
        </row>
        <row r="430">
          <cell r="A430">
            <v>4473250</v>
          </cell>
          <cell r="B430">
            <v>44124</v>
          </cell>
          <cell r="C430" t="str">
            <v>PON</v>
          </cell>
          <cell r="D430">
            <v>641073004</v>
          </cell>
          <cell r="E430" t="str">
            <v>C21 Aspero Black/Gold 58</v>
          </cell>
          <cell r="F430">
            <v>1</v>
          </cell>
          <cell r="G430">
            <v>0</v>
          </cell>
          <cell r="I430" t="str">
            <v>IE071</v>
          </cell>
          <cell r="L430">
            <v>6.9</v>
          </cell>
          <cell r="M430">
            <v>0.16900000000000001</v>
          </cell>
          <cell r="N430" t="str">
            <v>5W</v>
          </cell>
          <cell r="P430" t="str">
            <v>PONCVL</v>
          </cell>
          <cell r="Q430" t="str">
            <v>/  /</v>
          </cell>
        </row>
        <row r="431">
          <cell r="A431">
            <v>3940075</v>
          </cell>
          <cell r="B431">
            <v>43783</v>
          </cell>
          <cell r="C431" t="str">
            <v>PON</v>
          </cell>
          <cell r="D431">
            <v>628073070</v>
          </cell>
          <cell r="E431" t="str">
            <v>CV C18 R3 F/S 48 XS Navy/White</v>
          </cell>
          <cell r="F431">
            <v>1</v>
          </cell>
          <cell r="G431">
            <v>0</v>
          </cell>
          <cell r="I431" t="str">
            <v>IE072</v>
          </cell>
          <cell r="L431">
            <v>4.9000000000000004</v>
          </cell>
          <cell r="M431">
            <v>0.129</v>
          </cell>
          <cell r="N431" t="str">
            <v>5W</v>
          </cell>
          <cell r="P431" t="str">
            <v>PONCVL</v>
          </cell>
          <cell r="Q431" t="str">
            <v>/  /</v>
          </cell>
        </row>
        <row r="432">
          <cell r="A432">
            <v>3940682</v>
          </cell>
          <cell r="B432">
            <v>43784</v>
          </cell>
          <cell r="C432" t="str">
            <v>PON</v>
          </cell>
          <cell r="D432">
            <v>633080201</v>
          </cell>
          <cell r="E432" t="str">
            <v>FC F19 Izalco MaxDisc 8 FS50XS</v>
          </cell>
          <cell r="F432">
            <v>1</v>
          </cell>
          <cell r="G432">
            <v>0</v>
          </cell>
          <cell r="I432" t="str">
            <v>IE072</v>
          </cell>
          <cell r="L432">
            <v>5.8</v>
          </cell>
          <cell r="M432">
            <v>0.14699999999999999</v>
          </cell>
          <cell r="N432" t="str">
            <v>5W</v>
          </cell>
          <cell r="P432" t="str">
            <v>PONFCS</v>
          </cell>
          <cell r="Q432" t="str">
            <v>/  /</v>
          </cell>
        </row>
        <row r="433">
          <cell r="A433">
            <v>4087607</v>
          </cell>
          <cell r="B433">
            <v>43784</v>
          </cell>
          <cell r="C433" t="str">
            <v>PON</v>
          </cell>
          <cell r="D433">
            <v>633080201</v>
          </cell>
          <cell r="E433" t="str">
            <v>FC F19 Izalco MaxDisc 8 FS50XS</v>
          </cell>
          <cell r="F433">
            <v>1</v>
          </cell>
          <cell r="G433">
            <v>0</v>
          </cell>
          <cell r="I433" t="str">
            <v>IE072</v>
          </cell>
          <cell r="L433">
            <v>5.8</v>
          </cell>
          <cell r="M433">
            <v>0.14699999999999999</v>
          </cell>
          <cell r="N433" t="str">
            <v>5W</v>
          </cell>
          <cell r="P433" t="str">
            <v>PONFCS</v>
          </cell>
          <cell r="Q433" t="str">
            <v>/  /</v>
          </cell>
        </row>
        <row r="434">
          <cell r="A434">
            <v>4089406</v>
          </cell>
          <cell r="B434">
            <v>43784</v>
          </cell>
          <cell r="C434" t="str">
            <v>PON</v>
          </cell>
          <cell r="D434">
            <v>633080201</v>
          </cell>
          <cell r="E434" t="str">
            <v>FC F19 Izalco MaxDisc 8 FS50XS</v>
          </cell>
          <cell r="F434">
            <v>1</v>
          </cell>
          <cell r="G434">
            <v>0</v>
          </cell>
          <cell r="I434" t="str">
            <v>IE072</v>
          </cell>
          <cell r="L434">
            <v>5.8</v>
          </cell>
          <cell r="M434">
            <v>0.14699999999999999</v>
          </cell>
          <cell r="N434" t="str">
            <v>5W</v>
          </cell>
          <cell r="P434" t="str">
            <v>PONFCS</v>
          </cell>
          <cell r="Q434" t="str">
            <v>/  /</v>
          </cell>
        </row>
        <row r="435">
          <cell r="A435">
            <v>4459081</v>
          </cell>
          <cell r="B435">
            <v>44112</v>
          </cell>
          <cell r="C435" t="str">
            <v>PON</v>
          </cell>
          <cell r="D435">
            <v>641080010</v>
          </cell>
          <cell r="E435" t="str">
            <v>F21 IZ MAX DISC F/S  47XXS L/G</v>
          </cell>
          <cell r="F435">
            <v>1</v>
          </cell>
          <cell r="G435">
            <v>0</v>
          </cell>
          <cell r="I435" t="str">
            <v>IE072</v>
          </cell>
          <cell r="L435">
            <v>5.8</v>
          </cell>
          <cell r="M435">
            <v>0.13800000000000001</v>
          </cell>
          <cell r="N435" t="str">
            <v>5W</v>
          </cell>
          <cell r="P435" t="str">
            <v>PONFCS</v>
          </cell>
          <cell r="Q435" t="str">
            <v>/  /</v>
          </cell>
        </row>
        <row r="436">
          <cell r="A436">
            <v>4459082</v>
          </cell>
          <cell r="B436">
            <v>44112</v>
          </cell>
          <cell r="C436" t="str">
            <v>PON</v>
          </cell>
          <cell r="D436">
            <v>641080010</v>
          </cell>
          <cell r="E436" t="str">
            <v>F21 IZ MAX DISC F/S  47XXS L/G</v>
          </cell>
          <cell r="F436">
            <v>1</v>
          </cell>
          <cell r="G436">
            <v>0</v>
          </cell>
          <cell r="I436" t="str">
            <v>IE072</v>
          </cell>
          <cell r="L436">
            <v>5.8</v>
          </cell>
          <cell r="M436">
            <v>0.13800000000000001</v>
          </cell>
          <cell r="N436" t="str">
            <v>5W</v>
          </cell>
          <cell r="P436" t="str">
            <v>PONFCS</v>
          </cell>
          <cell r="Q436" t="str">
            <v>/  /</v>
          </cell>
        </row>
        <row r="437">
          <cell r="A437">
            <v>3949955</v>
          </cell>
          <cell r="B437">
            <v>43789</v>
          </cell>
          <cell r="C437" t="str">
            <v>PON</v>
          </cell>
          <cell r="D437">
            <v>628073063</v>
          </cell>
          <cell r="E437" t="str">
            <v>CV C18 R3 Disc F/S 56 LG Fluo</v>
          </cell>
          <cell r="F437">
            <v>1</v>
          </cell>
          <cell r="G437">
            <v>0</v>
          </cell>
          <cell r="I437" t="str">
            <v>IE081</v>
          </cell>
          <cell r="L437">
            <v>5.6</v>
          </cell>
          <cell r="M437">
            <v>0.153</v>
          </cell>
          <cell r="N437" t="str">
            <v>5W</v>
          </cell>
          <cell r="P437" t="str">
            <v>PONCVL</v>
          </cell>
          <cell r="Q437" t="str">
            <v>/  /</v>
          </cell>
        </row>
        <row r="438">
          <cell r="A438">
            <v>4095965</v>
          </cell>
          <cell r="B438">
            <v>43888</v>
          </cell>
          <cell r="C438" t="str">
            <v>PON</v>
          </cell>
          <cell r="D438">
            <v>637073038</v>
          </cell>
          <cell r="E438" t="str">
            <v>C20 P Ser Dsc F/S Wh LGry 58</v>
          </cell>
          <cell r="F438">
            <v>1</v>
          </cell>
          <cell r="G438">
            <v>0</v>
          </cell>
          <cell r="I438" t="str">
            <v>IE081</v>
          </cell>
          <cell r="L438">
            <v>7.3</v>
          </cell>
          <cell r="M438">
            <v>0.182</v>
          </cell>
          <cell r="N438" t="str">
            <v>5W</v>
          </cell>
          <cell r="P438" t="str">
            <v>PONCVL</v>
          </cell>
          <cell r="Q438" t="str">
            <v>/  /</v>
          </cell>
        </row>
        <row r="439">
          <cell r="A439">
            <v>4616500</v>
          </cell>
          <cell r="B439">
            <v>44204</v>
          </cell>
          <cell r="C439" t="str">
            <v>PON</v>
          </cell>
          <cell r="D439">
            <v>641073055</v>
          </cell>
          <cell r="E439" t="str">
            <v>C21 Cal 5 F/Set Silver/Blck 51</v>
          </cell>
          <cell r="F439">
            <v>1</v>
          </cell>
          <cell r="G439">
            <v>0</v>
          </cell>
          <cell r="I439" t="str">
            <v>IE081</v>
          </cell>
          <cell r="L439">
            <v>7.1</v>
          </cell>
          <cell r="M439">
            <v>0.17899999999999999</v>
          </cell>
          <cell r="N439" t="str">
            <v>5W</v>
          </cell>
          <cell r="P439" t="str">
            <v>PONCVL</v>
          </cell>
          <cell r="Q439" t="str">
            <v>/  /</v>
          </cell>
        </row>
        <row r="440">
          <cell r="A440">
            <v>4096342</v>
          </cell>
          <cell r="B440">
            <v>43886</v>
          </cell>
          <cell r="C440" t="str">
            <v>PON</v>
          </cell>
          <cell r="D440" t="str">
            <v>FS637078104</v>
          </cell>
          <cell r="E440" t="str">
            <v>C20 PSeries Frame Orange/Coral</v>
          </cell>
          <cell r="F440">
            <v>1</v>
          </cell>
          <cell r="G440">
            <v>0</v>
          </cell>
          <cell r="I440" t="str">
            <v>IE081</v>
          </cell>
          <cell r="L440">
            <v>6.8</v>
          </cell>
          <cell r="M440">
            <v>0.159</v>
          </cell>
          <cell r="N440" t="str">
            <v>5W</v>
          </cell>
          <cell r="P440" t="str">
            <v>PONCVL</v>
          </cell>
          <cell r="Q440" t="str">
            <v>/  /</v>
          </cell>
        </row>
        <row r="441">
          <cell r="A441">
            <v>3936770</v>
          </cell>
          <cell r="B441">
            <v>43782</v>
          </cell>
          <cell r="C441" t="str">
            <v>PON</v>
          </cell>
          <cell r="D441">
            <v>628073070</v>
          </cell>
          <cell r="E441" t="str">
            <v>CV C18 R3 F/S 48 XS Navy/White</v>
          </cell>
          <cell r="F441">
            <v>1</v>
          </cell>
          <cell r="G441">
            <v>0</v>
          </cell>
          <cell r="I441" t="str">
            <v>IE082</v>
          </cell>
          <cell r="L441">
            <v>4.9000000000000004</v>
          </cell>
          <cell r="M441">
            <v>0.129</v>
          </cell>
          <cell r="N441" t="str">
            <v>5W</v>
          </cell>
          <cell r="P441" t="str">
            <v>PONCVL</v>
          </cell>
          <cell r="Q441" t="str">
            <v>/  /</v>
          </cell>
        </row>
        <row r="442">
          <cell r="A442">
            <v>4081095</v>
          </cell>
          <cell r="B442">
            <v>43782</v>
          </cell>
          <cell r="C442" t="str">
            <v>PON</v>
          </cell>
          <cell r="D442">
            <v>628073070</v>
          </cell>
          <cell r="E442" t="str">
            <v>CV C18 R3 F/S 48 XS Navy/White</v>
          </cell>
          <cell r="F442">
            <v>1</v>
          </cell>
          <cell r="G442">
            <v>0</v>
          </cell>
          <cell r="I442" t="str">
            <v>IE082</v>
          </cell>
          <cell r="L442">
            <v>4.9000000000000004</v>
          </cell>
          <cell r="M442">
            <v>0.129</v>
          </cell>
          <cell r="N442" t="str">
            <v>5W</v>
          </cell>
          <cell r="P442" t="str">
            <v>PONCVL</v>
          </cell>
          <cell r="Q442" t="str">
            <v>/  /</v>
          </cell>
        </row>
        <row r="443">
          <cell r="A443">
            <v>3936774</v>
          </cell>
          <cell r="B443">
            <v>43782</v>
          </cell>
          <cell r="C443" t="str">
            <v>PON</v>
          </cell>
          <cell r="D443">
            <v>628073083</v>
          </cell>
          <cell r="E443" t="str">
            <v>CV C18 R3 F/S 56 LG Fluo/Black</v>
          </cell>
          <cell r="F443">
            <v>1</v>
          </cell>
          <cell r="G443">
            <v>0</v>
          </cell>
          <cell r="I443" t="str">
            <v>IE082</v>
          </cell>
          <cell r="L443">
            <v>6</v>
          </cell>
          <cell r="M443">
            <v>0.13600000000000001</v>
          </cell>
          <cell r="N443" t="str">
            <v>5W</v>
          </cell>
          <cell r="P443" t="str">
            <v>PONCVL</v>
          </cell>
          <cell r="Q443" t="str">
            <v>/  /</v>
          </cell>
        </row>
        <row r="444">
          <cell r="A444">
            <v>4081099</v>
          </cell>
          <cell r="B444">
            <v>43784</v>
          </cell>
          <cell r="C444" t="str">
            <v>PON</v>
          </cell>
          <cell r="D444">
            <v>628073104</v>
          </cell>
          <cell r="E444" t="str">
            <v>CV C18 R5 F/S 58 XL Blk/Green</v>
          </cell>
          <cell r="F444">
            <v>1</v>
          </cell>
          <cell r="G444">
            <v>0</v>
          </cell>
          <cell r="I444" t="str">
            <v>IE082</v>
          </cell>
          <cell r="L444">
            <v>5.3</v>
          </cell>
          <cell r="M444">
            <v>0.14799999999999999</v>
          </cell>
          <cell r="N444" t="str">
            <v>5W</v>
          </cell>
          <cell r="P444" t="str">
            <v>PONCVL</v>
          </cell>
          <cell r="Q444" t="str">
            <v>/  /</v>
          </cell>
        </row>
        <row r="445">
          <cell r="A445">
            <v>4144343</v>
          </cell>
          <cell r="B445">
            <v>43917</v>
          </cell>
          <cell r="C445" t="str">
            <v>PON</v>
          </cell>
          <cell r="D445">
            <v>633073105</v>
          </cell>
          <cell r="E445" t="str">
            <v>CV C19R5 DscF/S 61CMNvy/Rd/Oge</v>
          </cell>
          <cell r="F445">
            <v>1</v>
          </cell>
          <cell r="G445">
            <v>0</v>
          </cell>
          <cell r="I445" t="str">
            <v>IE082</v>
          </cell>
          <cell r="L445">
            <v>5.8</v>
          </cell>
          <cell r="M445">
            <v>0.16600000000000001</v>
          </cell>
          <cell r="N445" t="str">
            <v>5W</v>
          </cell>
          <cell r="P445" t="str">
            <v>PONCVL</v>
          </cell>
          <cell r="Q445" t="str">
            <v>/  /</v>
          </cell>
        </row>
        <row r="446">
          <cell r="A446">
            <v>3936816</v>
          </cell>
          <cell r="B446">
            <v>43782</v>
          </cell>
          <cell r="C446" t="str">
            <v>PON</v>
          </cell>
          <cell r="D446">
            <v>633073575</v>
          </cell>
          <cell r="E446" t="str">
            <v>CV C19 P3 F/S 61CM Flu/Blk/Wh</v>
          </cell>
          <cell r="F446">
            <v>1</v>
          </cell>
          <cell r="G446">
            <v>0</v>
          </cell>
          <cell r="I446" t="str">
            <v>IE082</v>
          </cell>
          <cell r="L446">
            <v>6</v>
          </cell>
          <cell r="M446">
            <v>0.14899999999999999</v>
          </cell>
          <cell r="N446" t="str">
            <v>5W</v>
          </cell>
          <cell r="P446" t="str">
            <v>PONCVL</v>
          </cell>
          <cell r="Q446" t="str">
            <v>/  /</v>
          </cell>
        </row>
        <row r="447">
          <cell r="A447">
            <v>3936808</v>
          </cell>
          <cell r="B447">
            <v>43782</v>
          </cell>
          <cell r="C447" t="str">
            <v>PON</v>
          </cell>
          <cell r="D447">
            <v>633073111</v>
          </cell>
          <cell r="E447" t="str">
            <v>CV C19 R5 Dsc F/S 51CM Blk/Gph</v>
          </cell>
          <cell r="F447">
            <v>1</v>
          </cell>
          <cell r="G447">
            <v>0</v>
          </cell>
          <cell r="I447" t="str">
            <v>IE091</v>
          </cell>
          <cell r="L447">
            <v>5.2</v>
          </cell>
          <cell r="M447">
            <v>0.14000000000000001</v>
          </cell>
          <cell r="N447" t="str">
            <v>5W</v>
          </cell>
          <cell r="P447" t="str">
            <v>PONCVL</v>
          </cell>
          <cell r="Q447" t="str">
            <v>/  /</v>
          </cell>
        </row>
        <row r="448">
          <cell r="A448">
            <v>4485619</v>
          </cell>
          <cell r="B448">
            <v>44131</v>
          </cell>
          <cell r="C448" t="str">
            <v>PON</v>
          </cell>
          <cell r="D448">
            <v>633073115</v>
          </cell>
          <cell r="E448" t="str">
            <v>CV C19 R5 Dsc F/S 61CM Blk/Gph</v>
          </cell>
          <cell r="F448">
            <v>1</v>
          </cell>
          <cell r="G448">
            <v>0</v>
          </cell>
          <cell r="I448" t="str">
            <v>IE091</v>
          </cell>
          <cell r="L448">
            <v>5.6</v>
          </cell>
          <cell r="M448">
            <v>0.16600000000000001</v>
          </cell>
          <cell r="N448" t="str">
            <v>5W</v>
          </cell>
          <cell r="P448" t="str">
            <v>PONCVL</v>
          </cell>
          <cell r="Q448" t="str">
            <v>/  /</v>
          </cell>
        </row>
        <row r="449">
          <cell r="A449">
            <v>3999137</v>
          </cell>
          <cell r="B449">
            <v>43815</v>
          </cell>
          <cell r="C449" t="str">
            <v>PON</v>
          </cell>
          <cell r="D449">
            <v>637080101</v>
          </cell>
          <cell r="E449" t="str">
            <v>FC MY20IZAL 700x50 XS Red Tint</v>
          </cell>
          <cell r="F449">
            <v>1</v>
          </cell>
          <cell r="G449">
            <v>0</v>
          </cell>
          <cell r="I449" t="str">
            <v>IE091</v>
          </cell>
          <cell r="L449">
            <v>5.7</v>
          </cell>
          <cell r="M449">
            <v>0.14199999999999999</v>
          </cell>
          <cell r="N449" t="str">
            <v>5W</v>
          </cell>
          <cell r="P449" t="str">
            <v>PONFCS</v>
          </cell>
          <cell r="Q449" t="str">
            <v>/  /</v>
          </cell>
        </row>
        <row r="450">
          <cell r="A450">
            <v>4081470</v>
          </cell>
          <cell r="B450">
            <v>43696</v>
          </cell>
          <cell r="C450" t="str">
            <v>PON</v>
          </cell>
          <cell r="D450">
            <v>633080201</v>
          </cell>
          <cell r="E450" t="str">
            <v>FC F19 Izalco MaxDisc 8 FS50XS</v>
          </cell>
          <cell r="F450">
            <v>1</v>
          </cell>
          <cell r="G450">
            <v>0</v>
          </cell>
          <cell r="I450" t="str">
            <v>IE092</v>
          </cell>
          <cell r="L450">
            <v>5.8</v>
          </cell>
          <cell r="M450">
            <v>0.14699999999999999</v>
          </cell>
          <cell r="N450" t="str">
            <v>5W</v>
          </cell>
          <cell r="P450" t="str">
            <v>PONFCS</v>
          </cell>
          <cell r="Q450" t="str">
            <v>/  /</v>
          </cell>
        </row>
        <row r="451">
          <cell r="A451">
            <v>4485621</v>
          </cell>
          <cell r="B451">
            <v>44131</v>
          </cell>
          <cell r="C451" t="str">
            <v>PON</v>
          </cell>
          <cell r="D451">
            <v>637073121</v>
          </cell>
          <cell r="E451" t="str">
            <v>CV C20S SerDscF/S Wh/Oge/Bur51</v>
          </cell>
          <cell r="F451">
            <v>1</v>
          </cell>
          <cell r="G451">
            <v>0</v>
          </cell>
          <cell r="I451" t="str">
            <v>IE092</v>
          </cell>
          <cell r="L451">
            <v>7.4</v>
          </cell>
          <cell r="M451">
            <v>0.16900000000000001</v>
          </cell>
          <cell r="N451" t="str">
            <v>5W</v>
          </cell>
          <cell r="P451" t="str">
            <v>PONCVL</v>
          </cell>
          <cell r="Q451" t="str">
            <v>/  /</v>
          </cell>
        </row>
        <row r="452">
          <cell r="A452">
            <v>4485624</v>
          </cell>
          <cell r="B452">
            <v>44131</v>
          </cell>
          <cell r="C452" t="str">
            <v>PON</v>
          </cell>
          <cell r="D452">
            <v>637073122</v>
          </cell>
          <cell r="E452" t="str">
            <v>CV C20S SerDscF/S Wh/Oge/Bur54</v>
          </cell>
          <cell r="F452">
            <v>1</v>
          </cell>
          <cell r="G452">
            <v>0</v>
          </cell>
          <cell r="I452" t="str">
            <v>IE092</v>
          </cell>
          <cell r="L452">
            <v>7.4</v>
          </cell>
          <cell r="M452">
            <v>0.187</v>
          </cell>
          <cell r="N452" t="str">
            <v>5W</v>
          </cell>
          <cell r="P452" t="str">
            <v>PONCVL</v>
          </cell>
          <cell r="Q452" t="str">
            <v>/  /</v>
          </cell>
        </row>
        <row r="453">
          <cell r="A453">
            <v>4087814</v>
          </cell>
          <cell r="B453">
            <v>43780</v>
          </cell>
          <cell r="C453" t="str">
            <v>PON</v>
          </cell>
          <cell r="D453">
            <v>637073128</v>
          </cell>
          <cell r="E453" t="str">
            <v>CV C20S SerDsc F/S GphBlk Rd54</v>
          </cell>
          <cell r="F453">
            <v>1</v>
          </cell>
          <cell r="G453">
            <v>0</v>
          </cell>
          <cell r="I453" t="str">
            <v>IE092</v>
          </cell>
          <cell r="L453">
            <v>7.4</v>
          </cell>
          <cell r="M453">
            <v>0.16900000000000001</v>
          </cell>
          <cell r="N453" t="str">
            <v>5W</v>
          </cell>
          <cell r="P453" t="str">
            <v>PONCVL</v>
          </cell>
          <cell r="Q453" t="str">
            <v>/  /</v>
          </cell>
        </row>
        <row r="454">
          <cell r="A454">
            <v>4086288</v>
          </cell>
          <cell r="B454">
            <v>43815</v>
          </cell>
          <cell r="C454" t="str">
            <v>PON</v>
          </cell>
          <cell r="D454">
            <v>637080103</v>
          </cell>
          <cell r="E454" t="str">
            <v>FC MY20IZAL 700x54 MED Red Tnt</v>
          </cell>
          <cell r="F454">
            <v>1</v>
          </cell>
          <cell r="G454">
            <v>0</v>
          </cell>
          <cell r="I454" t="str">
            <v>IE101</v>
          </cell>
          <cell r="L454">
            <v>6.2</v>
          </cell>
          <cell r="M454">
            <v>0.14299999999999999</v>
          </cell>
          <cell r="N454" t="str">
            <v>5W</v>
          </cell>
          <cell r="P454" t="str">
            <v>PONFCS</v>
          </cell>
          <cell r="Q454" t="str">
            <v>/  /</v>
          </cell>
        </row>
        <row r="455">
          <cell r="A455">
            <v>4087839</v>
          </cell>
          <cell r="B455">
            <v>43815</v>
          </cell>
          <cell r="C455" t="str">
            <v>PON</v>
          </cell>
          <cell r="D455">
            <v>637080103</v>
          </cell>
          <cell r="E455" t="str">
            <v>FC MY20IZAL 700x54 MED Red Tnt</v>
          </cell>
          <cell r="F455">
            <v>1</v>
          </cell>
          <cell r="G455">
            <v>0</v>
          </cell>
          <cell r="I455" t="str">
            <v>IE101</v>
          </cell>
          <cell r="L455">
            <v>6.2</v>
          </cell>
          <cell r="M455">
            <v>0.14299999999999999</v>
          </cell>
          <cell r="N455" t="str">
            <v>5W</v>
          </cell>
          <cell r="P455" t="str">
            <v>PONFCS</v>
          </cell>
          <cell r="Q455" t="str">
            <v>/  /</v>
          </cell>
        </row>
        <row r="456">
          <cell r="A456">
            <v>4089566</v>
          </cell>
          <cell r="B456">
            <v>43815</v>
          </cell>
          <cell r="C456" t="str">
            <v>PON</v>
          </cell>
          <cell r="D456">
            <v>637080103</v>
          </cell>
          <cell r="E456" t="str">
            <v>FC MY20IZAL 700x54 MED Red Tnt</v>
          </cell>
          <cell r="F456">
            <v>1</v>
          </cell>
          <cell r="G456">
            <v>0</v>
          </cell>
          <cell r="I456" t="str">
            <v>IE101</v>
          </cell>
          <cell r="L456">
            <v>6.2</v>
          </cell>
          <cell r="M456">
            <v>0.14299999999999999</v>
          </cell>
          <cell r="N456" t="str">
            <v>5W</v>
          </cell>
          <cell r="P456" t="str">
            <v>PONFCS</v>
          </cell>
          <cell r="Q456" t="str">
            <v>/  /</v>
          </cell>
        </row>
        <row r="457">
          <cell r="A457">
            <v>3999143</v>
          </cell>
          <cell r="B457">
            <v>43815</v>
          </cell>
          <cell r="C457" t="str">
            <v>PON</v>
          </cell>
          <cell r="D457">
            <v>637080104</v>
          </cell>
          <cell r="E457" t="str">
            <v>FC MY20IZAL 700x56 LGE Red Tnt</v>
          </cell>
          <cell r="F457">
            <v>1</v>
          </cell>
          <cell r="G457">
            <v>0</v>
          </cell>
          <cell r="I457" t="str">
            <v>IE101</v>
          </cell>
          <cell r="L457">
            <v>5.8</v>
          </cell>
          <cell r="M457">
            <v>0.151</v>
          </cell>
          <cell r="N457" t="str">
            <v>5W</v>
          </cell>
          <cell r="P457" t="str">
            <v>PONFCS</v>
          </cell>
          <cell r="Q457" t="str">
            <v>/  /</v>
          </cell>
        </row>
        <row r="458">
          <cell r="A458">
            <v>4087841</v>
          </cell>
          <cell r="B458">
            <v>43815</v>
          </cell>
          <cell r="C458" t="str">
            <v>PON</v>
          </cell>
          <cell r="D458">
            <v>637080104</v>
          </cell>
          <cell r="E458" t="str">
            <v>FC MY20IZAL 700x56 LGE Red Tnt</v>
          </cell>
          <cell r="F458">
            <v>1</v>
          </cell>
          <cell r="G458">
            <v>0</v>
          </cell>
          <cell r="I458" t="str">
            <v>IE101</v>
          </cell>
          <cell r="L458">
            <v>5.8</v>
          </cell>
          <cell r="M458">
            <v>0.151</v>
          </cell>
          <cell r="N458" t="str">
            <v>5W</v>
          </cell>
          <cell r="P458" t="str">
            <v>PONFCS</v>
          </cell>
          <cell r="Q458" t="str">
            <v>/  /</v>
          </cell>
        </row>
        <row r="459">
          <cell r="A459">
            <v>4089568</v>
          </cell>
          <cell r="B459">
            <v>43815</v>
          </cell>
          <cell r="C459" t="str">
            <v>PON</v>
          </cell>
          <cell r="D459">
            <v>637080104</v>
          </cell>
          <cell r="E459" t="str">
            <v>FC MY20IZAL 700x56 LGE Red Tnt</v>
          </cell>
          <cell r="F459">
            <v>1</v>
          </cell>
          <cell r="G459">
            <v>0</v>
          </cell>
          <cell r="I459" t="str">
            <v>IE101</v>
          </cell>
          <cell r="L459">
            <v>5.8</v>
          </cell>
          <cell r="M459">
            <v>0.151</v>
          </cell>
          <cell r="N459" t="str">
            <v>5W</v>
          </cell>
          <cell r="P459" t="str">
            <v>PONFCS</v>
          </cell>
          <cell r="Q459" t="str">
            <v>/  /</v>
          </cell>
        </row>
        <row r="460">
          <cell r="A460">
            <v>3936768</v>
          </cell>
          <cell r="B460">
            <v>43782</v>
          </cell>
          <cell r="C460" t="str">
            <v>PON</v>
          </cell>
          <cell r="D460">
            <v>628073062</v>
          </cell>
          <cell r="E460" t="str">
            <v>CV C18 R3 Disc F/S 54 MD Fluo</v>
          </cell>
          <cell r="F460">
            <v>1</v>
          </cell>
          <cell r="G460">
            <v>0</v>
          </cell>
          <cell r="I460" t="str">
            <v>IE102</v>
          </cell>
          <cell r="L460">
            <v>5.7</v>
          </cell>
          <cell r="M460">
            <v>0.154</v>
          </cell>
          <cell r="N460" t="str">
            <v>5W</v>
          </cell>
          <cell r="P460" t="str">
            <v>PONCVL</v>
          </cell>
          <cell r="Q460" t="str">
            <v>/  /</v>
          </cell>
        </row>
        <row r="461">
          <cell r="A461">
            <v>3936782</v>
          </cell>
          <cell r="B461">
            <v>43782</v>
          </cell>
          <cell r="C461" t="str">
            <v>PON</v>
          </cell>
          <cell r="D461">
            <v>628073175</v>
          </cell>
          <cell r="E461" t="str">
            <v>CV C18 P3 F/S 61 XXL Blk/Red</v>
          </cell>
          <cell r="F461">
            <v>1</v>
          </cell>
          <cell r="G461">
            <v>0</v>
          </cell>
          <cell r="I461" t="str">
            <v>IE102</v>
          </cell>
          <cell r="L461">
            <v>6</v>
          </cell>
          <cell r="M461">
            <v>0.14599999999999999</v>
          </cell>
          <cell r="N461" t="str">
            <v>5W</v>
          </cell>
          <cell r="P461" t="str">
            <v>PONCVL</v>
          </cell>
          <cell r="Q461" t="str">
            <v>/  /</v>
          </cell>
        </row>
        <row r="462">
          <cell r="A462">
            <v>4081387</v>
          </cell>
          <cell r="B462">
            <v>43782</v>
          </cell>
          <cell r="C462" t="str">
            <v>PON</v>
          </cell>
          <cell r="D462">
            <v>633073474</v>
          </cell>
          <cell r="E462" t="str">
            <v>CV C19S3 DscF/S 58CMFlu/Blk/Wh</v>
          </cell>
          <cell r="F462">
            <v>1</v>
          </cell>
          <cell r="G462">
            <v>0</v>
          </cell>
          <cell r="I462" t="str">
            <v>IE102</v>
          </cell>
          <cell r="L462">
            <v>7.2</v>
          </cell>
          <cell r="M462">
            <v>0.16500000000000001</v>
          </cell>
          <cell r="N462" t="str">
            <v>5W</v>
          </cell>
          <cell r="P462" t="str">
            <v>PONCVL</v>
          </cell>
          <cell r="Q462" t="str">
            <v>/  /</v>
          </cell>
        </row>
        <row r="463">
          <cell r="A463">
            <v>4459051</v>
          </cell>
          <cell r="B463">
            <v>44112</v>
          </cell>
          <cell r="C463" t="str">
            <v>PON</v>
          </cell>
          <cell r="D463">
            <v>641080002</v>
          </cell>
          <cell r="E463" t="str">
            <v>F21 IZ MAX DISC F/S 9 52S CBN</v>
          </cell>
          <cell r="F463">
            <v>1</v>
          </cell>
          <cell r="G463">
            <v>0</v>
          </cell>
          <cell r="I463" t="str">
            <v>IE102</v>
          </cell>
          <cell r="L463">
            <v>5.9</v>
          </cell>
          <cell r="M463">
            <v>0.13800000000000001</v>
          </cell>
          <cell r="N463" t="str">
            <v>5W</v>
          </cell>
          <cell r="P463" t="str">
            <v>PONFCS</v>
          </cell>
          <cell r="Q463" t="str">
            <v>/  /</v>
          </cell>
        </row>
        <row r="464">
          <cell r="A464">
            <v>4459052</v>
          </cell>
          <cell r="B464">
            <v>44112</v>
          </cell>
          <cell r="C464" t="str">
            <v>PON</v>
          </cell>
          <cell r="D464">
            <v>641080002</v>
          </cell>
          <cell r="E464" t="str">
            <v>F21 IZ MAX DISC F/S 9 52S CBN</v>
          </cell>
          <cell r="F464">
            <v>1</v>
          </cell>
          <cell r="G464">
            <v>0</v>
          </cell>
          <cell r="I464" t="str">
            <v>IE102</v>
          </cell>
          <cell r="L464">
            <v>5.9</v>
          </cell>
          <cell r="M464">
            <v>0.13800000000000001</v>
          </cell>
          <cell r="N464" t="str">
            <v>5W</v>
          </cell>
          <cell r="P464" t="str">
            <v>PONFCS</v>
          </cell>
          <cell r="Q464" t="str">
            <v>/  /</v>
          </cell>
        </row>
        <row r="465">
          <cell r="A465">
            <v>4087258</v>
          </cell>
          <cell r="B465">
            <v>43851</v>
          </cell>
          <cell r="C465" t="str">
            <v>PON</v>
          </cell>
          <cell r="D465">
            <v>613508112</v>
          </cell>
          <cell r="E465" t="str">
            <v>FC F13 FS IZ Team 1.0 52 SMDi2</v>
          </cell>
          <cell r="F465">
            <v>1</v>
          </cell>
          <cell r="G465">
            <v>0</v>
          </cell>
          <cell r="I465" t="str">
            <v>IE111</v>
          </cell>
          <cell r="L465">
            <v>5.7</v>
          </cell>
          <cell r="M465">
            <v>0.16800000000000001</v>
          </cell>
          <cell r="N465" t="str">
            <v>5W</v>
          </cell>
          <cell r="P465" t="str">
            <v>PONFCS</v>
          </cell>
          <cell r="Q465" t="str">
            <v>/  /</v>
          </cell>
        </row>
        <row r="466">
          <cell r="A466">
            <v>4088513</v>
          </cell>
          <cell r="B466">
            <v>43851</v>
          </cell>
          <cell r="C466" t="str">
            <v>PON</v>
          </cell>
          <cell r="D466">
            <v>613508112</v>
          </cell>
          <cell r="E466" t="str">
            <v>FC F13 FS IZ Team 1.0 52 SMDi2</v>
          </cell>
          <cell r="F466">
            <v>1</v>
          </cell>
          <cell r="G466">
            <v>0</v>
          </cell>
          <cell r="I466" t="str">
            <v>IE111</v>
          </cell>
          <cell r="L466">
            <v>5.7</v>
          </cell>
          <cell r="M466">
            <v>0.16800000000000001</v>
          </cell>
          <cell r="N466" t="str">
            <v>5W</v>
          </cell>
          <cell r="P466" t="str">
            <v>PONFCS</v>
          </cell>
          <cell r="Q466" t="str">
            <v>/  /</v>
          </cell>
        </row>
        <row r="467">
          <cell r="A467">
            <v>4023333</v>
          </cell>
          <cell r="B467">
            <v>43839</v>
          </cell>
          <cell r="C467" t="str">
            <v>PON</v>
          </cell>
          <cell r="D467">
            <v>628509202</v>
          </cell>
          <cell r="E467" t="str">
            <v>F18 IZ Max 52 SM Candy Red</v>
          </cell>
          <cell r="F467">
            <v>1</v>
          </cell>
          <cell r="G467">
            <v>0</v>
          </cell>
          <cell r="I467" t="str">
            <v>IE111</v>
          </cell>
          <cell r="L467">
            <v>5.0999999999999996</v>
          </cell>
          <cell r="M467">
            <v>0.16</v>
          </cell>
          <cell r="N467" t="str">
            <v>5W</v>
          </cell>
          <cell r="P467" t="str">
            <v>PONFCS</v>
          </cell>
          <cell r="Q467" t="str">
            <v>/  /</v>
          </cell>
        </row>
        <row r="468">
          <cell r="A468">
            <v>3892444</v>
          </cell>
          <cell r="B468">
            <v>43752</v>
          </cell>
          <cell r="C468" t="str">
            <v>PON</v>
          </cell>
          <cell r="D468" t="str">
            <v>FS628012015</v>
          </cell>
          <cell r="E468" t="str">
            <v>FC F18IZ MaxRd Etap F/set 58XL</v>
          </cell>
          <cell r="F468">
            <v>1</v>
          </cell>
          <cell r="G468">
            <v>0</v>
          </cell>
          <cell r="I468" t="str">
            <v>IE111</v>
          </cell>
          <cell r="L468">
            <v>4.0999999999999996</v>
          </cell>
          <cell r="M468">
            <v>0.14499999999999999</v>
          </cell>
          <cell r="N468" t="str">
            <v>5W</v>
          </cell>
          <cell r="P468" t="str">
            <v>PONFCS</v>
          </cell>
          <cell r="Q468" t="str">
            <v>/  /</v>
          </cell>
        </row>
        <row r="469">
          <cell r="A469">
            <v>4009200</v>
          </cell>
          <cell r="B469">
            <v>43819</v>
          </cell>
          <cell r="C469" t="str">
            <v>PON</v>
          </cell>
          <cell r="D469">
            <v>613076012</v>
          </cell>
          <cell r="E469" t="str">
            <v>Cervelo C13 R5 FS 51</v>
          </cell>
          <cell r="F469">
            <v>1</v>
          </cell>
          <cell r="G469">
            <v>0</v>
          </cell>
          <cell r="I469" t="str">
            <v>IE112</v>
          </cell>
          <cell r="L469">
            <v>4.3</v>
          </cell>
          <cell r="M469">
            <v>0.121</v>
          </cell>
          <cell r="N469" t="str">
            <v>5W</v>
          </cell>
          <cell r="P469" t="str">
            <v>PONCVL</v>
          </cell>
          <cell r="Q469" t="str">
            <v>/  /</v>
          </cell>
        </row>
        <row r="470">
          <cell r="A470">
            <v>4009205</v>
          </cell>
          <cell r="B470">
            <v>43819</v>
          </cell>
          <cell r="C470" t="str">
            <v>PON</v>
          </cell>
          <cell r="D470">
            <v>613076054</v>
          </cell>
          <cell r="E470" t="str">
            <v>Cervelo C13 P5 3 FS 56</v>
          </cell>
          <cell r="F470">
            <v>1</v>
          </cell>
          <cell r="G470">
            <v>0</v>
          </cell>
          <cell r="I470" t="str">
            <v>IE112</v>
          </cell>
          <cell r="L470">
            <v>6.8</v>
          </cell>
          <cell r="M470">
            <v>0.14000000000000001</v>
          </cell>
          <cell r="N470" t="str">
            <v>5W</v>
          </cell>
          <cell r="P470" t="str">
            <v>PONCVL</v>
          </cell>
          <cell r="Q470" t="str">
            <v>/  /</v>
          </cell>
        </row>
        <row r="471">
          <cell r="A471">
            <v>4009213</v>
          </cell>
          <cell r="B471">
            <v>43819</v>
          </cell>
          <cell r="C471" t="str">
            <v>PON</v>
          </cell>
          <cell r="D471">
            <v>623071042</v>
          </cell>
          <cell r="E471" t="str">
            <v>Cervelo C16 F/S C3 54</v>
          </cell>
          <cell r="F471">
            <v>1</v>
          </cell>
          <cell r="G471">
            <v>0</v>
          </cell>
          <cell r="I471" t="str">
            <v>IE112</v>
          </cell>
          <cell r="L471">
            <v>4.2</v>
          </cell>
          <cell r="M471">
            <v>0.13600000000000001</v>
          </cell>
          <cell r="N471" t="str">
            <v>5W</v>
          </cell>
          <cell r="P471" t="str">
            <v>PONCVL</v>
          </cell>
          <cell r="Q471" t="str">
            <v>/  /</v>
          </cell>
        </row>
        <row r="472">
          <cell r="A472">
            <v>4009239</v>
          </cell>
          <cell r="B472">
            <v>43819</v>
          </cell>
          <cell r="C472" t="str">
            <v>PON</v>
          </cell>
          <cell r="D472">
            <v>633073311</v>
          </cell>
          <cell r="E472" t="str">
            <v>CV C19 R3 Dsc F/S 51CM Blk /Wh</v>
          </cell>
          <cell r="F472">
            <v>1</v>
          </cell>
          <cell r="G472">
            <v>0</v>
          </cell>
          <cell r="I472" t="str">
            <v>IE112</v>
          </cell>
          <cell r="L472">
            <v>3.5</v>
          </cell>
          <cell r="M472">
            <v>0.182</v>
          </cell>
          <cell r="N472" t="str">
            <v>5W</v>
          </cell>
          <cell r="P472" t="str">
            <v>PONCVL</v>
          </cell>
          <cell r="Q472" t="str">
            <v>/  /</v>
          </cell>
        </row>
        <row r="473">
          <cell r="A473">
            <v>4459053</v>
          </cell>
          <cell r="B473">
            <v>44112</v>
          </cell>
          <cell r="C473" t="str">
            <v>PON</v>
          </cell>
          <cell r="D473">
            <v>641080002</v>
          </cell>
          <cell r="E473" t="str">
            <v>F21 IZ MAX DISC F/S 9 52S CBN</v>
          </cell>
          <cell r="F473">
            <v>1</v>
          </cell>
          <cell r="G473">
            <v>0</v>
          </cell>
          <cell r="I473" t="str">
            <v>IE112</v>
          </cell>
          <cell r="L473">
            <v>5.9</v>
          </cell>
          <cell r="M473">
            <v>0.13800000000000001</v>
          </cell>
          <cell r="N473" t="str">
            <v>5W</v>
          </cell>
          <cell r="P473" t="str">
            <v>PONFCS</v>
          </cell>
          <cell r="Q473" t="str">
            <v>/  /</v>
          </cell>
        </row>
        <row r="474">
          <cell r="A474">
            <v>4459054</v>
          </cell>
          <cell r="B474">
            <v>44112</v>
          </cell>
          <cell r="C474" t="str">
            <v>PON</v>
          </cell>
          <cell r="D474">
            <v>641080002</v>
          </cell>
          <cell r="E474" t="str">
            <v>F21 IZ MAX DISC F/S 9 52S CBN</v>
          </cell>
          <cell r="F474">
            <v>1</v>
          </cell>
          <cell r="G474">
            <v>0</v>
          </cell>
          <cell r="I474" t="str">
            <v>IE112</v>
          </cell>
          <cell r="L474">
            <v>5.9</v>
          </cell>
          <cell r="M474">
            <v>0.13800000000000001</v>
          </cell>
          <cell r="N474" t="str">
            <v>5W</v>
          </cell>
          <cell r="P474" t="str">
            <v>PONFCS</v>
          </cell>
          <cell r="Q474" t="str">
            <v>/  /</v>
          </cell>
        </row>
        <row r="475">
          <cell r="A475">
            <v>4459084</v>
          </cell>
          <cell r="B475">
            <v>44112</v>
          </cell>
          <cell r="C475" t="str">
            <v>PON</v>
          </cell>
          <cell r="D475">
            <v>641080011</v>
          </cell>
          <cell r="E475" t="str">
            <v>F21 IZ MAX DISC F/S 50 XS L/G</v>
          </cell>
          <cell r="F475">
            <v>1</v>
          </cell>
          <cell r="G475">
            <v>0</v>
          </cell>
          <cell r="I475" t="str">
            <v>IE112</v>
          </cell>
          <cell r="L475">
            <v>5.8</v>
          </cell>
          <cell r="M475">
            <v>0.13800000000000001</v>
          </cell>
          <cell r="N475" t="str">
            <v>5W</v>
          </cell>
          <cell r="P475" t="str">
            <v>PONFCS</v>
          </cell>
          <cell r="Q475" t="str">
            <v>/  /</v>
          </cell>
        </row>
        <row r="476">
          <cell r="A476">
            <v>4459085</v>
          </cell>
          <cell r="B476">
            <v>44112</v>
          </cell>
          <cell r="C476" t="str">
            <v>PON</v>
          </cell>
          <cell r="D476">
            <v>641080011</v>
          </cell>
          <cell r="E476" t="str">
            <v>F21 IZ MAX DISC F/S 50 XS L/G</v>
          </cell>
          <cell r="F476">
            <v>1</v>
          </cell>
          <cell r="G476">
            <v>0</v>
          </cell>
          <cell r="I476" t="str">
            <v>IE112</v>
          </cell>
          <cell r="L476">
            <v>5.8</v>
          </cell>
          <cell r="M476">
            <v>0.13800000000000001</v>
          </cell>
          <cell r="N476" t="str">
            <v>5W</v>
          </cell>
          <cell r="P476" t="str">
            <v>PONFCS</v>
          </cell>
          <cell r="Q476" t="str">
            <v>/  /</v>
          </cell>
        </row>
        <row r="477">
          <cell r="A477">
            <v>4036355</v>
          </cell>
          <cell r="B477">
            <v>43851</v>
          </cell>
          <cell r="C477" t="str">
            <v>PON</v>
          </cell>
          <cell r="D477">
            <v>612007112</v>
          </cell>
          <cell r="E477" t="str">
            <v>Focus F12 IZ F/S* PR 1.0 52SM</v>
          </cell>
          <cell r="F477">
            <v>1</v>
          </cell>
          <cell r="G477">
            <v>0</v>
          </cell>
          <cell r="I477" t="str">
            <v>IE121</v>
          </cell>
          <cell r="L477">
            <v>5.3</v>
          </cell>
          <cell r="M477">
            <v>0.16500000000000001</v>
          </cell>
          <cell r="N477" t="str">
            <v>5W</v>
          </cell>
          <cell r="P477" t="str">
            <v>PONFCS</v>
          </cell>
          <cell r="Q477" t="str">
            <v>/  /</v>
          </cell>
        </row>
        <row r="478">
          <cell r="A478">
            <v>4036359</v>
          </cell>
          <cell r="B478">
            <v>43851</v>
          </cell>
          <cell r="C478" t="str">
            <v>PON</v>
          </cell>
          <cell r="D478">
            <v>612007947</v>
          </cell>
          <cell r="E478" t="str">
            <v>Focus F12 F/S* Raven 6.0 MD48</v>
          </cell>
          <cell r="F478">
            <v>1</v>
          </cell>
          <cell r="G478">
            <v>0</v>
          </cell>
          <cell r="I478" t="str">
            <v>IE121</v>
          </cell>
          <cell r="L478">
            <v>5.4</v>
          </cell>
          <cell r="M478">
            <v>0.183</v>
          </cell>
          <cell r="N478" t="str">
            <v>5W</v>
          </cell>
          <cell r="P478" t="str">
            <v>PONFCS</v>
          </cell>
          <cell r="Q478" t="str">
            <v>/  /</v>
          </cell>
        </row>
        <row r="479">
          <cell r="A479">
            <v>4036377</v>
          </cell>
          <cell r="B479">
            <v>43851</v>
          </cell>
          <cell r="C479" t="str">
            <v>PON</v>
          </cell>
          <cell r="D479">
            <v>613508032</v>
          </cell>
          <cell r="E479" t="str">
            <v>FC F13 FS Cayo Evo 5.0 54 MD</v>
          </cell>
          <cell r="F479">
            <v>1</v>
          </cell>
          <cell r="G479">
            <v>0</v>
          </cell>
          <cell r="I479" t="str">
            <v>IE121</v>
          </cell>
          <cell r="L479">
            <v>5</v>
          </cell>
          <cell r="M479">
            <v>0.13700000000000001</v>
          </cell>
          <cell r="N479" t="str">
            <v>5W</v>
          </cell>
          <cell r="P479" t="str">
            <v>PONFCS</v>
          </cell>
          <cell r="Q479" t="str">
            <v>/  /</v>
          </cell>
        </row>
        <row r="480">
          <cell r="A480">
            <v>4037631</v>
          </cell>
          <cell r="B480">
            <v>43851</v>
          </cell>
          <cell r="C480" t="str">
            <v>PON</v>
          </cell>
          <cell r="D480">
            <v>614508060</v>
          </cell>
          <cell r="E480" t="str">
            <v>FC F14 FSIZ Team 1.0 48 XXSDi2</v>
          </cell>
          <cell r="F480">
            <v>1</v>
          </cell>
          <cell r="G480">
            <v>0</v>
          </cell>
          <cell r="I480" t="str">
            <v>IE121</v>
          </cell>
          <cell r="L480">
            <v>5.7</v>
          </cell>
          <cell r="M480">
            <v>0.17499999999999999</v>
          </cell>
          <cell r="N480" t="str">
            <v>5W</v>
          </cell>
          <cell r="P480" t="str">
            <v>PONFCS</v>
          </cell>
          <cell r="Q480" t="str">
            <v>/  /</v>
          </cell>
        </row>
        <row r="481">
          <cell r="A481">
            <v>4036402</v>
          </cell>
          <cell r="B481">
            <v>43851</v>
          </cell>
          <cell r="C481" t="str">
            <v>PON</v>
          </cell>
          <cell r="D481">
            <v>614508131</v>
          </cell>
          <cell r="E481" t="str">
            <v>FC F14 F/S Cayo Evo Team 51 SM</v>
          </cell>
          <cell r="F481">
            <v>1</v>
          </cell>
          <cell r="G481">
            <v>0</v>
          </cell>
          <cell r="I481" t="str">
            <v>IE121</v>
          </cell>
          <cell r="L481">
            <v>5.7</v>
          </cell>
          <cell r="M481">
            <v>0.155</v>
          </cell>
          <cell r="N481" t="str">
            <v>5W</v>
          </cell>
          <cell r="P481" t="str">
            <v>PONFCS</v>
          </cell>
          <cell r="Q481" t="str">
            <v>/  /</v>
          </cell>
        </row>
        <row r="482">
          <cell r="A482">
            <v>3936772</v>
          </cell>
          <cell r="B482">
            <v>43782</v>
          </cell>
          <cell r="C482" t="str">
            <v>PON</v>
          </cell>
          <cell r="D482">
            <v>628073071</v>
          </cell>
          <cell r="E482" t="str">
            <v>CV C18 R3 F/S 51 SM Navy/White</v>
          </cell>
          <cell r="F482">
            <v>1</v>
          </cell>
          <cell r="G482">
            <v>0</v>
          </cell>
          <cell r="I482" t="str">
            <v>IE122</v>
          </cell>
          <cell r="L482">
            <v>4.9000000000000004</v>
          </cell>
          <cell r="M482">
            <v>0.12</v>
          </cell>
          <cell r="N482" t="str">
            <v>5W</v>
          </cell>
          <cell r="P482" t="str">
            <v>PONCVL</v>
          </cell>
          <cell r="Q482" t="str">
            <v>/  /</v>
          </cell>
        </row>
        <row r="483">
          <cell r="A483">
            <v>3936812</v>
          </cell>
          <cell r="B483">
            <v>43782</v>
          </cell>
          <cell r="C483" t="str">
            <v>PON</v>
          </cell>
          <cell r="D483">
            <v>633073461</v>
          </cell>
          <cell r="E483" t="str">
            <v>CV C19S3 RimF/S 51CMEm/Nvy/Grn</v>
          </cell>
          <cell r="F483">
            <v>1</v>
          </cell>
          <cell r="G483">
            <v>0</v>
          </cell>
          <cell r="I483" t="str">
            <v>IE122</v>
          </cell>
          <cell r="L483">
            <v>6.8</v>
          </cell>
          <cell r="M483">
            <v>0.16600000000000001</v>
          </cell>
          <cell r="N483" t="str">
            <v>5W</v>
          </cell>
          <cell r="P483" t="str">
            <v>PONCVL</v>
          </cell>
          <cell r="Q483" t="str">
            <v>/  /</v>
          </cell>
        </row>
        <row r="484">
          <cell r="A484">
            <v>3936822</v>
          </cell>
          <cell r="B484">
            <v>43782</v>
          </cell>
          <cell r="C484" t="str">
            <v>PON</v>
          </cell>
          <cell r="D484">
            <v>633073600</v>
          </cell>
          <cell r="E484" t="str">
            <v>CV C19C3 DscF/S 48CMOlv/Oge/Rd</v>
          </cell>
          <cell r="F484">
            <v>1</v>
          </cell>
          <cell r="G484">
            <v>0</v>
          </cell>
          <cell r="I484" t="str">
            <v>IE122</v>
          </cell>
          <cell r="L484">
            <v>5.0999999999999996</v>
          </cell>
          <cell r="M484">
            <v>0.129</v>
          </cell>
          <cell r="N484" t="str">
            <v>5W</v>
          </cell>
          <cell r="P484" t="str">
            <v>PONCVL</v>
          </cell>
          <cell r="Q484" t="str">
            <v>/  /</v>
          </cell>
        </row>
        <row r="485">
          <cell r="A485">
            <v>3933022</v>
          </cell>
          <cell r="B485">
            <v>43780</v>
          </cell>
          <cell r="C485" t="str">
            <v>PON</v>
          </cell>
          <cell r="D485">
            <v>637073128</v>
          </cell>
          <cell r="E485" t="str">
            <v>CV C20S SerDsc F/S GphBlk Rd54</v>
          </cell>
          <cell r="F485">
            <v>1</v>
          </cell>
          <cell r="G485">
            <v>0</v>
          </cell>
          <cell r="I485" t="str">
            <v>IE122</v>
          </cell>
          <cell r="L485">
            <v>7.4</v>
          </cell>
          <cell r="M485">
            <v>0.16900000000000001</v>
          </cell>
          <cell r="N485" t="str">
            <v>5W</v>
          </cell>
          <cell r="P485" t="str">
            <v>PONCVL</v>
          </cell>
          <cell r="Q485" t="str">
            <v>/  /</v>
          </cell>
        </row>
        <row r="486">
          <cell r="A486">
            <v>3943844</v>
          </cell>
          <cell r="B486">
            <v>43784</v>
          </cell>
          <cell r="C486" t="str">
            <v>PON</v>
          </cell>
          <cell r="D486" t="str">
            <v>OCOS5DFS2X58</v>
          </cell>
          <cell r="E486" t="str">
            <v>S5 Frameset Blk Blk/Flr Sz 58</v>
          </cell>
          <cell r="F486">
            <v>1</v>
          </cell>
          <cell r="G486">
            <v>0</v>
          </cell>
          <cell r="I486" t="str">
            <v>IE122</v>
          </cell>
          <cell r="L486">
            <v>5.5</v>
          </cell>
          <cell r="M486">
            <v>0.14399999999999999</v>
          </cell>
          <cell r="N486" t="str">
            <v>5W</v>
          </cell>
          <cell r="P486" t="str">
            <v>PONCVL</v>
          </cell>
          <cell r="Q486" t="str">
            <v>/  /</v>
          </cell>
        </row>
        <row r="487">
          <cell r="A487">
            <v>4088505</v>
          </cell>
          <cell r="B487">
            <v>43784</v>
          </cell>
          <cell r="C487" t="str">
            <v>PON</v>
          </cell>
          <cell r="D487" t="str">
            <v>OCOS5DFS2X58</v>
          </cell>
          <cell r="E487" t="str">
            <v>S5 Frameset Blk Blk/Flr Sz 58</v>
          </cell>
          <cell r="F487">
            <v>1</v>
          </cell>
          <cell r="G487">
            <v>0</v>
          </cell>
          <cell r="I487" t="str">
            <v>IE122</v>
          </cell>
          <cell r="L487">
            <v>5.5</v>
          </cell>
          <cell r="M487">
            <v>0.14399999999999999</v>
          </cell>
          <cell r="N487" t="str">
            <v>5W</v>
          </cell>
          <cell r="P487" t="str">
            <v>PONCVL</v>
          </cell>
          <cell r="Q487" t="str">
            <v>/  /</v>
          </cell>
        </row>
        <row r="488">
          <cell r="A488">
            <v>3936778</v>
          </cell>
          <cell r="B488">
            <v>43782</v>
          </cell>
          <cell r="C488" t="str">
            <v>PON</v>
          </cell>
          <cell r="D488">
            <v>628073120</v>
          </cell>
          <cell r="E488" t="str">
            <v>CVC18 R5Disc FS 48 XS Blk/G</v>
          </cell>
          <cell r="F488">
            <v>1</v>
          </cell>
          <cell r="G488">
            <v>0</v>
          </cell>
          <cell r="I488" t="str">
            <v>IE131</v>
          </cell>
          <cell r="L488">
            <v>6</v>
          </cell>
          <cell r="M488">
            <v>0.14000000000000001</v>
          </cell>
          <cell r="N488" t="str">
            <v>5W</v>
          </cell>
          <cell r="P488" t="str">
            <v>PONCVL</v>
          </cell>
          <cell r="Q488" t="str">
            <v>/  /</v>
          </cell>
        </row>
        <row r="489">
          <cell r="A489">
            <v>3943807</v>
          </cell>
          <cell r="B489">
            <v>43784</v>
          </cell>
          <cell r="C489" t="str">
            <v>PON</v>
          </cell>
          <cell r="D489">
            <v>633073012</v>
          </cell>
          <cell r="E489" t="str">
            <v>CV C19 R5 Rim F/S 54CM Blk/Gph</v>
          </cell>
          <cell r="F489">
            <v>1</v>
          </cell>
          <cell r="G489">
            <v>0</v>
          </cell>
          <cell r="I489" t="str">
            <v>IE131</v>
          </cell>
          <cell r="L489">
            <v>5</v>
          </cell>
          <cell r="M489">
            <v>0.13100000000000001</v>
          </cell>
          <cell r="N489" t="str">
            <v>5W</v>
          </cell>
          <cell r="P489" t="str">
            <v>PONCVL</v>
          </cell>
          <cell r="Q489" t="str">
            <v>/  /</v>
          </cell>
        </row>
        <row r="490">
          <cell r="A490">
            <v>3944660</v>
          </cell>
          <cell r="B490">
            <v>43787</v>
          </cell>
          <cell r="C490" t="str">
            <v>PON</v>
          </cell>
          <cell r="D490">
            <v>633073452</v>
          </cell>
          <cell r="E490" t="str">
            <v>CV C19S3 RimF/S 54CMGph/Blk/Rd</v>
          </cell>
          <cell r="F490">
            <v>1</v>
          </cell>
          <cell r="G490">
            <v>0</v>
          </cell>
          <cell r="I490" t="str">
            <v>IE132</v>
          </cell>
          <cell r="J490">
            <v>1</v>
          </cell>
          <cell r="L490">
            <v>6.7</v>
          </cell>
          <cell r="M490">
            <v>0.16900000000000001</v>
          </cell>
          <cell r="N490" t="str">
            <v>5W</v>
          </cell>
          <cell r="P490" t="str">
            <v>PONCVL</v>
          </cell>
          <cell r="Q490" t="str">
            <v>/  /</v>
          </cell>
        </row>
        <row r="491">
          <cell r="A491">
            <v>4086165</v>
          </cell>
          <cell r="B491">
            <v>43787</v>
          </cell>
          <cell r="C491" t="str">
            <v>PON</v>
          </cell>
          <cell r="D491">
            <v>633073452</v>
          </cell>
          <cell r="E491" t="str">
            <v>CV C19S3 RimF/S 54CMGph/Blk/Rd</v>
          </cell>
          <cell r="F491">
            <v>1</v>
          </cell>
          <cell r="G491">
            <v>0</v>
          </cell>
          <cell r="I491" t="str">
            <v>IE132</v>
          </cell>
          <cell r="J491">
            <v>1</v>
          </cell>
          <cell r="L491">
            <v>6.7</v>
          </cell>
          <cell r="M491">
            <v>0.16900000000000001</v>
          </cell>
          <cell r="N491" t="str">
            <v>5W</v>
          </cell>
          <cell r="P491" t="str">
            <v>PONCVL</v>
          </cell>
          <cell r="Q491" t="str">
            <v>/  /</v>
          </cell>
        </row>
        <row r="492">
          <cell r="A492">
            <v>4087533</v>
          </cell>
          <cell r="B492">
            <v>43787</v>
          </cell>
          <cell r="C492" t="str">
            <v>PON</v>
          </cell>
          <cell r="D492">
            <v>633073452</v>
          </cell>
          <cell r="E492" t="str">
            <v>CV C19S3 RimF/S 54CMGph/Blk/Rd</v>
          </cell>
          <cell r="F492">
            <v>1</v>
          </cell>
          <cell r="G492">
            <v>0</v>
          </cell>
          <cell r="I492" t="str">
            <v>IE132</v>
          </cell>
          <cell r="J492">
            <v>1</v>
          </cell>
          <cell r="L492">
            <v>6.7</v>
          </cell>
          <cell r="M492">
            <v>0.16900000000000001</v>
          </cell>
          <cell r="N492" t="str">
            <v>5W</v>
          </cell>
          <cell r="P492" t="str">
            <v>PONCVL</v>
          </cell>
          <cell r="Q492" t="str">
            <v>/  /</v>
          </cell>
        </row>
        <row r="493">
          <cell r="A493">
            <v>4088967</v>
          </cell>
          <cell r="B493">
            <v>43787</v>
          </cell>
          <cell r="C493" t="str">
            <v>PON</v>
          </cell>
          <cell r="D493">
            <v>633073452</v>
          </cell>
          <cell r="E493" t="str">
            <v>CV C19S3 RimF/S 54CMGph/Blk/Rd</v>
          </cell>
          <cell r="F493">
            <v>1</v>
          </cell>
          <cell r="G493">
            <v>0</v>
          </cell>
          <cell r="I493" t="str">
            <v>IE132</v>
          </cell>
          <cell r="J493">
            <v>1</v>
          </cell>
          <cell r="L493">
            <v>6.7</v>
          </cell>
          <cell r="M493">
            <v>0.16900000000000001</v>
          </cell>
          <cell r="N493" t="str">
            <v>5W</v>
          </cell>
          <cell r="P493" t="str">
            <v>PONCVL</v>
          </cell>
          <cell r="Q493" t="str">
            <v>/  /</v>
          </cell>
        </row>
        <row r="494">
          <cell r="A494">
            <v>4087608</v>
          </cell>
          <cell r="B494">
            <v>43696</v>
          </cell>
          <cell r="C494" t="str">
            <v>PON</v>
          </cell>
          <cell r="D494">
            <v>633080203</v>
          </cell>
          <cell r="E494" t="str">
            <v>FC F19 Izalco MaxDisc 8 FS 54M</v>
          </cell>
          <cell r="F494">
            <v>1</v>
          </cell>
          <cell r="G494">
            <v>0</v>
          </cell>
          <cell r="I494" t="str">
            <v>IE132</v>
          </cell>
          <cell r="L494">
            <v>12.6</v>
          </cell>
          <cell r="M494">
            <v>0.222</v>
          </cell>
          <cell r="N494" t="str">
            <v>5W</v>
          </cell>
          <cell r="P494" t="str">
            <v>PONFCS</v>
          </cell>
          <cell r="Q494" t="str">
            <v>/  /</v>
          </cell>
        </row>
        <row r="495">
          <cell r="A495">
            <v>4089408</v>
          </cell>
          <cell r="B495">
            <v>43696</v>
          </cell>
          <cell r="C495" t="str">
            <v>PON</v>
          </cell>
          <cell r="D495">
            <v>633080203</v>
          </cell>
          <cell r="E495" t="str">
            <v>FC F19 Izalco MaxDisc 8 FS 54M</v>
          </cell>
          <cell r="F495">
            <v>1</v>
          </cell>
          <cell r="G495">
            <v>0</v>
          </cell>
          <cell r="I495" t="str">
            <v>IE132</v>
          </cell>
          <cell r="L495">
            <v>12.6</v>
          </cell>
          <cell r="M495">
            <v>0.222</v>
          </cell>
          <cell r="N495" t="str">
            <v>5W</v>
          </cell>
          <cell r="P495" t="str">
            <v>PONFCS</v>
          </cell>
          <cell r="Q495" t="str">
            <v>/  /</v>
          </cell>
        </row>
        <row r="496">
          <cell r="A496">
            <v>3943758</v>
          </cell>
          <cell r="B496">
            <v>43784</v>
          </cell>
          <cell r="C496" t="str">
            <v>PON</v>
          </cell>
          <cell r="D496">
            <v>628073094</v>
          </cell>
          <cell r="E496" t="str">
            <v>CV C18 R5 F/S 58 XL Black/Fluo</v>
          </cell>
          <cell r="F496">
            <v>1</v>
          </cell>
          <cell r="G496">
            <v>0</v>
          </cell>
          <cell r="I496" t="str">
            <v>IE141</v>
          </cell>
          <cell r="L496">
            <v>5.2</v>
          </cell>
          <cell r="M496">
            <v>0.14799999999999999</v>
          </cell>
          <cell r="N496" t="str">
            <v>5W</v>
          </cell>
          <cell r="P496" t="str">
            <v>PONCVL</v>
          </cell>
          <cell r="Q496" t="str">
            <v>/  /</v>
          </cell>
        </row>
        <row r="497">
          <cell r="A497">
            <v>3953678</v>
          </cell>
          <cell r="B497">
            <v>43790</v>
          </cell>
          <cell r="C497" t="str">
            <v>PON</v>
          </cell>
          <cell r="D497">
            <v>633073312</v>
          </cell>
          <cell r="E497" t="str">
            <v>CV C19 R3 Dsc F/S 54CM Blk /Wh</v>
          </cell>
          <cell r="F497">
            <v>1</v>
          </cell>
          <cell r="G497">
            <v>0</v>
          </cell>
          <cell r="I497" t="str">
            <v>IE141</v>
          </cell>
          <cell r="L497">
            <v>3.6</v>
          </cell>
          <cell r="M497">
            <v>0.182</v>
          </cell>
          <cell r="N497" t="str">
            <v>5W</v>
          </cell>
          <cell r="P497" t="str">
            <v>PONCVL</v>
          </cell>
          <cell r="Q497" t="str">
            <v>/  /</v>
          </cell>
        </row>
        <row r="498">
          <cell r="A498">
            <v>4086163</v>
          </cell>
          <cell r="B498">
            <v>43790</v>
          </cell>
          <cell r="C498" t="str">
            <v>PON</v>
          </cell>
          <cell r="D498">
            <v>633073312</v>
          </cell>
          <cell r="E498" t="str">
            <v>CV C19 R3 Dsc F/S 54CM Blk /Wh</v>
          </cell>
          <cell r="F498">
            <v>1</v>
          </cell>
          <cell r="G498">
            <v>0</v>
          </cell>
          <cell r="I498" t="str">
            <v>IE141</v>
          </cell>
          <cell r="L498">
            <v>3.6</v>
          </cell>
          <cell r="M498">
            <v>0.182</v>
          </cell>
          <cell r="N498" t="str">
            <v>5W</v>
          </cell>
          <cell r="P498" t="str">
            <v>PONCVL</v>
          </cell>
          <cell r="Q498" t="str">
            <v>/  /</v>
          </cell>
        </row>
        <row r="499">
          <cell r="A499">
            <v>4087524</v>
          </cell>
          <cell r="B499">
            <v>43790</v>
          </cell>
          <cell r="C499" t="str">
            <v>PON</v>
          </cell>
          <cell r="D499">
            <v>633073312</v>
          </cell>
          <cell r="E499" t="str">
            <v>CV C19 R3 Dsc F/S 54CM Blk /Wh</v>
          </cell>
          <cell r="F499">
            <v>1</v>
          </cell>
          <cell r="G499">
            <v>0</v>
          </cell>
          <cell r="I499" t="str">
            <v>IE141</v>
          </cell>
          <cell r="L499">
            <v>3.6</v>
          </cell>
          <cell r="M499">
            <v>0.182</v>
          </cell>
          <cell r="N499" t="str">
            <v>5W</v>
          </cell>
          <cell r="P499" t="str">
            <v>PONCVL</v>
          </cell>
          <cell r="Q499" t="str">
            <v>/  /</v>
          </cell>
        </row>
        <row r="500">
          <cell r="A500">
            <v>4088950</v>
          </cell>
          <cell r="B500">
            <v>43790</v>
          </cell>
          <cell r="C500" t="str">
            <v>PON</v>
          </cell>
          <cell r="D500">
            <v>633073312</v>
          </cell>
          <cell r="E500" t="str">
            <v>CV C19 R3 Dsc F/S 54CM Blk /Wh</v>
          </cell>
          <cell r="F500">
            <v>1</v>
          </cell>
          <cell r="G500">
            <v>0</v>
          </cell>
          <cell r="I500" t="str">
            <v>IE141</v>
          </cell>
          <cell r="L500">
            <v>3.6</v>
          </cell>
          <cell r="M500">
            <v>0.182</v>
          </cell>
          <cell r="N500" t="str">
            <v>5W</v>
          </cell>
          <cell r="P500" t="str">
            <v>PONCVL</v>
          </cell>
          <cell r="Q500" t="str">
            <v>/  /</v>
          </cell>
        </row>
        <row r="501">
          <cell r="A501">
            <v>3944598</v>
          </cell>
          <cell r="B501">
            <v>43787</v>
          </cell>
          <cell r="C501" t="str">
            <v>PON</v>
          </cell>
          <cell r="D501">
            <v>620508061</v>
          </cell>
          <cell r="E501" t="str">
            <v>FC F15 F/S Cayo 3.0 Disc 51 SM</v>
          </cell>
          <cell r="F501">
            <v>1</v>
          </cell>
          <cell r="G501">
            <v>0</v>
          </cell>
          <cell r="I501" t="str">
            <v>IE151</v>
          </cell>
          <cell r="J501">
            <v>1</v>
          </cell>
          <cell r="L501">
            <v>5.7</v>
          </cell>
          <cell r="M501">
            <v>0.17299999999999999</v>
          </cell>
          <cell r="N501" t="str">
            <v>5W</v>
          </cell>
          <cell r="P501" t="str">
            <v>PONFCS</v>
          </cell>
          <cell r="Q501" t="str">
            <v>/  /</v>
          </cell>
        </row>
        <row r="502">
          <cell r="A502">
            <v>3953612</v>
          </cell>
          <cell r="B502">
            <v>43790</v>
          </cell>
          <cell r="C502" t="str">
            <v>PON</v>
          </cell>
          <cell r="D502">
            <v>623073030</v>
          </cell>
          <cell r="E502" t="str">
            <v>Cervelo C16 F/S C5 48</v>
          </cell>
          <cell r="F502">
            <v>1</v>
          </cell>
          <cell r="G502">
            <v>0</v>
          </cell>
          <cell r="I502" t="str">
            <v>IE151</v>
          </cell>
          <cell r="L502">
            <v>5.3</v>
          </cell>
          <cell r="M502">
            <v>0.127</v>
          </cell>
          <cell r="N502" t="str">
            <v>5W</v>
          </cell>
          <cell r="P502" t="str">
            <v>PONCVL</v>
          </cell>
          <cell r="Q502" t="str">
            <v>/  /</v>
          </cell>
        </row>
        <row r="503">
          <cell r="A503">
            <v>3953676</v>
          </cell>
          <cell r="B503">
            <v>43790</v>
          </cell>
          <cell r="C503" t="str">
            <v>PON</v>
          </cell>
          <cell r="D503">
            <v>633073310</v>
          </cell>
          <cell r="E503" t="str">
            <v>CV C19 R3 Dsc F/S 48CM Blk/Wh</v>
          </cell>
          <cell r="F503">
            <v>1</v>
          </cell>
          <cell r="G503">
            <v>0</v>
          </cell>
          <cell r="I503" t="str">
            <v>IE151</v>
          </cell>
          <cell r="L503">
            <v>3.5</v>
          </cell>
          <cell r="M503">
            <v>0.182</v>
          </cell>
          <cell r="N503" t="str">
            <v>5W</v>
          </cell>
          <cell r="P503" t="str">
            <v>PONCVL</v>
          </cell>
          <cell r="Q503" t="str">
            <v>/  /</v>
          </cell>
        </row>
        <row r="504">
          <cell r="A504">
            <v>4081366</v>
          </cell>
          <cell r="B504">
            <v>43790</v>
          </cell>
          <cell r="C504" t="str">
            <v>PON</v>
          </cell>
          <cell r="D504">
            <v>633073310</v>
          </cell>
          <cell r="E504" t="str">
            <v>CV C19 R3 Dsc F/S 48CM Blk/Wh</v>
          </cell>
          <cell r="F504">
            <v>1</v>
          </cell>
          <cell r="G504">
            <v>0</v>
          </cell>
          <cell r="I504" t="str">
            <v>IE151</v>
          </cell>
          <cell r="L504">
            <v>3.5</v>
          </cell>
          <cell r="M504">
            <v>0.182</v>
          </cell>
          <cell r="N504" t="str">
            <v>5W</v>
          </cell>
          <cell r="P504" t="str">
            <v>PONCVL</v>
          </cell>
          <cell r="Q504" t="str">
            <v>/  /</v>
          </cell>
        </row>
        <row r="505">
          <cell r="A505">
            <v>3896453</v>
          </cell>
          <cell r="B505">
            <v>43755</v>
          </cell>
          <cell r="C505" t="str">
            <v>PON</v>
          </cell>
          <cell r="D505">
            <v>637073122</v>
          </cell>
          <cell r="E505" t="str">
            <v>CV C20S SerDscF/S Wh/Oge/Bur54</v>
          </cell>
          <cell r="F505">
            <v>1</v>
          </cell>
          <cell r="G505">
            <v>0</v>
          </cell>
          <cell r="I505" t="str">
            <v>IE152</v>
          </cell>
          <cell r="L505">
            <v>7.4</v>
          </cell>
          <cell r="M505">
            <v>0.187</v>
          </cell>
          <cell r="N505" t="str">
            <v>5W</v>
          </cell>
          <cell r="P505" t="str">
            <v>PONCVL</v>
          </cell>
          <cell r="Q505" t="str">
            <v>/  /</v>
          </cell>
        </row>
        <row r="506">
          <cell r="A506">
            <v>3895699</v>
          </cell>
          <cell r="B506">
            <v>43752</v>
          </cell>
          <cell r="C506" t="str">
            <v>PON</v>
          </cell>
          <cell r="D506">
            <v>633080100</v>
          </cell>
          <cell r="E506" t="str">
            <v>F19Izalco MxDsc 9FS 47XXSSlv</v>
          </cell>
          <cell r="F506">
            <v>1</v>
          </cell>
          <cell r="G506">
            <v>0</v>
          </cell>
          <cell r="I506" t="str">
            <v>IE161</v>
          </cell>
          <cell r="L506">
            <v>5.8</v>
          </cell>
          <cell r="M506">
            <v>0.159</v>
          </cell>
          <cell r="N506" t="str">
            <v>5W</v>
          </cell>
          <cell r="P506" t="str">
            <v>PONFCS</v>
          </cell>
          <cell r="Q506" t="str">
            <v>/  /</v>
          </cell>
        </row>
        <row r="507">
          <cell r="A507">
            <v>3895706</v>
          </cell>
          <cell r="B507">
            <v>43752</v>
          </cell>
          <cell r="C507" t="str">
            <v>PON</v>
          </cell>
          <cell r="D507">
            <v>633080110</v>
          </cell>
          <cell r="E507" t="str">
            <v>FC F19Izalco MxDsc 9FS 47XXSB</v>
          </cell>
          <cell r="F507">
            <v>1</v>
          </cell>
          <cell r="G507">
            <v>0</v>
          </cell>
          <cell r="I507" t="str">
            <v>IE161</v>
          </cell>
          <cell r="L507">
            <v>5.8</v>
          </cell>
          <cell r="M507">
            <v>0.157</v>
          </cell>
          <cell r="N507" t="str">
            <v>5W</v>
          </cell>
          <cell r="P507" t="str">
            <v>PONFCS</v>
          </cell>
          <cell r="Q507" t="str">
            <v>/  /</v>
          </cell>
        </row>
        <row r="508">
          <cell r="A508">
            <v>4081375</v>
          </cell>
          <cell r="B508">
            <v>43783</v>
          </cell>
          <cell r="C508" t="str">
            <v>PON</v>
          </cell>
          <cell r="D508">
            <v>633073432</v>
          </cell>
          <cell r="E508" t="str">
            <v>CV C19S5 Dsc F/S 54CMBlk/Rd/Wh</v>
          </cell>
          <cell r="F508">
            <v>1</v>
          </cell>
          <cell r="G508">
            <v>0</v>
          </cell>
          <cell r="I508" t="str">
            <v>IE162</v>
          </cell>
          <cell r="L508">
            <v>7</v>
          </cell>
          <cell r="M508">
            <v>0.16700000000000001</v>
          </cell>
          <cell r="N508" t="str">
            <v>5W</v>
          </cell>
          <cell r="P508" t="str">
            <v>PONCVL</v>
          </cell>
          <cell r="Q508" t="str">
            <v>/  /</v>
          </cell>
        </row>
        <row r="509">
          <cell r="A509">
            <v>3804112</v>
          </cell>
          <cell r="B509">
            <v>43696</v>
          </cell>
          <cell r="C509" t="str">
            <v>PON</v>
          </cell>
          <cell r="D509">
            <v>633080200</v>
          </cell>
          <cell r="E509" t="str">
            <v>FC F19IzalcoMaxDisc 8 FS 47XXS</v>
          </cell>
          <cell r="F509">
            <v>1</v>
          </cell>
          <cell r="G509">
            <v>0</v>
          </cell>
          <cell r="I509" t="str">
            <v>IE162</v>
          </cell>
          <cell r="L509">
            <v>0</v>
          </cell>
          <cell r="M509">
            <v>0</v>
          </cell>
          <cell r="N509" t="str">
            <v>5W</v>
          </cell>
          <cell r="P509" t="str">
            <v>PONFCS</v>
          </cell>
          <cell r="Q509" t="str">
            <v>/  /</v>
          </cell>
        </row>
        <row r="510">
          <cell r="A510">
            <v>4398806</v>
          </cell>
          <cell r="B510">
            <v>43861</v>
          </cell>
          <cell r="C510" t="str">
            <v>PON</v>
          </cell>
          <cell r="D510" t="str">
            <v>AM170818501</v>
          </cell>
          <cell r="E510" t="str">
            <v>F Battery Tec Pack Jam 2</v>
          </cell>
          <cell r="F510">
            <v>11</v>
          </cell>
          <cell r="G510">
            <v>0.22</v>
          </cell>
          <cell r="I510" t="str">
            <v>IG021</v>
          </cell>
          <cell r="L510">
            <v>59.95</v>
          </cell>
          <cell r="M510">
            <v>0.34100000000000003</v>
          </cell>
          <cell r="N510" t="str">
            <v>5W</v>
          </cell>
          <cell r="P510" t="str">
            <v>PONACC</v>
          </cell>
          <cell r="Q510" t="str">
            <v>/  /</v>
          </cell>
        </row>
        <row r="511">
          <cell r="A511">
            <v>3995951</v>
          </cell>
          <cell r="B511">
            <v>43811</v>
          </cell>
          <cell r="C511" t="str">
            <v>PON</v>
          </cell>
          <cell r="D511">
            <v>275007514</v>
          </cell>
          <cell r="E511" t="str">
            <v>Battery Bsch 400W Platina Grey</v>
          </cell>
          <cell r="F511">
            <v>3</v>
          </cell>
          <cell r="G511">
            <v>1.2800000000000001E-2</v>
          </cell>
          <cell r="I511" t="str">
            <v>IG051</v>
          </cell>
          <cell r="L511">
            <v>8.6999999999999993</v>
          </cell>
          <cell r="M511">
            <v>1.4999999999999999E-2</v>
          </cell>
          <cell r="N511" t="str">
            <v>5W</v>
          </cell>
          <cell r="P511" t="str">
            <v>PONACC</v>
          </cell>
          <cell r="Q511" t="str">
            <v>/  /</v>
          </cell>
        </row>
        <row r="512">
          <cell r="A512">
            <v>4054468</v>
          </cell>
          <cell r="B512">
            <v>43847</v>
          </cell>
          <cell r="C512" t="str">
            <v>PON</v>
          </cell>
          <cell r="D512">
            <v>275007532</v>
          </cell>
          <cell r="E512" t="str">
            <v>Batt Bsch 500W Anthracite Blck</v>
          </cell>
          <cell r="F512">
            <v>3</v>
          </cell>
          <cell r="G512">
            <v>1.12E-2</v>
          </cell>
          <cell r="I512" t="str">
            <v>IG051</v>
          </cell>
          <cell r="L512">
            <v>9</v>
          </cell>
          <cell r="M512">
            <v>1.4999999999999999E-2</v>
          </cell>
          <cell r="N512" t="str">
            <v>5W</v>
          </cell>
          <cell r="P512" t="str">
            <v>PONACC</v>
          </cell>
          <cell r="Q512" t="str">
            <v>/  /</v>
          </cell>
        </row>
        <row r="513">
          <cell r="A513">
            <v>3899169</v>
          </cell>
          <cell r="B513">
            <v>43752</v>
          </cell>
          <cell r="C513" t="str">
            <v>PON</v>
          </cell>
          <cell r="D513">
            <v>625508110</v>
          </cell>
          <cell r="E513" t="str">
            <v>Focus F17 Raven Max 29R Fork</v>
          </cell>
          <cell r="F513">
            <v>3</v>
          </cell>
          <cell r="G513">
            <v>0.01</v>
          </cell>
          <cell r="I513" t="str">
            <v>IG051</v>
          </cell>
          <cell r="L513">
            <v>6</v>
          </cell>
          <cell r="M513">
            <v>5.7000000000000002E-2</v>
          </cell>
          <cell r="N513" t="str">
            <v>5W</v>
          </cell>
          <cell r="P513" t="str">
            <v>PONACC</v>
          </cell>
          <cell r="Q513" t="str">
            <v>/  /</v>
          </cell>
        </row>
        <row r="514">
          <cell r="A514">
            <v>4054472</v>
          </cell>
          <cell r="B514">
            <v>43847</v>
          </cell>
          <cell r="C514" t="str">
            <v>PON</v>
          </cell>
          <cell r="D514">
            <v>998402200</v>
          </cell>
          <cell r="E514" t="str">
            <v>G Battery Shimano Steps 418WH</v>
          </cell>
          <cell r="F514">
            <v>2</v>
          </cell>
          <cell r="G514">
            <v>0.02</v>
          </cell>
          <cell r="I514" t="str">
            <v>IG051</v>
          </cell>
          <cell r="L514">
            <v>6.4</v>
          </cell>
          <cell r="M514">
            <v>2.8000000000000001E-2</v>
          </cell>
          <cell r="N514" t="str">
            <v>5W</v>
          </cell>
          <cell r="P514" t="str">
            <v>PONACC</v>
          </cell>
          <cell r="Q514" t="str">
            <v>/  /</v>
          </cell>
        </row>
        <row r="515">
          <cell r="A515">
            <v>3995949</v>
          </cell>
          <cell r="B515">
            <v>43811</v>
          </cell>
          <cell r="C515" t="str">
            <v>PON</v>
          </cell>
          <cell r="D515">
            <v>998403200</v>
          </cell>
          <cell r="E515" t="str">
            <v>Battery Shimano Steps 500WH</v>
          </cell>
          <cell r="F515">
            <v>7</v>
          </cell>
          <cell r="G515">
            <v>6.3E-2</v>
          </cell>
          <cell r="I515" t="str">
            <v>IG061</v>
          </cell>
          <cell r="L515">
            <v>22.4</v>
          </cell>
          <cell r="M515">
            <v>9.0999999999999998E-2</v>
          </cell>
          <cell r="N515" t="str">
            <v>5W</v>
          </cell>
          <cell r="P515" t="str">
            <v>PONACC</v>
          </cell>
          <cell r="Q515" t="str">
            <v>/  /</v>
          </cell>
        </row>
        <row r="516">
          <cell r="A516">
            <v>4054474</v>
          </cell>
          <cell r="B516">
            <v>43847</v>
          </cell>
          <cell r="C516" t="str">
            <v>PON</v>
          </cell>
          <cell r="D516">
            <v>998403200</v>
          </cell>
          <cell r="E516" t="str">
            <v>Battery Shimano Steps 500WH</v>
          </cell>
          <cell r="F516">
            <v>12</v>
          </cell>
          <cell r="G516">
            <v>0.1</v>
          </cell>
          <cell r="I516" t="str">
            <v>IG061</v>
          </cell>
          <cell r="L516">
            <v>38.4</v>
          </cell>
          <cell r="M516">
            <v>0.156</v>
          </cell>
          <cell r="N516" t="str">
            <v>5W</v>
          </cell>
          <cell r="P516" t="str">
            <v>PONACC</v>
          </cell>
          <cell r="Q516" t="str">
            <v>/  /</v>
          </cell>
        </row>
        <row r="517">
          <cell r="A517">
            <v>3916865</v>
          </cell>
          <cell r="B517">
            <v>43769</v>
          </cell>
          <cell r="C517" t="str">
            <v>PON</v>
          </cell>
          <cell r="D517">
            <v>628078721</v>
          </cell>
          <cell r="E517" t="str">
            <v>CV C19P5X DADi2  MDFlu/Grn/Blk</v>
          </cell>
          <cell r="F517">
            <v>1</v>
          </cell>
          <cell r="G517">
            <v>0</v>
          </cell>
          <cell r="I517" t="str">
            <v>IG062</v>
          </cell>
          <cell r="L517">
            <v>21.4</v>
          </cell>
          <cell r="M517">
            <v>0.45500000000000002</v>
          </cell>
          <cell r="N517" t="str">
            <v>5W</v>
          </cell>
          <cell r="P517" t="str">
            <v>PONCVL</v>
          </cell>
          <cell r="Q517" t="str">
            <v>/  /</v>
          </cell>
        </row>
        <row r="518">
          <cell r="A518">
            <v>4081140</v>
          </cell>
          <cell r="B518">
            <v>43769</v>
          </cell>
          <cell r="C518" t="str">
            <v>PON</v>
          </cell>
          <cell r="D518">
            <v>628078721</v>
          </cell>
          <cell r="E518" t="str">
            <v>CV C19P5X DADi2  MDFlu/Grn/Blk</v>
          </cell>
          <cell r="F518">
            <v>1</v>
          </cell>
          <cell r="G518">
            <v>0</v>
          </cell>
          <cell r="I518" t="str">
            <v>IG062</v>
          </cell>
          <cell r="L518">
            <v>21.4</v>
          </cell>
          <cell r="M518">
            <v>0.45500000000000002</v>
          </cell>
          <cell r="N518" t="str">
            <v>5W</v>
          </cell>
          <cell r="P518" t="str">
            <v>PONCVL</v>
          </cell>
          <cell r="Q518" t="str">
            <v>/  /</v>
          </cell>
        </row>
        <row r="519">
          <cell r="A519">
            <v>4025553</v>
          </cell>
          <cell r="B519">
            <v>43843</v>
          </cell>
          <cell r="C519" t="str">
            <v>PON</v>
          </cell>
          <cell r="D519">
            <v>275007531</v>
          </cell>
          <cell r="E519" t="str">
            <v>Battery Bsch 500W Platina Grey</v>
          </cell>
          <cell r="F519">
            <v>11</v>
          </cell>
          <cell r="G519">
            <v>3.7900000000000003E-2</v>
          </cell>
          <cell r="I519" t="str">
            <v>IG071</v>
          </cell>
          <cell r="L519">
            <v>33</v>
          </cell>
          <cell r="M519">
            <v>5.5E-2</v>
          </cell>
          <cell r="N519" t="str">
            <v>5W</v>
          </cell>
          <cell r="P519" t="str">
            <v>PONACC</v>
          </cell>
          <cell r="Q519" t="str">
            <v>/  /</v>
          </cell>
        </row>
        <row r="520">
          <cell r="A520">
            <v>4237167</v>
          </cell>
          <cell r="B520">
            <v>43847</v>
          </cell>
          <cell r="C520" t="str">
            <v>PON</v>
          </cell>
          <cell r="D520">
            <v>275007531</v>
          </cell>
          <cell r="E520" t="str">
            <v>Battery Bsch 500W Platina Grey</v>
          </cell>
          <cell r="F520">
            <v>39</v>
          </cell>
          <cell r="G520">
            <v>0.13</v>
          </cell>
          <cell r="I520" t="str">
            <v>IG071</v>
          </cell>
          <cell r="L520">
            <v>117</v>
          </cell>
          <cell r="M520">
            <v>0.19500000000000001</v>
          </cell>
          <cell r="N520" t="str">
            <v>5W</v>
          </cell>
          <cell r="P520" t="str">
            <v>PONACC</v>
          </cell>
          <cell r="Q520" t="str">
            <v>/  /</v>
          </cell>
        </row>
        <row r="521">
          <cell r="A521">
            <v>3914615</v>
          </cell>
          <cell r="B521">
            <v>43768</v>
          </cell>
          <cell r="C521" t="str">
            <v>PON</v>
          </cell>
          <cell r="D521">
            <v>628078721</v>
          </cell>
          <cell r="E521" t="str">
            <v>CV C19P5X DADi2  MDFlu/Grn/Blk</v>
          </cell>
          <cell r="F521">
            <v>1</v>
          </cell>
          <cell r="G521">
            <v>0</v>
          </cell>
          <cell r="I521" t="str">
            <v>IG072</v>
          </cell>
          <cell r="L521">
            <v>21.4</v>
          </cell>
          <cell r="M521">
            <v>0.45500000000000002</v>
          </cell>
          <cell r="N521" t="str">
            <v>5W</v>
          </cell>
          <cell r="P521" t="str">
            <v>PONCVL</v>
          </cell>
          <cell r="Q521" t="str">
            <v>/  /</v>
          </cell>
        </row>
        <row r="522">
          <cell r="A522">
            <v>4054470</v>
          </cell>
          <cell r="B522">
            <v>43847</v>
          </cell>
          <cell r="C522" t="str">
            <v>PON</v>
          </cell>
          <cell r="D522">
            <v>275007531</v>
          </cell>
          <cell r="E522" t="str">
            <v>Battery Bsch 500W Platina Grey</v>
          </cell>
          <cell r="F522">
            <v>75</v>
          </cell>
          <cell r="G522">
            <v>0.24</v>
          </cell>
          <cell r="I522" t="str">
            <v>IG081</v>
          </cell>
          <cell r="L522">
            <v>225</v>
          </cell>
          <cell r="M522">
            <v>0.375</v>
          </cell>
          <cell r="N522" t="str">
            <v>5W</v>
          </cell>
          <cell r="P522" t="str">
            <v>PONACC</v>
          </cell>
          <cell r="Q522" t="str">
            <v>/  /</v>
          </cell>
        </row>
        <row r="523">
          <cell r="A523">
            <v>4087388</v>
          </cell>
          <cell r="B523">
            <v>43769</v>
          </cell>
          <cell r="C523" t="str">
            <v>PON</v>
          </cell>
          <cell r="D523">
            <v>628078722</v>
          </cell>
          <cell r="E523" t="str">
            <v>CV C19P5X DADi2  LGFlu/Grn/Blk</v>
          </cell>
          <cell r="F523">
            <v>1</v>
          </cell>
          <cell r="G523">
            <v>0</v>
          </cell>
          <cell r="I523" t="str">
            <v>IG082</v>
          </cell>
          <cell r="L523">
            <v>21.4</v>
          </cell>
          <cell r="M523">
            <v>0.44</v>
          </cell>
          <cell r="N523" t="str">
            <v>5W</v>
          </cell>
          <cell r="P523" t="str">
            <v>PONCVL</v>
          </cell>
          <cell r="Q523" t="str">
            <v>/  /</v>
          </cell>
        </row>
        <row r="524">
          <cell r="A524">
            <v>4088693</v>
          </cell>
          <cell r="B524">
            <v>43769</v>
          </cell>
          <cell r="C524" t="str">
            <v>PON</v>
          </cell>
          <cell r="D524">
            <v>628078722</v>
          </cell>
          <cell r="E524" t="str">
            <v>CV C19P5X DADi2  LGFlu/Grn/Blk</v>
          </cell>
          <cell r="F524">
            <v>1</v>
          </cell>
          <cell r="G524">
            <v>0</v>
          </cell>
          <cell r="I524" t="str">
            <v>IG082</v>
          </cell>
          <cell r="L524">
            <v>21.4</v>
          </cell>
          <cell r="M524">
            <v>0.44</v>
          </cell>
          <cell r="N524" t="str">
            <v>5W</v>
          </cell>
          <cell r="P524" t="str">
            <v>PONCVL</v>
          </cell>
          <cell r="Q524" t="str">
            <v>/  /</v>
          </cell>
        </row>
        <row r="525">
          <cell r="A525">
            <v>4024362</v>
          </cell>
          <cell r="B525">
            <v>43840</v>
          </cell>
          <cell r="C525" t="str">
            <v>PON</v>
          </cell>
          <cell r="D525">
            <v>197016000</v>
          </cell>
          <cell r="E525" t="str">
            <v>Bike Wall Hanger</v>
          </cell>
          <cell r="F525">
            <v>33</v>
          </cell>
          <cell r="G525">
            <v>0.3</v>
          </cell>
          <cell r="I525" t="str">
            <v>IG091</v>
          </cell>
          <cell r="L525">
            <v>52.8</v>
          </cell>
          <cell r="M525">
            <v>0.46200000000000002</v>
          </cell>
          <cell r="N525" t="str">
            <v>5W</v>
          </cell>
          <cell r="P525" t="str">
            <v>PONACC</v>
          </cell>
          <cell r="Q525" t="str">
            <v>/  /</v>
          </cell>
        </row>
        <row r="526">
          <cell r="A526">
            <v>4029801</v>
          </cell>
          <cell r="B526">
            <v>43845</v>
          </cell>
          <cell r="C526" t="str">
            <v>PON</v>
          </cell>
          <cell r="D526">
            <v>628078730</v>
          </cell>
          <cell r="E526" t="str">
            <v>CV C19P5X UltDscDi2 SMFlu/Gn/B</v>
          </cell>
          <cell r="F526">
            <v>1</v>
          </cell>
          <cell r="G526">
            <v>0</v>
          </cell>
          <cell r="I526" t="str">
            <v>IG092</v>
          </cell>
          <cell r="L526">
            <v>22</v>
          </cell>
          <cell r="M526">
            <v>0.44</v>
          </cell>
          <cell r="N526" t="str">
            <v>5W</v>
          </cell>
          <cell r="P526" t="str">
            <v>PONCVL</v>
          </cell>
          <cell r="Q526" t="str">
            <v>/  /</v>
          </cell>
        </row>
        <row r="527">
          <cell r="A527">
            <v>4482188</v>
          </cell>
          <cell r="B527">
            <v>44130</v>
          </cell>
          <cell r="C527" t="str">
            <v>PON</v>
          </cell>
          <cell r="D527">
            <v>275007522</v>
          </cell>
          <cell r="E527" t="str">
            <v>Battery Bosch 400W Anthracite</v>
          </cell>
          <cell r="F527">
            <v>5</v>
          </cell>
          <cell r="G527">
            <v>1.67E-2</v>
          </cell>
          <cell r="I527" t="str">
            <v>IG101</v>
          </cell>
          <cell r="L527">
            <v>15</v>
          </cell>
          <cell r="M527">
            <v>2.5000000000000001E-2</v>
          </cell>
          <cell r="N527" t="str">
            <v>5W</v>
          </cell>
          <cell r="P527" t="str">
            <v>PONACC</v>
          </cell>
          <cell r="Q527" t="str">
            <v>/  /</v>
          </cell>
        </row>
        <row r="528">
          <cell r="A528">
            <v>4599370</v>
          </cell>
          <cell r="B528">
            <v>44189</v>
          </cell>
          <cell r="C528" t="str">
            <v>PON</v>
          </cell>
          <cell r="D528">
            <v>275007522</v>
          </cell>
          <cell r="E528" t="str">
            <v>Battery Bosch 400W Anthracite</v>
          </cell>
          <cell r="F528">
            <v>1</v>
          </cell>
          <cell r="G528">
            <v>0.01</v>
          </cell>
          <cell r="I528" t="str">
            <v>IG101</v>
          </cell>
          <cell r="L528">
            <v>3</v>
          </cell>
          <cell r="M528">
            <v>5.0000000000000001E-3</v>
          </cell>
          <cell r="N528" t="str">
            <v>5W</v>
          </cell>
          <cell r="P528" t="str">
            <v>PONACC</v>
          </cell>
          <cell r="Q528" t="str">
            <v>/  /</v>
          </cell>
        </row>
        <row r="529">
          <cell r="A529">
            <v>3916873</v>
          </cell>
          <cell r="B529">
            <v>43769</v>
          </cell>
          <cell r="C529" t="str">
            <v>PON</v>
          </cell>
          <cell r="D529">
            <v>628078732</v>
          </cell>
          <cell r="E529" t="str">
            <v>CV C19P5X UltDscDi2 LGFlu/Gn/B</v>
          </cell>
          <cell r="F529">
            <v>1</v>
          </cell>
          <cell r="G529">
            <v>0</v>
          </cell>
          <cell r="I529" t="str">
            <v>IG102</v>
          </cell>
          <cell r="L529">
            <v>22</v>
          </cell>
          <cell r="M529">
            <v>0.45500000000000002</v>
          </cell>
          <cell r="N529" t="str">
            <v>5W</v>
          </cell>
          <cell r="P529" t="str">
            <v>PONCVL</v>
          </cell>
          <cell r="Q529" t="str">
            <v>/  /</v>
          </cell>
        </row>
        <row r="530">
          <cell r="A530">
            <v>3874724</v>
          </cell>
          <cell r="B530">
            <v>43731</v>
          </cell>
          <cell r="C530" t="str">
            <v>PON</v>
          </cell>
          <cell r="D530">
            <v>197017000</v>
          </cell>
          <cell r="E530" t="str">
            <v>F Touring Backpack 14p/c</v>
          </cell>
          <cell r="F530">
            <v>27</v>
          </cell>
          <cell r="G530">
            <v>0.25</v>
          </cell>
          <cell r="I530" t="str">
            <v>IG111</v>
          </cell>
          <cell r="L530">
            <v>30.857099999999999</v>
          </cell>
          <cell r="M530">
            <v>0.3105</v>
          </cell>
          <cell r="N530" t="str">
            <v>5W</v>
          </cell>
          <cell r="P530" t="str">
            <v>PONACC</v>
          </cell>
          <cell r="Q530" t="str">
            <v>/  /</v>
          </cell>
        </row>
        <row r="531">
          <cell r="A531">
            <v>4081141</v>
          </cell>
          <cell r="B531">
            <v>43769</v>
          </cell>
          <cell r="C531" t="str">
            <v>PON</v>
          </cell>
          <cell r="D531">
            <v>628078732</v>
          </cell>
          <cell r="E531" t="str">
            <v>CV C19P5X UltDscDi2 LGFlu/Gn/B</v>
          </cell>
          <cell r="F531">
            <v>1</v>
          </cell>
          <cell r="G531">
            <v>0</v>
          </cell>
          <cell r="I531" t="str">
            <v>IG112</v>
          </cell>
          <cell r="L531">
            <v>22</v>
          </cell>
          <cell r="M531">
            <v>0.45500000000000002</v>
          </cell>
          <cell r="N531" t="str">
            <v>5W</v>
          </cell>
          <cell r="P531" t="str">
            <v>PONCVL</v>
          </cell>
          <cell r="Q531" t="str">
            <v>/  /</v>
          </cell>
        </row>
        <row r="532">
          <cell r="A532">
            <v>3874719</v>
          </cell>
          <cell r="B532">
            <v>43731</v>
          </cell>
          <cell r="C532" t="str">
            <v>PON</v>
          </cell>
          <cell r="D532">
            <v>4525067101400</v>
          </cell>
          <cell r="E532" t="str">
            <v>Orange Pur Inn Silver</v>
          </cell>
          <cell r="F532">
            <v>3</v>
          </cell>
          <cell r="G532">
            <v>0.22</v>
          </cell>
          <cell r="I532" t="str">
            <v>IG121</v>
          </cell>
          <cell r="L532">
            <v>18</v>
          </cell>
          <cell r="M532">
            <v>0.33</v>
          </cell>
          <cell r="N532" t="str">
            <v>5W</v>
          </cell>
          <cell r="P532" t="str">
            <v>PONACC</v>
          </cell>
          <cell r="Q532" t="str">
            <v>/  /</v>
          </cell>
        </row>
        <row r="533">
          <cell r="A533">
            <v>3874721</v>
          </cell>
          <cell r="B533">
            <v>43731</v>
          </cell>
          <cell r="C533" t="str">
            <v>PON</v>
          </cell>
          <cell r="D533">
            <v>4525067101503</v>
          </cell>
          <cell r="E533" t="str">
            <v>Wheel - No Description</v>
          </cell>
          <cell r="F533">
            <v>3</v>
          </cell>
          <cell r="G533">
            <v>0.216</v>
          </cell>
          <cell r="I533" t="str">
            <v>IG121</v>
          </cell>
          <cell r="L533">
            <v>18</v>
          </cell>
          <cell r="M533">
            <v>0.33</v>
          </cell>
          <cell r="N533" t="str">
            <v>5W</v>
          </cell>
          <cell r="P533" t="str">
            <v>PONACC</v>
          </cell>
          <cell r="Q533" t="str">
            <v>/  /</v>
          </cell>
        </row>
        <row r="534">
          <cell r="A534">
            <v>4088692</v>
          </cell>
          <cell r="B534">
            <v>43768</v>
          </cell>
          <cell r="C534" t="str">
            <v>PON</v>
          </cell>
          <cell r="D534">
            <v>628078721</v>
          </cell>
          <cell r="E534" t="str">
            <v>CV C19P5X DADi2  MDFlu/Grn/Blk</v>
          </cell>
          <cell r="F534">
            <v>1</v>
          </cell>
          <cell r="G534">
            <v>0</v>
          </cell>
          <cell r="I534" t="str">
            <v>IG122</v>
          </cell>
          <cell r="L534">
            <v>21.4</v>
          </cell>
          <cell r="M534">
            <v>0.45500000000000002</v>
          </cell>
          <cell r="N534" t="str">
            <v>5W</v>
          </cell>
          <cell r="P534" t="str">
            <v>PONCVL</v>
          </cell>
          <cell r="Q534" t="str">
            <v>/  /</v>
          </cell>
        </row>
        <row r="535">
          <cell r="A535">
            <v>3918686</v>
          </cell>
          <cell r="B535">
            <v>43770</v>
          </cell>
          <cell r="C535" t="str">
            <v>PON</v>
          </cell>
          <cell r="D535">
            <v>628078721</v>
          </cell>
          <cell r="E535" t="str">
            <v>CV C19P5X DADi2  MDFlu/Grn/Blk</v>
          </cell>
          <cell r="F535">
            <v>1</v>
          </cell>
          <cell r="G535">
            <v>0</v>
          </cell>
          <cell r="I535" t="str">
            <v>IG122</v>
          </cell>
          <cell r="L535">
            <v>21.4</v>
          </cell>
          <cell r="M535">
            <v>0.45500000000000002</v>
          </cell>
          <cell r="N535" t="str">
            <v>5W</v>
          </cell>
          <cell r="P535" t="str">
            <v>PONCVL</v>
          </cell>
          <cell r="Q535" t="str">
            <v>/  /</v>
          </cell>
        </row>
        <row r="536">
          <cell r="A536">
            <v>3874715</v>
          </cell>
          <cell r="B536">
            <v>43731</v>
          </cell>
          <cell r="C536" t="str">
            <v>PON</v>
          </cell>
          <cell r="D536">
            <v>4525067101400</v>
          </cell>
          <cell r="E536" t="str">
            <v>Orange Pur Inn Silver</v>
          </cell>
          <cell r="F536">
            <v>3</v>
          </cell>
          <cell r="G536">
            <v>0.22</v>
          </cell>
          <cell r="I536" t="str">
            <v>IG131</v>
          </cell>
          <cell r="L536">
            <v>18</v>
          </cell>
          <cell r="M536">
            <v>0.33</v>
          </cell>
          <cell r="N536" t="str">
            <v>5W</v>
          </cell>
          <cell r="P536" t="str">
            <v>PONACC</v>
          </cell>
          <cell r="Q536" t="str">
            <v>/  /</v>
          </cell>
        </row>
        <row r="537">
          <cell r="A537">
            <v>4361402</v>
          </cell>
          <cell r="B537">
            <v>44055</v>
          </cell>
          <cell r="C537" t="str">
            <v>PON</v>
          </cell>
          <cell r="D537">
            <v>628078730</v>
          </cell>
          <cell r="E537" t="str">
            <v>CV C19P5X UltDscDi2 SMFlu/Gn/B</v>
          </cell>
          <cell r="F537">
            <v>1</v>
          </cell>
          <cell r="G537">
            <v>0</v>
          </cell>
          <cell r="I537" t="str">
            <v>IG132</v>
          </cell>
          <cell r="L537">
            <v>22</v>
          </cell>
          <cell r="M537">
            <v>0.44</v>
          </cell>
          <cell r="N537" t="str">
            <v>5W</v>
          </cell>
          <cell r="P537" t="str">
            <v>PONCVL</v>
          </cell>
          <cell r="Q537" t="str">
            <v>/  /</v>
          </cell>
        </row>
        <row r="538">
          <cell r="A538">
            <v>4632512</v>
          </cell>
          <cell r="B538">
            <v>43731</v>
          </cell>
          <cell r="C538" t="str">
            <v>PON</v>
          </cell>
          <cell r="D538">
            <v>4525142220800</v>
          </cell>
          <cell r="E538" t="str">
            <v>G Rear Wheel 28 36G</v>
          </cell>
          <cell r="F538">
            <v>3</v>
          </cell>
          <cell r="G538">
            <v>0.22</v>
          </cell>
          <cell r="I538" t="str">
            <v>IG141</v>
          </cell>
          <cell r="L538">
            <v>18</v>
          </cell>
          <cell r="M538">
            <v>0.33</v>
          </cell>
          <cell r="N538" t="str">
            <v>5W</v>
          </cell>
          <cell r="P538" t="str">
            <v>PONACC</v>
          </cell>
          <cell r="Q538" t="str">
            <v>/  /</v>
          </cell>
        </row>
        <row r="539">
          <cell r="A539">
            <v>4632524</v>
          </cell>
          <cell r="B539">
            <v>43731</v>
          </cell>
          <cell r="C539" t="str">
            <v>PON</v>
          </cell>
          <cell r="D539">
            <v>4525142220800</v>
          </cell>
          <cell r="E539" t="str">
            <v>G Rear Wheel 28 36G</v>
          </cell>
          <cell r="F539">
            <v>5</v>
          </cell>
          <cell r="G539">
            <v>0.36</v>
          </cell>
          <cell r="I539" t="str">
            <v>IG151</v>
          </cell>
          <cell r="L539">
            <v>30</v>
          </cell>
          <cell r="M539">
            <v>0.55000000000000004</v>
          </cell>
          <cell r="N539" t="str">
            <v>5W</v>
          </cell>
          <cell r="P539" t="str">
            <v>PONACC</v>
          </cell>
          <cell r="Q539" t="str">
            <v>/  /</v>
          </cell>
        </row>
        <row r="540">
          <cell r="A540">
            <v>3874713</v>
          </cell>
          <cell r="B540">
            <v>43731</v>
          </cell>
          <cell r="C540" t="str">
            <v>PON</v>
          </cell>
          <cell r="D540">
            <v>4525142220800</v>
          </cell>
          <cell r="E540" t="str">
            <v>G Rear Wheel 28 36G</v>
          </cell>
          <cell r="F540">
            <v>4</v>
          </cell>
          <cell r="G540">
            <v>0.28999999999999998</v>
          </cell>
          <cell r="I540" t="str">
            <v>IG161</v>
          </cell>
          <cell r="L540">
            <v>24</v>
          </cell>
          <cell r="M540">
            <v>0.44</v>
          </cell>
          <cell r="N540" t="str">
            <v>5W</v>
          </cell>
          <cell r="P540" t="str">
            <v>PONACC</v>
          </cell>
          <cell r="Q540" t="str">
            <v>/  /</v>
          </cell>
        </row>
        <row r="541">
          <cell r="A541">
            <v>4599372</v>
          </cell>
          <cell r="B541">
            <v>44189</v>
          </cell>
          <cell r="C541" t="str">
            <v>PON</v>
          </cell>
          <cell r="D541">
            <v>4525142220800</v>
          </cell>
          <cell r="E541" t="str">
            <v>G Rear Wheel 28 36G</v>
          </cell>
          <cell r="F541">
            <v>1</v>
          </cell>
          <cell r="G541">
            <v>0.08</v>
          </cell>
          <cell r="I541" t="str">
            <v>IG161</v>
          </cell>
          <cell r="L541">
            <v>6</v>
          </cell>
          <cell r="M541">
            <v>0.11</v>
          </cell>
          <cell r="N541" t="str">
            <v>5W</v>
          </cell>
          <cell r="P541" t="str">
            <v>PONACC</v>
          </cell>
          <cell r="Q541" t="str">
            <v>/  /</v>
          </cell>
        </row>
        <row r="542">
          <cell r="A542">
            <v>4428002</v>
          </cell>
          <cell r="B542">
            <v>44095</v>
          </cell>
          <cell r="C542" t="str">
            <v>PON</v>
          </cell>
          <cell r="D542">
            <v>641078308</v>
          </cell>
          <cell r="E542" t="str">
            <v>C21 ETAP Carbon/Holographic 56</v>
          </cell>
          <cell r="F542">
            <v>1</v>
          </cell>
          <cell r="G542">
            <v>0</v>
          </cell>
          <cell r="I542" t="str">
            <v>IH011</v>
          </cell>
          <cell r="L542">
            <v>13.6</v>
          </cell>
          <cell r="M542">
            <v>0.23300000000000001</v>
          </cell>
          <cell r="N542" t="str">
            <v>5W</v>
          </cell>
          <cell r="P542" t="str">
            <v>PONCVL</v>
          </cell>
          <cell r="Q542" t="str">
            <v>/  /</v>
          </cell>
        </row>
        <row r="543">
          <cell r="A543">
            <v>4458785</v>
          </cell>
          <cell r="B543">
            <v>44112</v>
          </cell>
          <cell r="C543" t="str">
            <v>PON</v>
          </cell>
          <cell r="D543">
            <v>637006023</v>
          </cell>
          <cell r="E543" t="str">
            <v>F20 IZ Max Disc 9.7 AXS 54 M</v>
          </cell>
          <cell r="F543">
            <v>1</v>
          </cell>
          <cell r="G543">
            <v>0</v>
          </cell>
          <cell r="I543" t="str">
            <v>IH012</v>
          </cell>
          <cell r="L543">
            <v>13.6</v>
          </cell>
          <cell r="M543">
            <v>0.218</v>
          </cell>
          <cell r="N543" t="str">
            <v>5W</v>
          </cell>
          <cell r="P543" t="str">
            <v>PONFCS</v>
          </cell>
          <cell r="Q543" t="str">
            <v>/  /</v>
          </cell>
        </row>
        <row r="544">
          <cell r="A544">
            <v>4569833</v>
          </cell>
          <cell r="B544">
            <v>44169</v>
          </cell>
          <cell r="C544" t="str">
            <v>PON</v>
          </cell>
          <cell r="D544">
            <v>637526050</v>
          </cell>
          <cell r="E544" t="str">
            <v>K21 ENDV 1.B MOVE 400 S 45</v>
          </cell>
          <cell r="F544">
            <v>1</v>
          </cell>
          <cell r="G544">
            <v>0</v>
          </cell>
          <cell r="I544" t="str">
            <v>IH013</v>
          </cell>
          <cell r="L544">
            <v>31.2</v>
          </cell>
          <cell r="M544">
            <v>0.57799999999999996</v>
          </cell>
          <cell r="N544" t="str">
            <v>5W</v>
          </cell>
          <cell r="P544" t="str">
            <v>PONFCS</v>
          </cell>
          <cell r="Q544" t="str">
            <v>/  /</v>
          </cell>
        </row>
        <row r="545">
          <cell r="A545">
            <v>4569835</v>
          </cell>
          <cell r="B545">
            <v>44169</v>
          </cell>
          <cell r="C545" t="str">
            <v>PON</v>
          </cell>
          <cell r="D545">
            <v>637526050</v>
          </cell>
          <cell r="E545" t="str">
            <v>K21 ENDV 1.B MOVE 400 S 45</v>
          </cell>
          <cell r="F545">
            <v>1</v>
          </cell>
          <cell r="G545">
            <v>0</v>
          </cell>
          <cell r="I545" t="str">
            <v>IH013</v>
          </cell>
          <cell r="L545">
            <v>31.2</v>
          </cell>
          <cell r="M545">
            <v>0.57799999999999996</v>
          </cell>
          <cell r="N545" t="str">
            <v>5W</v>
          </cell>
          <cell r="P545" t="str">
            <v>PONFCS</v>
          </cell>
          <cell r="Q545" t="str">
            <v>/  /</v>
          </cell>
        </row>
        <row r="546">
          <cell r="A546">
            <v>4634173</v>
          </cell>
          <cell r="B546">
            <v>44218</v>
          </cell>
          <cell r="C546" t="str">
            <v>PON</v>
          </cell>
          <cell r="D546">
            <v>637526056</v>
          </cell>
          <cell r="E546" t="str">
            <v>K21 Endeavour 1.B Move 400 L55</v>
          </cell>
          <cell r="F546">
            <v>1</v>
          </cell>
          <cell r="G546">
            <v>0</v>
          </cell>
          <cell r="I546" t="str">
            <v>IH014</v>
          </cell>
          <cell r="L546">
            <v>30.5</v>
          </cell>
          <cell r="M546">
            <v>0.57299999999999995</v>
          </cell>
          <cell r="N546" t="str">
            <v>5W</v>
          </cell>
          <cell r="P546" t="str">
            <v>PONFCS</v>
          </cell>
          <cell r="Q546" t="str">
            <v>/  /</v>
          </cell>
        </row>
        <row r="547">
          <cell r="A547">
            <v>4634312</v>
          </cell>
          <cell r="B547">
            <v>44218</v>
          </cell>
          <cell r="C547" t="str">
            <v>PON</v>
          </cell>
          <cell r="D547">
            <v>637527056</v>
          </cell>
          <cell r="E547" t="str">
            <v>K21 Endv 1.B Move 500 L TR</v>
          </cell>
          <cell r="F547">
            <v>1</v>
          </cell>
          <cell r="G547">
            <v>0</v>
          </cell>
          <cell r="I547" t="str">
            <v>IH014</v>
          </cell>
          <cell r="L547">
            <v>35</v>
          </cell>
          <cell r="M547">
            <v>0.57299999999999995</v>
          </cell>
          <cell r="N547" t="str">
            <v>5W</v>
          </cell>
          <cell r="P547" t="str">
            <v>PONFCS</v>
          </cell>
          <cell r="Q547" t="str">
            <v>/  /</v>
          </cell>
        </row>
        <row r="548">
          <cell r="A548">
            <v>4634313</v>
          </cell>
          <cell r="B548">
            <v>44218</v>
          </cell>
          <cell r="C548" t="str">
            <v>PON</v>
          </cell>
          <cell r="D548">
            <v>637527056</v>
          </cell>
          <cell r="E548" t="str">
            <v>K21 Endv 1.B Move 500 L TR</v>
          </cell>
          <cell r="F548">
            <v>1</v>
          </cell>
          <cell r="G548">
            <v>0</v>
          </cell>
          <cell r="I548" t="str">
            <v>IH014</v>
          </cell>
          <cell r="L548">
            <v>35</v>
          </cell>
          <cell r="M548">
            <v>0.57299999999999995</v>
          </cell>
          <cell r="N548" t="str">
            <v>5W</v>
          </cell>
          <cell r="P548" t="str">
            <v>PONFCS</v>
          </cell>
          <cell r="Q548" t="str">
            <v>/  /</v>
          </cell>
        </row>
        <row r="549">
          <cell r="A549">
            <v>4634314</v>
          </cell>
          <cell r="B549">
            <v>44218</v>
          </cell>
          <cell r="C549" t="str">
            <v>PON</v>
          </cell>
          <cell r="D549">
            <v>637527056</v>
          </cell>
          <cell r="E549" t="str">
            <v>K21 Endv 1.B Move 500 L TR</v>
          </cell>
          <cell r="F549">
            <v>1</v>
          </cell>
          <cell r="G549">
            <v>0</v>
          </cell>
          <cell r="I549" t="str">
            <v>IH014</v>
          </cell>
          <cell r="L549">
            <v>35</v>
          </cell>
          <cell r="M549">
            <v>0.57299999999999995</v>
          </cell>
          <cell r="N549" t="str">
            <v>5W</v>
          </cell>
          <cell r="P549" t="str">
            <v>PONFCS</v>
          </cell>
          <cell r="Q549" t="str">
            <v>/  /</v>
          </cell>
        </row>
        <row r="550">
          <cell r="A550">
            <v>4081051</v>
          </cell>
          <cell r="B550">
            <v>43775</v>
          </cell>
          <cell r="C550" t="str">
            <v>PON</v>
          </cell>
          <cell r="D550">
            <v>625508006</v>
          </cell>
          <cell r="E550" t="str">
            <v>Focus F17 IZ Max F/S 61 XXL</v>
          </cell>
          <cell r="F550">
            <v>1</v>
          </cell>
          <cell r="G550">
            <v>0</v>
          </cell>
          <cell r="I550" t="str">
            <v>IH021</v>
          </cell>
          <cell r="L550">
            <v>6</v>
          </cell>
          <cell r="M550">
            <v>0.185</v>
          </cell>
          <cell r="N550" t="str">
            <v>5W</v>
          </cell>
          <cell r="P550" t="str">
            <v>PONFCS</v>
          </cell>
          <cell r="Q550" t="str">
            <v>/  /</v>
          </cell>
        </row>
        <row r="551">
          <cell r="A551">
            <v>4614337</v>
          </cell>
          <cell r="B551">
            <v>44203</v>
          </cell>
          <cell r="C551" t="str">
            <v>PON</v>
          </cell>
          <cell r="D551">
            <v>641078332</v>
          </cell>
          <cell r="E551" t="str">
            <v>C21 R5 Dsc F/E/A Grn/Gld/Wht54</v>
          </cell>
          <cell r="F551">
            <v>1</v>
          </cell>
          <cell r="G551">
            <v>0</v>
          </cell>
          <cell r="I551" t="str">
            <v>IH021</v>
          </cell>
          <cell r="L551">
            <v>13.3</v>
          </cell>
          <cell r="M551">
            <v>0.26300000000000001</v>
          </cell>
          <cell r="N551" t="str">
            <v>5W</v>
          </cell>
          <cell r="P551" t="str">
            <v>PONCVL</v>
          </cell>
          <cell r="Q551" t="str">
            <v>/  /</v>
          </cell>
        </row>
        <row r="552">
          <cell r="A552">
            <v>4614340</v>
          </cell>
          <cell r="B552">
            <v>44203</v>
          </cell>
          <cell r="C552" t="str">
            <v>PON</v>
          </cell>
          <cell r="D552">
            <v>641078332</v>
          </cell>
          <cell r="E552" t="str">
            <v>C21 R5 Dsc F/E/A Grn/Gld/Wht54</v>
          </cell>
          <cell r="F552">
            <v>1</v>
          </cell>
          <cell r="G552">
            <v>0</v>
          </cell>
          <cell r="I552" t="str">
            <v>IH021</v>
          </cell>
          <cell r="L552">
            <v>13.3</v>
          </cell>
          <cell r="M552">
            <v>0.26300000000000001</v>
          </cell>
          <cell r="N552" t="str">
            <v>5W</v>
          </cell>
          <cell r="P552" t="str">
            <v>PONCVL</v>
          </cell>
          <cell r="Q552" t="str">
            <v>/  /</v>
          </cell>
        </row>
        <row r="553">
          <cell r="A553">
            <v>4614341</v>
          </cell>
          <cell r="B553">
            <v>44203</v>
          </cell>
          <cell r="C553" t="str">
            <v>PON</v>
          </cell>
          <cell r="D553">
            <v>641078332</v>
          </cell>
          <cell r="E553" t="str">
            <v>C21 R5 Dsc F/E/A Grn/Gld/Wht54</v>
          </cell>
          <cell r="F553">
            <v>1</v>
          </cell>
          <cell r="G553">
            <v>0</v>
          </cell>
          <cell r="I553" t="str">
            <v>IH021</v>
          </cell>
          <cell r="L553">
            <v>13.3</v>
          </cell>
          <cell r="M553">
            <v>0.26300000000000001</v>
          </cell>
          <cell r="N553" t="str">
            <v>5W</v>
          </cell>
          <cell r="P553" t="str">
            <v>PONCVL</v>
          </cell>
          <cell r="Q553" t="str">
            <v>/  /</v>
          </cell>
        </row>
        <row r="554">
          <cell r="A554">
            <v>3944696</v>
          </cell>
          <cell r="B554">
            <v>43787</v>
          </cell>
          <cell r="C554" t="str">
            <v>PON</v>
          </cell>
          <cell r="D554">
            <v>633078612</v>
          </cell>
          <cell r="E554" t="str">
            <v>CV C19P3X UltDi2LG Rvr/Flu/Blk</v>
          </cell>
          <cell r="F554">
            <v>1</v>
          </cell>
          <cell r="G554">
            <v>0</v>
          </cell>
          <cell r="I554" t="str">
            <v>IH022</v>
          </cell>
          <cell r="J554">
            <v>1</v>
          </cell>
          <cell r="L554">
            <v>15</v>
          </cell>
          <cell r="M554">
            <v>0.23</v>
          </cell>
          <cell r="N554" t="str">
            <v>5W</v>
          </cell>
          <cell r="P554" t="str">
            <v>PONCVL</v>
          </cell>
          <cell r="Q554" t="str">
            <v>/  /</v>
          </cell>
        </row>
        <row r="555">
          <cell r="A555">
            <v>4458786</v>
          </cell>
          <cell r="B555">
            <v>44112</v>
          </cell>
          <cell r="C555" t="str">
            <v>PON</v>
          </cell>
          <cell r="D555">
            <v>637006023</v>
          </cell>
          <cell r="E555" t="str">
            <v>F20 IZ Max Disc 9.7 AXS 54 M</v>
          </cell>
          <cell r="F555">
            <v>1</v>
          </cell>
          <cell r="G555">
            <v>0</v>
          </cell>
          <cell r="I555" t="str">
            <v>IH022</v>
          </cell>
          <cell r="L555">
            <v>13.6</v>
          </cell>
          <cell r="M555">
            <v>0.218</v>
          </cell>
          <cell r="N555" t="str">
            <v>5W</v>
          </cell>
          <cell r="P555" t="str">
            <v>PONFCS</v>
          </cell>
          <cell r="Q555" t="str">
            <v>/  /</v>
          </cell>
        </row>
        <row r="556">
          <cell r="A556">
            <v>4458787</v>
          </cell>
          <cell r="B556">
            <v>44112</v>
          </cell>
          <cell r="C556" t="str">
            <v>PON</v>
          </cell>
          <cell r="D556">
            <v>637006023</v>
          </cell>
          <cell r="E556" t="str">
            <v>F20 IZ Max Disc 9.7 AXS 54 M</v>
          </cell>
          <cell r="F556">
            <v>1</v>
          </cell>
          <cell r="G556">
            <v>0</v>
          </cell>
          <cell r="I556" t="str">
            <v>IH022</v>
          </cell>
          <cell r="L556">
            <v>13.6</v>
          </cell>
          <cell r="M556">
            <v>0.218</v>
          </cell>
          <cell r="N556" t="str">
            <v>5W</v>
          </cell>
          <cell r="P556" t="str">
            <v>PONFCS</v>
          </cell>
          <cell r="Q556" t="str">
            <v>/  /</v>
          </cell>
        </row>
        <row r="557">
          <cell r="A557">
            <v>4458788</v>
          </cell>
          <cell r="B557">
            <v>44112</v>
          </cell>
          <cell r="C557" t="str">
            <v>PON</v>
          </cell>
          <cell r="D557">
            <v>637006023</v>
          </cell>
          <cell r="E557" t="str">
            <v>F20 IZ Max Disc 9.7 AXS 54 M</v>
          </cell>
          <cell r="F557">
            <v>1</v>
          </cell>
          <cell r="G557">
            <v>0</v>
          </cell>
          <cell r="I557" t="str">
            <v>IH022</v>
          </cell>
          <cell r="L557">
            <v>13.6</v>
          </cell>
          <cell r="M557">
            <v>0.218</v>
          </cell>
          <cell r="N557" t="str">
            <v>5W</v>
          </cell>
          <cell r="P557" t="str">
            <v>PONFCS</v>
          </cell>
          <cell r="Q557" t="str">
            <v>/  /</v>
          </cell>
        </row>
        <row r="558">
          <cell r="A558">
            <v>4458789</v>
          </cell>
          <cell r="B558">
            <v>44112</v>
          </cell>
          <cell r="C558" t="str">
            <v>PON</v>
          </cell>
          <cell r="D558">
            <v>637006023</v>
          </cell>
          <cell r="E558" t="str">
            <v>F20 IZ Max Disc 9.7 AXS 54 M</v>
          </cell>
          <cell r="F558">
            <v>1</v>
          </cell>
          <cell r="G558">
            <v>0</v>
          </cell>
          <cell r="I558" t="str">
            <v>IH022</v>
          </cell>
          <cell r="L558">
            <v>13.6</v>
          </cell>
          <cell r="M558">
            <v>0.218</v>
          </cell>
          <cell r="N558" t="str">
            <v>5W</v>
          </cell>
          <cell r="P558" t="str">
            <v>PONFCS</v>
          </cell>
          <cell r="Q558" t="str">
            <v>/  /</v>
          </cell>
        </row>
        <row r="559">
          <cell r="A559">
            <v>4613989</v>
          </cell>
          <cell r="B559">
            <v>44203</v>
          </cell>
          <cell r="C559" t="str">
            <v>PON</v>
          </cell>
          <cell r="D559">
            <v>641078120</v>
          </cell>
          <cell r="E559" t="str">
            <v>C21 Cal 5 R ET Blue Crbn 48</v>
          </cell>
          <cell r="F559">
            <v>1</v>
          </cell>
          <cell r="G559">
            <v>0</v>
          </cell>
          <cell r="I559" t="str">
            <v>IH022</v>
          </cell>
          <cell r="L559">
            <v>13.4</v>
          </cell>
          <cell r="M559">
            <v>0.253</v>
          </cell>
          <cell r="N559" t="str">
            <v>5W</v>
          </cell>
          <cell r="P559" t="str">
            <v>PONCVL</v>
          </cell>
          <cell r="Q559" t="str">
            <v>/  /</v>
          </cell>
        </row>
        <row r="560">
          <cell r="A560">
            <v>4569875</v>
          </cell>
          <cell r="B560">
            <v>44169</v>
          </cell>
          <cell r="C560" t="str">
            <v>PON</v>
          </cell>
          <cell r="D560">
            <v>637529085</v>
          </cell>
          <cell r="E560" t="str">
            <v>K21 Endeavour 7.B Move S 43 Tr</v>
          </cell>
          <cell r="F560">
            <v>1</v>
          </cell>
          <cell r="G560">
            <v>0</v>
          </cell>
          <cell r="I560" t="str">
            <v>IH023</v>
          </cell>
          <cell r="L560">
            <v>34.5</v>
          </cell>
          <cell r="M560">
            <v>0.57299999999999995</v>
          </cell>
          <cell r="N560" t="str">
            <v>5W</v>
          </cell>
          <cell r="P560" t="str">
            <v>PONFCS</v>
          </cell>
          <cell r="Q560" t="str">
            <v>/  /</v>
          </cell>
        </row>
        <row r="561">
          <cell r="A561">
            <v>4569876</v>
          </cell>
          <cell r="B561">
            <v>44169</v>
          </cell>
          <cell r="C561" t="str">
            <v>PON</v>
          </cell>
          <cell r="D561">
            <v>637529085</v>
          </cell>
          <cell r="E561" t="str">
            <v>K21 Endeavour 7.B Move S 43 Tr</v>
          </cell>
          <cell r="F561">
            <v>1</v>
          </cell>
          <cell r="G561">
            <v>0</v>
          </cell>
          <cell r="I561" t="str">
            <v>IH023</v>
          </cell>
          <cell r="L561">
            <v>34.5</v>
          </cell>
          <cell r="M561">
            <v>0.57299999999999995</v>
          </cell>
          <cell r="N561" t="str">
            <v>5W</v>
          </cell>
          <cell r="P561" t="str">
            <v>PONFCS</v>
          </cell>
          <cell r="Q561" t="str">
            <v>/  /</v>
          </cell>
        </row>
        <row r="562">
          <cell r="A562">
            <v>4634158</v>
          </cell>
          <cell r="B562">
            <v>44218</v>
          </cell>
          <cell r="C562" t="str">
            <v>PON</v>
          </cell>
          <cell r="D562">
            <v>637526051</v>
          </cell>
          <cell r="E562" t="str">
            <v>K21 ENDV 1.B MOVE 400 M 50</v>
          </cell>
          <cell r="F562">
            <v>1</v>
          </cell>
          <cell r="G562">
            <v>0</v>
          </cell>
          <cell r="I562" t="str">
            <v>IH024</v>
          </cell>
          <cell r="L562">
            <v>31.5</v>
          </cell>
          <cell r="M562">
            <v>0.57799999999999996</v>
          </cell>
          <cell r="N562" t="str">
            <v>5W</v>
          </cell>
          <cell r="P562" t="str">
            <v>PONFCS</v>
          </cell>
          <cell r="Q562" t="str">
            <v>/  /</v>
          </cell>
        </row>
        <row r="563">
          <cell r="A563">
            <v>4634159</v>
          </cell>
          <cell r="B563">
            <v>44218</v>
          </cell>
          <cell r="C563" t="str">
            <v>PON</v>
          </cell>
          <cell r="D563">
            <v>637526051</v>
          </cell>
          <cell r="E563" t="str">
            <v>K21 ENDV 1.B MOVE 400 M 50</v>
          </cell>
          <cell r="F563">
            <v>1</v>
          </cell>
          <cell r="G563">
            <v>0</v>
          </cell>
          <cell r="I563" t="str">
            <v>IH024</v>
          </cell>
          <cell r="L563">
            <v>31.5</v>
          </cell>
          <cell r="M563">
            <v>0.57799999999999996</v>
          </cell>
          <cell r="N563" t="str">
            <v>5W</v>
          </cell>
          <cell r="P563" t="str">
            <v>PONFCS</v>
          </cell>
          <cell r="Q563" t="str">
            <v>/  /</v>
          </cell>
        </row>
        <row r="564">
          <cell r="A564">
            <v>4634160</v>
          </cell>
          <cell r="B564">
            <v>44218</v>
          </cell>
          <cell r="C564" t="str">
            <v>PON</v>
          </cell>
          <cell r="D564">
            <v>637526051</v>
          </cell>
          <cell r="E564" t="str">
            <v>K21 ENDV 1.B MOVE 400 M 50</v>
          </cell>
          <cell r="F564">
            <v>1</v>
          </cell>
          <cell r="G564">
            <v>0</v>
          </cell>
          <cell r="I564" t="str">
            <v>IH024</v>
          </cell>
          <cell r="L564">
            <v>31.5</v>
          </cell>
          <cell r="M564">
            <v>0.57799999999999996</v>
          </cell>
          <cell r="N564" t="str">
            <v>5W</v>
          </cell>
          <cell r="P564" t="str">
            <v>PONFCS</v>
          </cell>
          <cell r="Q564" t="str">
            <v>/  /</v>
          </cell>
        </row>
        <row r="565">
          <cell r="A565">
            <v>4634161</v>
          </cell>
          <cell r="B565">
            <v>44218</v>
          </cell>
          <cell r="C565" t="str">
            <v>PON</v>
          </cell>
          <cell r="D565">
            <v>637526051</v>
          </cell>
          <cell r="E565" t="str">
            <v>K21 ENDV 1.B MOVE 400 M 50</v>
          </cell>
          <cell r="F565">
            <v>1</v>
          </cell>
          <cell r="G565">
            <v>0</v>
          </cell>
          <cell r="I565" t="str">
            <v>IH024</v>
          </cell>
          <cell r="L565">
            <v>31.5</v>
          </cell>
          <cell r="M565">
            <v>0.57799999999999996</v>
          </cell>
          <cell r="N565" t="str">
            <v>5W</v>
          </cell>
          <cell r="P565" t="str">
            <v>PONFCS</v>
          </cell>
          <cell r="Q565" t="str">
            <v>/  /</v>
          </cell>
        </row>
        <row r="566">
          <cell r="A566">
            <v>4458790</v>
          </cell>
          <cell r="B566">
            <v>44112</v>
          </cell>
          <cell r="C566" t="str">
            <v>PON</v>
          </cell>
          <cell r="D566">
            <v>637006023</v>
          </cell>
          <cell r="E566" t="str">
            <v>F20 IZ Max Disc 9.7 AXS 54 M</v>
          </cell>
          <cell r="F566">
            <v>1</v>
          </cell>
          <cell r="G566">
            <v>0</v>
          </cell>
          <cell r="I566" t="str">
            <v>IH031</v>
          </cell>
          <cell r="L566">
            <v>13.6</v>
          </cell>
          <cell r="M566">
            <v>0.218</v>
          </cell>
          <cell r="N566" t="str">
            <v>5W</v>
          </cell>
          <cell r="P566" t="str">
            <v>PONFCS</v>
          </cell>
          <cell r="Q566" t="str">
            <v>/  /</v>
          </cell>
        </row>
        <row r="567">
          <cell r="A567">
            <v>4458791</v>
          </cell>
          <cell r="B567">
            <v>44112</v>
          </cell>
          <cell r="C567" t="str">
            <v>PON</v>
          </cell>
          <cell r="D567">
            <v>637006023</v>
          </cell>
          <cell r="E567" t="str">
            <v>F20 IZ Max Disc 9.7 AXS 54 M</v>
          </cell>
          <cell r="F567">
            <v>1</v>
          </cell>
          <cell r="G567">
            <v>0</v>
          </cell>
          <cell r="I567" t="str">
            <v>IH031</v>
          </cell>
          <cell r="L567">
            <v>13.6</v>
          </cell>
          <cell r="M567">
            <v>0.218</v>
          </cell>
          <cell r="N567" t="str">
            <v>5W</v>
          </cell>
          <cell r="P567" t="str">
            <v>PONFCS</v>
          </cell>
          <cell r="Q567" t="str">
            <v>/  /</v>
          </cell>
        </row>
        <row r="568">
          <cell r="A568">
            <v>4458792</v>
          </cell>
          <cell r="B568">
            <v>44112</v>
          </cell>
          <cell r="C568" t="str">
            <v>PON</v>
          </cell>
          <cell r="D568">
            <v>637006023</v>
          </cell>
          <cell r="E568" t="str">
            <v>F20 IZ Max Disc 9.7 AXS 54 M</v>
          </cell>
          <cell r="F568">
            <v>1</v>
          </cell>
          <cell r="G568">
            <v>0</v>
          </cell>
          <cell r="I568" t="str">
            <v>IH031</v>
          </cell>
          <cell r="L568">
            <v>13.6</v>
          </cell>
          <cell r="M568">
            <v>0.218</v>
          </cell>
          <cell r="N568" t="str">
            <v>5W</v>
          </cell>
          <cell r="P568" t="str">
            <v>PONFCS</v>
          </cell>
          <cell r="Q568" t="str">
            <v>/  /</v>
          </cell>
        </row>
        <row r="569">
          <cell r="A569">
            <v>4614258</v>
          </cell>
          <cell r="B569">
            <v>44203</v>
          </cell>
          <cell r="C569" t="str">
            <v>PON</v>
          </cell>
          <cell r="D569">
            <v>641078307</v>
          </cell>
          <cell r="E569" t="str">
            <v>C21 ETAP Carbon/Holographic 54</v>
          </cell>
          <cell r="F569">
            <v>1</v>
          </cell>
          <cell r="G569">
            <v>0</v>
          </cell>
          <cell r="I569" t="str">
            <v>IH031</v>
          </cell>
          <cell r="L569">
            <v>14.5</v>
          </cell>
          <cell r="M569">
            <v>0.23300000000000001</v>
          </cell>
          <cell r="N569" t="str">
            <v>5W</v>
          </cell>
          <cell r="P569" t="str">
            <v>PONCVL</v>
          </cell>
          <cell r="Q569" t="str">
            <v>/  /</v>
          </cell>
        </row>
        <row r="570">
          <cell r="A570">
            <v>3914581</v>
          </cell>
          <cell r="B570">
            <v>43768</v>
          </cell>
          <cell r="C570" t="str">
            <v>PON</v>
          </cell>
          <cell r="D570">
            <v>628078160</v>
          </cell>
          <cell r="E570" t="str">
            <v>CV C18 R5 Disc DA Di2 48 XS</v>
          </cell>
          <cell r="F570">
            <v>1</v>
          </cell>
          <cell r="G570">
            <v>0</v>
          </cell>
          <cell r="I570" t="str">
            <v>IH032</v>
          </cell>
          <cell r="L570">
            <v>12.2</v>
          </cell>
          <cell r="M570">
            <v>0.23200000000000001</v>
          </cell>
          <cell r="N570" t="str">
            <v>5W</v>
          </cell>
          <cell r="P570" t="str">
            <v>PONCVL</v>
          </cell>
          <cell r="Q570" t="str">
            <v>/  /</v>
          </cell>
        </row>
        <row r="571">
          <cell r="A571">
            <v>4634168</v>
          </cell>
          <cell r="B571">
            <v>44218</v>
          </cell>
          <cell r="C571" t="str">
            <v>PON</v>
          </cell>
          <cell r="D571">
            <v>637526051</v>
          </cell>
          <cell r="E571" t="str">
            <v>K21 ENDV 1.B MOVE 400 M 50</v>
          </cell>
          <cell r="F571">
            <v>1</v>
          </cell>
          <cell r="G571">
            <v>0</v>
          </cell>
          <cell r="I571" t="str">
            <v>IH033</v>
          </cell>
          <cell r="L571">
            <v>31.5</v>
          </cell>
          <cell r="M571">
            <v>0.57799999999999996</v>
          </cell>
          <cell r="N571" t="str">
            <v>5W</v>
          </cell>
          <cell r="P571" t="str">
            <v>PONFCS</v>
          </cell>
          <cell r="Q571" t="str">
            <v>/  /</v>
          </cell>
        </row>
        <row r="572">
          <cell r="A572">
            <v>4634169</v>
          </cell>
          <cell r="B572">
            <v>44218</v>
          </cell>
          <cell r="C572" t="str">
            <v>PON</v>
          </cell>
          <cell r="D572">
            <v>637526051</v>
          </cell>
          <cell r="E572" t="str">
            <v>K21 ENDV 1.B MOVE 400 M 50</v>
          </cell>
          <cell r="F572">
            <v>1</v>
          </cell>
          <cell r="G572">
            <v>0</v>
          </cell>
          <cell r="I572" t="str">
            <v>IH033</v>
          </cell>
          <cell r="L572">
            <v>31.5</v>
          </cell>
          <cell r="M572">
            <v>0.57799999999999996</v>
          </cell>
          <cell r="N572" t="str">
            <v>5W</v>
          </cell>
          <cell r="P572" t="str">
            <v>PONFCS</v>
          </cell>
          <cell r="Q572" t="str">
            <v>/  /</v>
          </cell>
        </row>
        <row r="573">
          <cell r="A573">
            <v>4569858</v>
          </cell>
          <cell r="B573">
            <v>44169</v>
          </cell>
          <cell r="C573" t="str">
            <v>PON</v>
          </cell>
          <cell r="D573">
            <v>637529053</v>
          </cell>
          <cell r="E573" t="str">
            <v>K21 Endeavour 7.B Belt Xl 58</v>
          </cell>
          <cell r="F573">
            <v>1</v>
          </cell>
          <cell r="G573">
            <v>0</v>
          </cell>
          <cell r="I573" t="str">
            <v>IH033</v>
          </cell>
          <cell r="L573">
            <v>35.5</v>
          </cell>
          <cell r="M573">
            <v>0.57299999999999995</v>
          </cell>
          <cell r="N573" t="str">
            <v>5W</v>
          </cell>
          <cell r="P573" t="str">
            <v>PONFCS</v>
          </cell>
          <cell r="Q573" t="str">
            <v>/  /</v>
          </cell>
        </row>
        <row r="574">
          <cell r="A574">
            <v>4569859</v>
          </cell>
          <cell r="B574">
            <v>44169</v>
          </cell>
          <cell r="C574" t="str">
            <v>PON</v>
          </cell>
          <cell r="D574">
            <v>637529053</v>
          </cell>
          <cell r="E574" t="str">
            <v>K21 Endeavour 7.B Belt Xl 58</v>
          </cell>
          <cell r="F574">
            <v>1</v>
          </cell>
          <cell r="G574">
            <v>0</v>
          </cell>
          <cell r="I574" t="str">
            <v>IH033</v>
          </cell>
          <cell r="L574">
            <v>35.5</v>
          </cell>
          <cell r="M574">
            <v>0.57299999999999995</v>
          </cell>
          <cell r="N574" t="str">
            <v>5W</v>
          </cell>
          <cell r="P574" t="str">
            <v>PONFCS</v>
          </cell>
          <cell r="Q574" t="str">
            <v>/  /</v>
          </cell>
        </row>
        <row r="575">
          <cell r="A575">
            <v>3993373</v>
          </cell>
          <cell r="B575">
            <v>43810</v>
          </cell>
          <cell r="C575" t="str">
            <v>PON</v>
          </cell>
          <cell r="D575">
            <v>633728537</v>
          </cell>
          <cell r="E575" t="str">
            <v>FC EBF19 P/Sqre9.6 57LBlkAnth</v>
          </cell>
          <cell r="F575">
            <v>1</v>
          </cell>
          <cell r="G575">
            <v>0</v>
          </cell>
          <cell r="I575" t="str">
            <v>IH034</v>
          </cell>
          <cell r="L575">
            <v>23.8</v>
          </cell>
          <cell r="M575">
            <v>0.57799999999999996</v>
          </cell>
          <cell r="N575" t="str">
            <v>5W</v>
          </cell>
          <cell r="P575" t="str">
            <v>PONFEB</v>
          </cell>
          <cell r="Q575" t="str">
            <v>/  /</v>
          </cell>
        </row>
        <row r="576">
          <cell r="A576">
            <v>3923896</v>
          </cell>
          <cell r="B576">
            <v>43775</v>
          </cell>
          <cell r="C576" t="str">
            <v>PON</v>
          </cell>
          <cell r="D576">
            <v>625508006</v>
          </cell>
          <cell r="E576" t="str">
            <v>Focus F17 IZ Max F/S 61 XXL</v>
          </cell>
          <cell r="F576">
            <v>1</v>
          </cell>
          <cell r="G576">
            <v>0</v>
          </cell>
          <cell r="I576" t="str">
            <v>IH041</v>
          </cell>
          <cell r="L576">
            <v>6</v>
          </cell>
          <cell r="M576">
            <v>0.185</v>
          </cell>
          <cell r="N576" t="str">
            <v>5W</v>
          </cell>
          <cell r="P576" t="str">
            <v>PONFCS</v>
          </cell>
          <cell r="Q576" t="str">
            <v>/  /</v>
          </cell>
        </row>
        <row r="577">
          <cell r="A577">
            <v>3929002</v>
          </cell>
          <cell r="B577">
            <v>43777</v>
          </cell>
          <cell r="C577" t="str">
            <v>PON</v>
          </cell>
          <cell r="D577">
            <v>633078045</v>
          </cell>
          <cell r="E577" t="str">
            <v>CV C19R5 DscDA Di2 61CMBlk/Gph</v>
          </cell>
          <cell r="F577">
            <v>1</v>
          </cell>
          <cell r="G577">
            <v>0</v>
          </cell>
          <cell r="I577" t="str">
            <v>IH041</v>
          </cell>
          <cell r="L577">
            <v>13</v>
          </cell>
          <cell r="M577">
            <v>0.249</v>
          </cell>
          <cell r="N577" t="str">
            <v>5W</v>
          </cell>
          <cell r="P577" t="str">
            <v>PONCVL</v>
          </cell>
          <cell r="Q577" t="str">
            <v>/  /</v>
          </cell>
        </row>
        <row r="578">
          <cell r="A578">
            <v>4614338</v>
          </cell>
          <cell r="B578">
            <v>44203</v>
          </cell>
          <cell r="C578" t="str">
            <v>PON</v>
          </cell>
          <cell r="D578">
            <v>641078332</v>
          </cell>
          <cell r="E578" t="str">
            <v>C21 R5 Dsc F/E/A Grn/Gld/Wht54</v>
          </cell>
          <cell r="F578">
            <v>1</v>
          </cell>
          <cell r="G578">
            <v>0</v>
          </cell>
          <cell r="I578" t="str">
            <v>IH041</v>
          </cell>
          <cell r="L578">
            <v>13.3</v>
          </cell>
          <cell r="M578">
            <v>0.26300000000000001</v>
          </cell>
          <cell r="N578" t="str">
            <v>5W</v>
          </cell>
          <cell r="P578" t="str">
            <v>PONCVL</v>
          </cell>
          <cell r="Q578" t="str">
            <v>/  /</v>
          </cell>
        </row>
        <row r="579">
          <cell r="A579">
            <v>4614339</v>
          </cell>
          <cell r="B579">
            <v>44203</v>
          </cell>
          <cell r="C579" t="str">
            <v>PON</v>
          </cell>
          <cell r="D579">
            <v>641078332</v>
          </cell>
          <cell r="E579" t="str">
            <v>C21 R5 Dsc F/E/A Grn/Gld/Wht54</v>
          </cell>
          <cell r="F579">
            <v>1</v>
          </cell>
          <cell r="G579">
            <v>0</v>
          </cell>
          <cell r="I579" t="str">
            <v>IH041</v>
          </cell>
          <cell r="L579">
            <v>13.3</v>
          </cell>
          <cell r="M579">
            <v>0.26300000000000001</v>
          </cell>
          <cell r="N579" t="str">
            <v>5W</v>
          </cell>
          <cell r="P579" t="str">
            <v>PONCVL</v>
          </cell>
          <cell r="Q579" t="str">
            <v>/  /</v>
          </cell>
        </row>
        <row r="580">
          <cell r="A580">
            <v>4614344</v>
          </cell>
          <cell r="B580">
            <v>44203</v>
          </cell>
          <cell r="C580" t="str">
            <v>PON</v>
          </cell>
          <cell r="D580">
            <v>641078333</v>
          </cell>
          <cell r="E580" t="str">
            <v>C21 R5 Dsc F/E/A Grn/Gld/Wht56</v>
          </cell>
          <cell r="F580">
            <v>1</v>
          </cell>
          <cell r="G580">
            <v>0</v>
          </cell>
          <cell r="I580" t="str">
            <v>IH042</v>
          </cell>
          <cell r="L580">
            <v>13.3</v>
          </cell>
          <cell r="M580">
            <v>0.26300000000000001</v>
          </cell>
          <cell r="N580" t="str">
            <v>5W</v>
          </cell>
          <cell r="P580" t="str">
            <v>PONCVL</v>
          </cell>
          <cell r="Q580" t="str">
            <v>/  /</v>
          </cell>
        </row>
        <row r="581">
          <cell r="A581">
            <v>4614345</v>
          </cell>
          <cell r="B581">
            <v>44203</v>
          </cell>
          <cell r="C581" t="str">
            <v>PON</v>
          </cell>
          <cell r="D581">
            <v>641078333</v>
          </cell>
          <cell r="E581" t="str">
            <v>C21 R5 Dsc F/E/A Grn/Gld/Wht56</v>
          </cell>
          <cell r="F581">
            <v>1</v>
          </cell>
          <cell r="G581">
            <v>0</v>
          </cell>
          <cell r="I581" t="str">
            <v>IH042</v>
          </cell>
          <cell r="L581">
            <v>13.3</v>
          </cell>
          <cell r="M581">
            <v>0.26300000000000001</v>
          </cell>
          <cell r="N581" t="str">
            <v>5W</v>
          </cell>
          <cell r="P581" t="str">
            <v>PONCVL</v>
          </cell>
          <cell r="Q581" t="str">
            <v>/  /</v>
          </cell>
        </row>
        <row r="582">
          <cell r="A582">
            <v>4614346</v>
          </cell>
          <cell r="B582">
            <v>44203</v>
          </cell>
          <cell r="C582" t="str">
            <v>PON</v>
          </cell>
          <cell r="D582">
            <v>641078333</v>
          </cell>
          <cell r="E582" t="str">
            <v>C21 R5 Dsc F/E/A Grn/Gld/Wht56</v>
          </cell>
          <cell r="F582">
            <v>1</v>
          </cell>
          <cell r="G582">
            <v>0</v>
          </cell>
          <cell r="I582" t="str">
            <v>IH042</v>
          </cell>
          <cell r="L582">
            <v>13.3</v>
          </cell>
          <cell r="M582">
            <v>0.26300000000000001</v>
          </cell>
          <cell r="N582" t="str">
            <v>5W</v>
          </cell>
          <cell r="P582" t="str">
            <v>PONCVL</v>
          </cell>
          <cell r="Q582" t="str">
            <v>/  /</v>
          </cell>
        </row>
        <row r="583">
          <cell r="A583">
            <v>4614347</v>
          </cell>
          <cell r="B583">
            <v>44203</v>
          </cell>
          <cell r="C583" t="str">
            <v>PON</v>
          </cell>
          <cell r="D583">
            <v>641078333</v>
          </cell>
          <cell r="E583" t="str">
            <v>C21 R5 Dsc F/E/A Grn/Gld/Wht56</v>
          </cell>
          <cell r="F583">
            <v>1</v>
          </cell>
          <cell r="G583">
            <v>0</v>
          </cell>
          <cell r="I583" t="str">
            <v>IH042</v>
          </cell>
          <cell r="L583">
            <v>13.3</v>
          </cell>
          <cell r="M583">
            <v>0.26300000000000001</v>
          </cell>
          <cell r="N583" t="str">
            <v>5W</v>
          </cell>
          <cell r="P583" t="str">
            <v>PONCVL</v>
          </cell>
          <cell r="Q583" t="str">
            <v>/  /</v>
          </cell>
        </row>
        <row r="584">
          <cell r="A584">
            <v>4634138</v>
          </cell>
          <cell r="B584">
            <v>44218</v>
          </cell>
          <cell r="C584" t="str">
            <v>PON</v>
          </cell>
          <cell r="D584">
            <v>637518150</v>
          </cell>
          <cell r="E584" t="str">
            <v>F20 JAM2 6.7 NINE 40S BLUE BSH</v>
          </cell>
          <cell r="F584">
            <v>1</v>
          </cell>
          <cell r="G584">
            <v>0</v>
          </cell>
          <cell r="I584" t="str">
            <v>IH043</v>
          </cell>
          <cell r="L584">
            <v>32.5</v>
          </cell>
          <cell r="M584">
            <v>0.58099999999999996</v>
          </cell>
          <cell r="N584" t="str">
            <v>5W</v>
          </cell>
          <cell r="P584" t="str">
            <v>PONFCS</v>
          </cell>
          <cell r="Q584" t="str">
            <v>/  /</v>
          </cell>
        </row>
        <row r="585">
          <cell r="A585">
            <v>4634139</v>
          </cell>
          <cell r="B585">
            <v>44218</v>
          </cell>
          <cell r="C585" t="str">
            <v>PON</v>
          </cell>
          <cell r="D585">
            <v>637518150</v>
          </cell>
          <cell r="E585" t="str">
            <v>F20 JAM2 6.7 NINE 40S BLUE BSH</v>
          </cell>
          <cell r="F585">
            <v>1</v>
          </cell>
          <cell r="G585">
            <v>0</v>
          </cell>
          <cell r="I585" t="str">
            <v>IH043</v>
          </cell>
          <cell r="L585">
            <v>32.5</v>
          </cell>
          <cell r="M585">
            <v>0.58099999999999996</v>
          </cell>
          <cell r="N585" t="str">
            <v>5W</v>
          </cell>
          <cell r="P585" t="str">
            <v>PONFCS</v>
          </cell>
          <cell r="Q585" t="str">
            <v>/  /</v>
          </cell>
        </row>
        <row r="586">
          <cell r="A586">
            <v>4634140</v>
          </cell>
          <cell r="B586">
            <v>44218</v>
          </cell>
          <cell r="C586" t="str">
            <v>PON</v>
          </cell>
          <cell r="D586">
            <v>637518150</v>
          </cell>
          <cell r="E586" t="str">
            <v>F20 JAM2 6.7 NINE 40S BLUE BSH</v>
          </cell>
          <cell r="F586">
            <v>1</v>
          </cell>
          <cell r="G586">
            <v>0</v>
          </cell>
          <cell r="I586" t="str">
            <v>IH043</v>
          </cell>
          <cell r="L586">
            <v>32.5</v>
          </cell>
          <cell r="M586">
            <v>0.58099999999999996</v>
          </cell>
          <cell r="N586" t="str">
            <v>5W</v>
          </cell>
          <cell r="P586" t="str">
            <v>PONFCS</v>
          </cell>
          <cell r="Q586" t="str">
            <v>/  /</v>
          </cell>
        </row>
        <row r="587">
          <cell r="A587">
            <v>4634141</v>
          </cell>
          <cell r="B587">
            <v>44218</v>
          </cell>
          <cell r="C587" t="str">
            <v>PON</v>
          </cell>
          <cell r="D587">
            <v>637518150</v>
          </cell>
          <cell r="E587" t="str">
            <v>F20 JAM2 6.7 NINE 40S BLUE BSH</v>
          </cell>
          <cell r="F587">
            <v>1</v>
          </cell>
          <cell r="G587">
            <v>0</v>
          </cell>
          <cell r="I587" t="str">
            <v>IH043</v>
          </cell>
          <cell r="L587">
            <v>32.5</v>
          </cell>
          <cell r="M587">
            <v>0.58099999999999996</v>
          </cell>
          <cell r="N587" t="str">
            <v>5W</v>
          </cell>
          <cell r="P587" t="str">
            <v>PONFCS</v>
          </cell>
          <cell r="Q587" t="str">
            <v>/  /</v>
          </cell>
        </row>
        <row r="588">
          <cell r="A588">
            <v>4634299</v>
          </cell>
          <cell r="B588">
            <v>44218</v>
          </cell>
          <cell r="C588" t="str">
            <v>PON</v>
          </cell>
          <cell r="D588">
            <v>637527029</v>
          </cell>
          <cell r="E588" t="str">
            <v>K20 Endeavour 3.B Move 55L WA</v>
          </cell>
          <cell r="F588">
            <v>1</v>
          </cell>
          <cell r="G588">
            <v>0</v>
          </cell>
          <cell r="I588" t="str">
            <v>IH043</v>
          </cell>
          <cell r="L588">
            <v>33.5</v>
          </cell>
          <cell r="M588">
            <v>0.57599999999999996</v>
          </cell>
          <cell r="N588" t="str">
            <v>5W</v>
          </cell>
          <cell r="P588" t="str">
            <v>PONFCS</v>
          </cell>
          <cell r="Q588" t="str">
            <v>/  /</v>
          </cell>
        </row>
        <row r="589">
          <cell r="A589">
            <v>4023661</v>
          </cell>
          <cell r="B589">
            <v>43840</v>
          </cell>
          <cell r="C589" t="str">
            <v>PON</v>
          </cell>
          <cell r="D589">
            <v>623523072</v>
          </cell>
          <cell r="E589" t="str">
            <v>KH K16 Include HE 8 60 XL</v>
          </cell>
          <cell r="F589">
            <v>1</v>
          </cell>
          <cell r="G589">
            <v>0</v>
          </cell>
          <cell r="I589" t="str">
            <v>IH044</v>
          </cell>
          <cell r="L589">
            <v>35.799999999999997</v>
          </cell>
          <cell r="M589">
            <v>0.55500000000000005</v>
          </cell>
          <cell r="N589" t="str">
            <v>5W</v>
          </cell>
          <cell r="P589" t="str">
            <v>PONKHF</v>
          </cell>
          <cell r="Q589" t="str">
            <v>/  /</v>
          </cell>
        </row>
        <row r="590">
          <cell r="A590">
            <v>4634327</v>
          </cell>
          <cell r="B590">
            <v>44218</v>
          </cell>
          <cell r="C590" t="str">
            <v>PON</v>
          </cell>
          <cell r="D590">
            <v>637527067</v>
          </cell>
          <cell r="E590" t="str">
            <v>K21 Endv 1.B Move 500 M Grey</v>
          </cell>
          <cell r="F590">
            <v>1</v>
          </cell>
          <cell r="G590">
            <v>0</v>
          </cell>
          <cell r="I590" t="str">
            <v>IH044</v>
          </cell>
          <cell r="L590">
            <v>35</v>
          </cell>
          <cell r="M590">
            <v>0.57299999999999995</v>
          </cell>
          <cell r="N590" t="str">
            <v>5W</v>
          </cell>
          <cell r="P590" t="str">
            <v>PONFCS</v>
          </cell>
          <cell r="Q590" t="str">
            <v>/  /</v>
          </cell>
        </row>
        <row r="591">
          <cell r="A591">
            <v>4634328</v>
          </cell>
          <cell r="B591">
            <v>44218</v>
          </cell>
          <cell r="C591" t="str">
            <v>PON</v>
          </cell>
          <cell r="D591">
            <v>637527067</v>
          </cell>
          <cell r="E591" t="str">
            <v>K21 Endv 1.B Move 500 M Grey</v>
          </cell>
          <cell r="F591">
            <v>1</v>
          </cell>
          <cell r="G591">
            <v>0</v>
          </cell>
          <cell r="I591" t="str">
            <v>IH044</v>
          </cell>
          <cell r="L591">
            <v>35</v>
          </cell>
          <cell r="M591">
            <v>0.57299999999999995</v>
          </cell>
          <cell r="N591" t="str">
            <v>5W</v>
          </cell>
          <cell r="P591" t="str">
            <v>PONFCS</v>
          </cell>
          <cell r="Q591" t="str">
            <v>/  /</v>
          </cell>
        </row>
        <row r="592">
          <cell r="A592">
            <v>4634329</v>
          </cell>
          <cell r="B592">
            <v>44218</v>
          </cell>
          <cell r="C592" t="str">
            <v>PON</v>
          </cell>
          <cell r="D592">
            <v>637527067</v>
          </cell>
          <cell r="E592" t="str">
            <v>K21 Endv 1.B Move 500 M Grey</v>
          </cell>
          <cell r="F592">
            <v>1</v>
          </cell>
          <cell r="G592">
            <v>0</v>
          </cell>
          <cell r="I592" t="str">
            <v>IH044</v>
          </cell>
          <cell r="L592">
            <v>35</v>
          </cell>
          <cell r="M592">
            <v>0.57299999999999995</v>
          </cell>
          <cell r="N592" t="str">
            <v>5W</v>
          </cell>
          <cell r="P592" t="str">
            <v>PONFCS</v>
          </cell>
          <cell r="Q592" t="str">
            <v>/  /</v>
          </cell>
        </row>
        <row r="593">
          <cell r="A593">
            <v>4634330</v>
          </cell>
          <cell r="B593">
            <v>44218</v>
          </cell>
          <cell r="C593" t="str">
            <v>PON</v>
          </cell>
          <cell r="D593">
            <v>637527067</v>
          </cell>
          <cell r="E593" t="str">
            <v>K21 Endv 1.B Move 500 M Grey</v>
          </cell>
          <cell r="F593">
            <v>1</v>
          </cell>
          <cell r="G593">
            <v>0</v>
          </cell>
          <cell r="I593" t="str">
            <v>IH044</v>
          </cell>
          <cell r="L593">
            <v>35</v>
          </cell>
          <cell r="M593">
            <v>0.57299999999999995</v>
          </cell>
          <cell r="N593" t="str">
            <v>5W</v>
          </cell>
          <cell r="P593" t="str">
            <v>PONFCS</v>
          </cell>
          <cell r="Q593" t="str">
            <v>/  /</v>
          </cell>
        </row>
        <row r="594">
          <cell r="A594">
            <v>4077394</v>
          </cell>
          <cell r="B594">
            <v>43875</v>
          </cell>
          <cell r="C594" t="str">
            <v>PON</v>
          </cell>
          <cell r="D594" t="str">
            <v>TB614072034</v>
          </cell>
          <cell r="E594" t="str">
            <v>TB C14 R5 Red 58cm</v>
          </cell>
          <cell r="F594">
            <v>1</v>
          </cell>
          <cell r="G594">
            <v>0</v>
          </cell>
          <cell r="I594" t="str">
            <v>IH051</v>
          </cell>
          <cell r="L594">
            <v>11.1</v>
          </cell>
          <cell r="M594">
            <v>0.23100000000000001</v>
          </cell>
          <cell r="N594" t="str">
            <v>5W</v>
          </cell>
          <cell r="P594" t="str">
            <v>PONFCS</v>
          </cell>
          <cell r="Q594" t="str">
            <v>/  /</v>
          </cell>
        </row>
        <row r="595">
          <cell r="A595">
            <v>4614331</v>
          </cell>
          <cell r="B595">
            <v>44203</v>
          </cell>
          <cell r="C595" t="str">
            <v>PON</v>
          </cell>
          <cell r="D595">
            <v>641078331</v>
          </cell>
          <cell r="E595" t="str">
            <v>C21 R5 Dsc F/E/A Grn/Gld/Wht51</v>
          </cell>
          <cell r="F595">
            <v>1</v>
          </cell>
          <cell r="G595">
            <v>0</v>
          </cell>
          <cell r="I595" t="str">
            <v>IH052</v>
          </cell>
          <cell r="L595">
            <v>13.2</v>
          </cell>
          <cell r="M595">
            <v>0.26300000000000001</v>
          </cell>
          <cell r="N595" t="str">
            <v>5W</v>
          </cell>
          <cell r="P595" t="str">
            <v>PONCVL</v>
          </cell>
          <cell r="Q595" t="str">
            <v>/  /</v>
          </cell>
        </row>
        <row r="596">
          <cell r="A596">
            <v>4614332</v>
          </cell>
          <cell r="B596">
            <v>44203</v>
          </cell>
          <cell r="C596" t="str">
            <v>PON</v>
          </cell>
          <cell r="D596">
            <v>641078331</v>
          </cell>
          <cell r="E596" t="str">
            <v>C21 R5 Dsc F/E/A Grn/Gld/Wht51</v>
          </cell>
          <cell r="F596">
            <v>1</v>
          </cell>
          <cell r="G596">
            <v>0</v>
          </cell>
          <cell r="I596" t="str">
            <v>IH052</v>
          </cell>
          <cell r="L596">
            <v>13.2</v>
          </cell>
          <cell r="M596">
            <v>0.26300000000000001</v>
          </cell>
          <cell r="N596" t="str">
            <v>5W</v>
          </cell>
          <cell r="P596" t="str">
            <v>PONCVL</v>
          </cell>
          <cell r="Q596" t="str">
            <v>/  /</v>
          </cell>
        </row>
        <row r="597">
          <cell r="A597">
            <v>4614333</v>
          </cell>
          <cell r="B597">
            <v>44203</v>
          </cell>
          <cell r="C597" t="str">
            <v>PON</v>
          </cell>
          <cell r="D597">
            <v>641078331</v>
          </cell>
          <cell r="E597" t="str">
            <v>C21 R5 Dsc F/E/A Grn/Gld/Wht51</v>
          </cell>
          <cell r="F597">
            <v>1</v>
          </cell>
          <cell r="G597">
            <v>0</v>
          </cell>
          <cell r="I597" t="str">
            <v>IH052</v>
          </cell>
          <cell r="L597">
            <v>13.2</v>
          </cell>
          <cell r="M597">
            <v>0.26300000000000001</v>
          </cell>
          <cell r="N597" t="str">
            <v>5W</v>
          </cell>
          <cell r="P597" t="str">
            <v>PONCVL</v>
          </cell>
          <cell r="Q597" t="str">
            <v>/  /</v>
          </cell>
        </row>
        <row r="598">
          <cell r="A598">
            <v>4614334</v>
          </cell>
          <cell r="B598">
            <v>44203</v>
          </cell>
          <cell r="C598" t="str">
            <v>PON</v>
          </cell>
          <cell r="D598">
            <v>641078331</v>
          </cell>
          <cell r="E598" t="str">
            <v>C21 R5 Dsc F/E/A Grn/Gld/Wht51</v>
          </cell>
          <cell r="F598">
            <v>1</v>
          </cell>
          <cell r="G598">
            <v>0</v>
          </cell>
          <cell r="I598" t="str">
            <v>IH052</v>
          </cell>
          <cell r="L598">
            <v>13.2</v>
          </cell>
          <cell r="M598">
            <v>0.26300000000000001</v>
          </cell>
          <cell r="N598" t="str">
            <v>5W</v>
          </cell>
          <cell r="P598" t="str">
            <v>PONCVL</v>
          </cell>
          <cell r="Q598" t="str">
            <v>/  /</v>
          </cell>
        </row>
        <row r="599">
          <cell r="A599">
            <v>3987958</v>
          </cell>
          <cell r="B599">
            <v>43809</v>
          </cell>
          <cell r="C599" t="str">
            <v>PON</v>
          </cell>
          <cell r="D599">
            <v>633728523</v>
          </cell>
          <cell r="E599" t="str">
            <v>FC EBF19 P/Sqre9.7 60XLB/Anthr</v>
          </cell>
          <cell r="F599">
            <v>1</v>
          </cell>
          <cell r="G599">
            <v>0</v>
          </cell>
          <cell r="I599" t="str">
            <v>IH053</v>
          </cell>
          <cell r="L599">
            <v>23.5</v>
          </cell>
          <cell r="M599">
            <v>0.58099999999999996</v>
          </cell>
          <cell r="N599" t="str">
            <v>5W</v>
          </cell>
          <cell r="P599" t="str">
            <v>PONFEB</v>
          </cell>
          <cell r="Q599" t="str">
            <v>/  /</v>
          </cell>
        </row>
        <row r="600">
          <cell r="A600">
            <v>4002039</v>
          </cell>
          <cell r="B600">
            <v>43816</v>
          </cell>
          <cell r="C600" t="str">
            <v>PON</v>
          </cell>
          <cell r="D600">
            <v>633728538</v>
          </cell>
          <cell r="E600" t="str">
            <v>FC EBF19 P/Sqre9.6 60XLB/Anthr</v>
          </cell>
          <cell r="F600">
            <v>1</v>
          </cell>
          <cell r="G600">
            <v>0</v>
          </cell>
          <cell r="I600" t="str">
            <v>IH053</v>
          </cell>
          <cell r="L600">
            <v>24</v>
          </cell>
          <cell r="M600">
            <v>0.58099999999999996</v>
          </cell>
          <cell r="N600" t="str">
            <v>5W</v>
          </cell>
          <cell r="P600" t="str">
            <v>PONFEB</v>
          </cell>
          <cell r="Q600" t="str">
            <v>/  /</v>
          </cell>
        </row>
        <row r="601">
          <cell r="A601">
            <v>4569867</v>
          </cell>
          <cell r="B601">
            <v>44169</v>
          </cell>
          <cell r="C601" t="str">
            <v>PON</v>
          </cell>
          <cell r="D601">
            <v>637529083</v>
          </cell>
          <cell r="E601" t="str">
            <v>K21 Endeavour 7.B Move XL 58</v>
          </cell>
          <cell r="F601">
            <v>1</v>
          </cell>
          <cell r="G601">
            <v>0</v>
          </cell>
          <cell r="I601" t="str">
            <v>IH053</v>
          </cell>
          <cell r="L601">
            <v>34.5</v>
          </cell>
          <cell r="M601">
            <v>0.57299999999999995</v>
          </cell>
          <cell r="N601" t="str">
            <v>5W</v>
          </cell>
          <cell r="P601" t="str">
            <v>PONFCS</v>
          </cell>
          <cell r="Q601" t="str">
            <v>/  /</v>
          </cell>
        </row>
        <row r="602">
          <cell r="A602">
            <v>4569868</v>
          </cell>
          <cell r="B602">
            <v>44169</v>
          </cell>
          <cell r="C602" t="str">
            <v>PON</v>
          </cell>
          <cell r="D602">
            <v>637529083</v>
          </cell>
          <cell r="E602" t="str">
            <v>K21 Endeavour 7.B Move XL 58</v>
          </cell>
          <cell r="F602">
            <v>1</v>
          </cell>
          <cell r="G602">
            <v>0</v>
          </cell>
          <cell r="I602" t="str">
            <v>IH053</v>
          </cell>
          <cell r="L602">
            <v>34.5</v>
          </cell>
          <cell r="M602">
            <v>0.57299999999999995</v>
          </cell>
          <cell r="N602" t="str">
            <v>5W</v>
          </cell>
          <cell r="P602" t="str">
            <v>PONFCS</v>
          </cell>
          <cell r="Q602" t="str">
            <v>/  /</v>
          </cell>
        </row>
        <row r="603">
          <cell r="A603">
            <v>4569869</v>
          </cell>
          <cell r="B603">
            <v>44169</v>
          </cell>
          <cell r="C603" t="str">
            <v>PON</v>
          </cell>
          <cell r="D603">
            <v>637529083</v>
          </cell>
          <cell r="E603" t="str">
            <v>K21 Endeavour 7.B Move XL 58</v>
          </cell>
          <cell r="F603">
            <v>1</v>
          </cell>
          <cell r="G603">
            <v>0</v>
          </cell>
          <cell r="I603" t="str">
            <v>IH053</v>
          </cell>
          <cell r="L603">
            <v>34.5</v>
          </cell>
          <cell r="M603">
            <v>0.57299999999999995</v>
          </cell>
          <cell r="N603" t="str">
            <v>5W</v>
          </cell>
          <cell r="P603" t="str">
            <v>PONFCS</v>
          </cell>
          <cell r="Q603" t="str">
            <v>/  /</v>
          </cell>
        </row>
        <row r="604">
          <cell r="A604">
            <v>3986967</v>
          </cell>
          <cell r="B604">
            <v>43809</v>
          </cell>
          <cell r="C604" t="str">
            <v>PON</v>
          </cell>
          <cell r="D604" t="str">
            <v>A2948</v>
          </cell>
          <cell r="E604" t="str">
            <v>GZ G17 Orange CX HMB 57 Men</v>
          </cell>
          <cell r="F604">
            <v>1</v>
          </cell>
          <cell r="G604">
            <v>0</v>
          </cell>
          <cell r="I604" t="str">
            <v>IH054</v>
          </cell>
          <cell r="L604">
            <v>31</v>
          </cell>
          <cell r="M604">
            <v>0.57599999999999996</v>
          </cell>
          <cell r="N604" t="str">
            <v>5W</v>
          </cell>
          <cell r="P604" t="str">
            <v>PONGAZ</v>
          </cell>
          <cell r="Q604" t="str">
            <v>/  /</v>
          </cell>
        </row>
        <row r="605">
          <cell r="A605">
            <v>4458728</v>
          </cell>
          <cell r="B605">
            <v>44112</v>
          </cell>
          <cell r="C605" t="str">
            <v>PON</v>
          </cell>
          <cell r="D605">
            <v>637006013</v>
          </cell>
          <cell r="E605" t="str">
            <v>F21 IZ MAX DISC 9.8 54 M</v>
          </cell>
          <cell r="F605">
            <v>1</v>
          </cell>
          <cell r="G605">
            <v>0</v>
          </cell>
          <cell r="I605" t="str">
            <v>IH061</v>
          </cell>
          <cell r="L605">
            <v>13.2</v>
          </cell>
          <cell r="M605">
            <v>0.22800000000000001</v>
          </cell>
          <cell r="N605" t="str">
            <v>5W</v>
          </cell>
          <cell r="P605" t="str">
            <v>PONFCS</v>
          </cell>
          <cell r="Q605" t="str">
            <v>/  /</v>
          </cell>
        </row>
        <row r="606">
          <cell r="A606">
            <v>4458729</v>
          </cell>
          <cell r="B606">
            <v>44112</v>
          </cell>
          <cell r="C606" t="str">
            <v>PON</v>
          </cell>
          <cell r="D606">
            <v>637006013</v>
          </cell>
          <cell r="E606" t="str">
            <v>F21 IZ MAX DISC 9.8 54 M</v>
          </cell>
          <cell r="F606">
            <v>1</v>
          </cell>
          <cell r="G606">
            <v>0</v>
          </cell>
          <cell r="I606" t="str">
            <v>IH061</v>
          </cell>
          <cell r="L606">
            <v>13.2</v>
          </cell>
          <cell r="M606">
            <v>0.22800000000000001</v>
          </cell>
          <cell r="N606" t="str">
            <v>5W</v>
          </cell>
          <cell r="P606" t="str">
            <v>PONFCS</v>
          </cell>
          <cell r="Q606" t="str">
            <v>/  /</v>
          </cell>
        </row>
        <row r="607">
          <cell r="A607">
            <v>4458730</v>
          </cell>
          <cell r="B607">
            <v>44112</v>
          </cell>
          <cell r="C607" t="str">
            <v>PON</v>
          </cell>
          <cell r="D607">
            <v>637006013</v>
          </cell>
          <cell r="E607" t="str">
            <v>F21 IZ MAX DISC 9.8 54 M</v>
          </cell>
          <cell r="F607">
            <v>1</v>
          </cell>
          <cell r="G607">
            <v>0</v>
          </cell>
          <cell r="I607" t="str">
            <v>IH061</v>
          </cell>
          <cell r="L607">
            <v>13.2</v>
          </cell>
          <cell r="M607">
            <v>0.22800000000000001</v>
          </cell>
          <cell r="N607" t="str">
            <v>5W</v>
          </cell>
          <cell r="P607" t="str">
            <v>PONFCS</v>
          </cell>
          <cell r="Q607" t="str">
            <v>/  /</v>
          </cell>
        </row>
        <row r="608">
          <cell r="A608">
            <v>4614353</v>
          </cell>
          <cell r="B608">
            <v>44203</v>
          </cell>
          <cell r="C608" t="str">
            <v>PON</v>
          </cell>
          <cell r="D608">
            <v>641078335</v>
          </cell>
          <cell r="E608" t="str">
            <v>C21 R5 Dsc F/E/A Grn/Gld/Wht61</v>
          </cell>
          <cell r="F608">
            <v>1</v>
          </cell>
          <cell r="G608">
            <v>0</v>
          </cell>
          <cell r="I608" t="str">
            <v>IH061</v>
          </cell>
          <cell r="L608">
            <v>13.2</v>
          </cell>
          <cell r="M608">
            <v>0.26300000000000001</v>
          </cell>
          <cell r="N608" t="str">
            <v>5W</v>
          </cell>
          <cell r="P608" t="str">
            <v>PONCVL</v>
          </cell>
          <cell r="Q608" t="str">
            <v>/  /</v>
          </cell>
        </row>
        <row r="609">
          <cell r="A609">
            <v>3987729</v>
          </cell>
          <cell r="B609">
            <v>43809</v>
          </cell>
          <cell r="C609" t="str">
            <v>PON</v>
          </cell>
          <cell r="D609">
            <v>633728533</v>
          </cell>
          <cell r="E609" t="str">
            <v>FC EBikeF19 P/Sqre 9.6 60XL Rd</v>
          </cell>
          <cell r="F609">
            <v>1</v>
          </cell>
          <cell r="G609">
            <v>0</v>
          </cell>
          <cell r="I609" t="str">
            <v>IH063</v>
          </cell>
          <cell r="L609">
            <v>23.8</v>
          </cell>
          <cell r="M609">
            <v>0.58099999999999996</v>
          </cell>
          <cell r="N609" t="str">
            <v>5W</v>
          </cell>
          <cell r="P609" t="str">
            <v>PONFEB</v>
          </cell>
          <cell r="Q609" t="str">
            <v>/  /</v>
          </cell>
        </row>
        <row r="610">
          <cell r="A610">
            <v>4569903</v>
          </cell>
          <cell r="B610">
            <v>44169</v>
          </cell>
          <cell r="C610" t="str">
            <v>PON</v>
          </cell>
          <cell r="D610">
            <v>641527476</v>
          </cell>
          <cell r="E610" t="str">
            <v>K21 Image 3. B Excite R M 50</v>
          </cell>
          <cell r="F610">
            <v>1</v>
          </cell>
          <cell r="G610">
            <v>0</v>
          </cell>
          <cell r="I610" t="str">
            <v>IH063</v>
          </cell>
          <cell r="L610">
            <v>35</v>
          </cell>
          <cell r="M610">
            <v>0.57299999999999995</v>
          </cell>
          <cell r="N610" t="str">
            <v>5W</v>
          </cell>
          <cell r="P610" t="str">
            <v>PONFCS</v>
          </cell>
          <cell r="Q610" t="str">
            <v>/  /</v>
          </cell>
        </row>
        <row r="611">
          <cell r="A611">
            <v>4569904</v>
          </cell>
          <cell r="B611">
            <v>44169</v>
          </cell>
          <cell r="C611" t="str">
            <v>PON</v>
          </cell>
          <cell r="D611">
            <v>641527476</v>
          </cell>
          <cell r="E611" t="str">
            <v>K21 Image 3. B Excite R M 50</v>
          </cell>
          <cell r="F611">
            <v>1</v>
          </cell>
          <cell r="G611">
            <v>0</v>
          </cell>
          <cell r="I611" t="str">
            <v>IH063</v>
          </cell>
          <cell r="L611">
            <v>35</v>
          </cell>
          <cell r="M611">
            <v>0.57299999999999995</v>
          </cell>
          <cell r="N611" t="str">
            <v>5W</v>
          </cell>
          <cell r="P611" t="str">
            <v>PONFCS</v>
          </cell>
          <cell r="Q611" t="str">
            <v>/  /</v>
          </cell>
        </row>
        <row r="612">
          <cell r="A612">
            <v>4569905</v>
          </cell>
          <cell r="B612">
            <v>44169</v>
          </cell>
          <cell r="C612" t="str">
            <v>PON</v>
          </cell>
          <cell r="D612">
            <v>641527476</v>
          </cell>
          <cell r="E612" t="str">
            <v>K21 Image 3. B Excite R M 50</v>
          </cell>
          <cell r="F612">
            <v>1</v>
          </cell>
          <cell r="G612">
            <v>0</v>
          </cell>
          <cell r="I612" t="str">
            <v>IH063</v>
          </cell>
          <cell r="L612">
            <v>35</v>
          </cell>
          <cell r="M612">
            <v>0.57299999999999995</v>
          </cell>
          <cell r="N612" t="str">
            <v>5W</v>
          </cell>
          <cell r="P612" t="str">
            <v>PONFCS</v>
          </cell>
          <cell r="Q612" t="str">
            <v>/  /</v>
          </cell>
        </row>
        <row r="613">
          <cell r="A613">
            <v>4088104</v>
          </cell>
          <cell r="B613">
            <v>43810</v>
          </cell>
          <cell r="C613" t="str">
            <v>PON</v>
          </cell>
          <cell r="D613">
            <v>633718321</v>
          </cell>
          <cell r="E613" t="str">
            <v>FC E BikeF19Planet2 6.8DI53LRd</v>
          </cell>
          <cell r="F613">
            <v>1</v>
          </cell>
          <cell r="G613">
            <v>0</v>
          </cell>
          <cell r="I613" t="str">
            <v>IH064</v>
          </cell>
          <cell r="L613">
            <v>33.299999999999997</v>
          </cell>
          <cell r="M613">
            <v>0.55500000000000005</v>
          </cell>
          <cell r="N613" t="str">
            <v>5W</v>
          </cell>
          <cell r="P613" t="str">
            <v>PONFEB</v>
          </cell>
          <cell r="Q613" t="str">
            <v>/  /</v>
          </cell>
        </row>
        <row r="614">
          <cell r="A614">
            <v>4086244</v>
          </cell>
          <cell r="B614">
            <v>43852</v>
          </cell>
          <cell r="C614" t="str">
            <v>PON</v>
          </cell>
          <cell r="D614">
            <v>633728531</v>
          </cell>
          <cell r="E614" t="str">
            <v>FC EBikeF19 P/Sqre 9.6 54M Red</v>
          </cell>
          <cell r="F614">
            <v>1</v>
          </cell>
          <cell r="G614">
            <v>0</v>
          </cell>
          <cell r="I614" t="str">
            <v>IH064</v>
          </cell>
          <cell r="L614">
            <v>24</v>
          </cell>
          <cell r="M614">
            <v>0.53200000000000003</v>
          </cell>
          <cell r="N614" t="str">
            <v>5W</v>
          </cell>
          <cell r="P614" t="str">
            <v>PONFEB</v>
          </cell>
          <cell r="Q614" t="str">
            <v>/  /</v>
          </cell>
        </row>
        <row r="615">
          <cell r="A615">
            <v>4087687</v>
          </cell>
          <cell r="B615">
            <v>43852</v>
          </cell>
          <cell r="C615" t="str">
            <v>PON</v>
          </cell>
          <cell r="D615">
            <v>633728531</v>
          </cell>
          <cell r="E615" t="str">
            <v>FC EBikeF19 P/Sqre 9.6 54M Red</v>
          </cell>
          <cell r="F615">
            <v>1</v>
          </cell>
          <cell r="G615">
            <v>0</v>
          </cell>
          <cell r="I615" t="str">
            <v>IH064</v>
          </cell>
          <cell r="L615">
            <v>24</v>
          </cell>
          <cell r="M615">
            <v>0.53200000000000003</v>
          </cell>
          <cell r="N615" t="str">
            <v>5W</v>
          </cell>
          <cell r="P615" t="str">
            <v>PONFEB</v>
          </cell>
          <cell r="Q615" t="str">
            <v>/  /</v>
          </cell>
        </row>
        <row r="616">
          <cell r="A616">
            <v>4089486</v>
          </cell>
          <cell r="B616">
            <v>43852</v>
          </cell>
          <cell r="C616" t="str">
            <v>PON</v>
          </cell>
          <cell r="D616">
            <v>633728531</v>
          </cell>
          <cell r="E616" t="str">
            <v>FC EBikeF19 P/Sqre 9.6 54M Red</v>
          </cell>
          <cell r="F616">
            <v>1</v>
          </cell>
          <cell r="G616">
            <v>0</v>
          </cell>
          <cell r="I616" t="str">
            <v>IH064</v>
          </cell>
          <cell r="L616">
            <v>24</v>
          </cell>
          <cell r="M616">
            <v>0.53200000000000003</v>
          </cell>
          <cell r="N616" t="str">
            <v>5W</v>
          </cell>
          <cell r="P616" t="str">
            <v>PONFEB</v>
          </cell>
          <cell r="Q616" t="str">
            <v>/  /</v>
          </cell>
        </row>
        <row r="617">
          <cell r="A617">
            <v>4538403</v>
          </cell>
          <cell r="B617">
            <v>44160</v>
          </cell>
          <cell r="C617" t="str">
            <v>PON</v>
          </cell>
          <cell r="D617">
            <v>637518151</v>
          </cell>
          <cell r="E617" t="str">
            <v>F20 JAM2 6.7 NINE 42M BLUE BSH</v>
          </cell>
          <cell r="F617">
            <v>1</v>
          </cell>
          <cell r="G617">
            <v>0</v>
          </cell>
          <cell r="I617" t="str">
            <v>IH064</v>
          </cell>
          <cell r="L617">
            <v>32.6</v>
          </cell>
          <cell r="M617">
            <v>0.58099999999999996</v>
          </cell>
          <cell r="N617" t="str">
            <v>5W</v>
          </cell>
          <cell r="P617" t="str">
            <v>PONFCS</v>
          </cell>
          <cell r="Q617" t="str">
            <v>/  /</v>
          </cell>
        </row>
        <row r="618">
          <cell r="A618">
            <v>4087598</v>
          </cell>
          <cell r="B618">
            <v>43784</v>
          </cell>
          <cell r="C618" t="str">
            <v>PON</v>
          </cell>
          <cell r="D618">
            <v>633078602</v>
          </cell>
          <cell r="E618" t="str">
            <v>CV C19P3X Ult Di2 LGGph/Blk/Rd</v>
          </cell>
          <cell r="F618">
            <v>1</v>
          </cell>
          <cell r="G618">
            <v>0</v>
          </cell>
          <cell r="I618" t="str">
            <v>IH071</v>
          </cell>
          <cell r="L618">
            <v>16.3</v>
          </cell>
          <cell r="M618">
            <v>0.22900000000000001</v>
          </cell>
          <cell r="N618" t="str">
            <v>5W</v>
          </cell>
          <cell r="P618" t="str">
            <v>PONCVL</v>
          </cell>
          <cell r="Q618" t="str">
            <v>/  /</v>
          </cell>
        </row>
        <row r="619">
          <cell r="A619">
            <v>4087599</v>
          </cell>
          <cell r="B619">
            <v>43784</v>
          </cell>
          <cell r="C619" t="str">
            <v>PON</v>
          </cell>
          <cell r="D619">
            <v>633078602</v>
          </cell>
          <cell r="E619" t="str">
            <v>CV C19P3X Ult Di2 LGGph/Blk/Rd</v>
          </cell>
          <cell r="F619">
            <v>1</v>
          </cell>
          <cell r="G619">
            <v>0</v>
          </cell>
          <cell r="I619" t="str">
            <v>IH071</v>
          </cell>
          <cell r="L619">
            <v>16.3</v>
          </cell>
          <cell r="M619">
            <v>0.22900000000000001</v>
          </cell>
          <cell r="N619" t="str">
            <v>5W</v>
          </cell>
          <cell r="P619" t="str">
            <v>PONCVL</v>
          </cell>
          <cell r="Q619" t="str">
            <v>/  /</v>
          </cell>
        </row>
        <row r="620">
          <cell r="A620">
            <v>4089390</v>
          </cell>
          <cell r="B620">
            <v>43784</v>
          </cell>
          <cell r="C620" t="str">
            <v>PON</v>
          </cell>
          <cell r="D620">
            <v>633078602</v>
          </cell>
          <cell r="E620" t="str">
            <v>CV C19P3X Ult Di2 LGGph/Blk/Rd</v>
          </cell>
          <cell r="F620">
            <v>1</v>
          </cell>
          <cell r="G620">
            <v>0</v>
          </cell>
          <cell r="I620" t="str">
            <v>IH071</v>
          </cell>
          <cell r="L620">
            <v>16.3</v>
          </cell>
          <cell r="M620">
            <v>0.22900000000000001</v>
          </cell>
          <cell r="N620" t="str">
            <v>5W</v>
          </cell>
          <cell r="P620" t="str">
            <v>PONCVL</v>
          </cell>
          <cell r="Q620" t="str">
            <v>/  /</v>
          </cell>
        </row>
        <row r="621">
          <cell r="A621">
            <v>4089391</v>
          </cell>
          <cell r="B621">
            <v>43784</v>
          </cell>
          <cell r="C621" t="str">
            <v>PON</v>
          </cell>
          <cell r="D621">
            <v>633078602</v>
          </cell>
          <cell r="E621" t="str">
            <v>CV C19P3X Ult Di2 LGGph/Blk/Rd</v>
          </cell>
          <cell r="F621">
            <v>1</v>
          </cell>
          <cell r="G621">
            <v>0</v>
          </cell>
          <cell r="I621" t="str">
            <v>IH071</v>
          </cell>
          <cell r="L621">
            <v>16.3</v>
          </cell>
          <cell r="M621">
            <v>0.22900000000000001</v>
          </cell>
          <cell r="N621" t="str">
            <v>5W</v>
          </cell>
          <cell r="P621" t="str">
            <v>PONCVL</v>
          </cell>
          <cell r="Q621" t="str">
            <v>/  /</v>
          </cell>
        </row>
        <row r="622">
          <cell r="A622">
            <v>3940604</v>
          </cell>
          <cell r="B622">
            <v>43784</v>
          </cell>
          <cell r="C622" t="str">
            <v>PON</v>
          </cell>
          <cell r="D622">
            <v>628078173</v>
          </cell>
          <cell r="E622" t="str">
            <v>C18 R5 DA Di2 9150 56 LG</v>
          </cell>
          <cell r="F622">
            <v>1</v>
          </cell>
          <cell r="G622">
            <v>0</v>
          </cell>
          <cell r="I622" t="str">
            <v>IH072</v>
          </cell>
          <cell r="L622">
            <v>11.9</v>
          </cell>
          <cell r="M622">
            <v>0.20899999999999999</v>
          </cell>
          <cell r="N622" t="str">
            <v>5W</v>
          </cell>
          <cell r="P622" t="str">
            <v>PONCVL</v>
          </cell>
          <cell r="Q622" t="str">
            <v>/  /</v>
          </cell>
        </row>
        <row r="623">
          <cell r="A623">
            <v>4374284</v>
          </cell>
          <cell r="B623">
            <v>44061</v>
          </cell>
          <cell r="C623" t="str">
            <v>PON</v>
          </cell>
          <cell r="D623">
            <v>641078015</v>
          </cell>
          <cell r="E623" t="str">
            <v>C21 ASPERO FCE BLACK/GOLD 56</v>
          </cell>
          <cell r="F623">
            <v>1</v>
          </cell>
          <cell r="G623">
            <v>0</v>
          </cell>
          <cell r="I623" t="str">
            <v>IH072</v>
          </cell>
          <cell r="L623">
            <v>14.4</v>
          </cell>
          <cell r="M623">
            <v>0.23300000000000001</v>
          </cell>
          <cell r="N623" t="str">
            <v>5W</v>
          </cell>
          <cell r="P623" t="str">
            <v>PONCVL</v>
          </cell>
          <cell r="Q623" t="str">
            <v>/  /</v>
          </cell>
        </row>
        <row r="624">
          <cell r="A624">
            <v>4634302</v>
          </cell>
          <cell r="B624">
            <v>44218</v>
          </cell>
          <cell r="C624" t="str">
            <v>PON</v>
          </cell>
          <cell r="D624">
            <v>637527029</v>
          </cell>
          <cell r="E624" t="str">
            <v>K20 Endeavour 3.B Move 55L WA</v>
          </cell>
          <cell r="F624">
            <v>1</v>
          </cell>
          <cell r="G624">
            <v>0</v>
          </cell>
          <cell r="I624" t="str">
            <v>IH073</v>
          </cell>
          <cell r="L624">
            <v>33.5</v>
          </cell>
          <cell r="M624">
            <v>0.57599999999999996</v>
          </cell>
          <cell r="N624" t="str">
            <v>5W</v>
          </cell>
          <cell r="P624" t="str">
            <v>PONFCS</v>
          </cell>
          <cell r="Q624" t="str">
            <v>/  /</v>
          </cell>
        </row>
        <row r="625">
          <cell r="A625">
            <v>4634303</v>
          </cell>
          <cell r="B625">
            <v>44218</v>
          </cell>
          <cell r="C625" t="str">
            <v>PON</v>
          </cell>
          <cell r="D625">
            <v>637527029</v>
          </cell>
          <cell r="E625" t="str">
            <v>K20 Endeavour 3.B Move 55L WA</v>
          </cell>
          <cell r="F625">
            <v>1</v>
          </cell>
          <cell r="G625">
            <v>0</v>
          </cell>
          <cell r="I625" t="str">
            <v>IH073</v>
          </cell>
          <cell r="L625">
            <v>33.5</v>
          </cell>
          <cell r="M625">
            <v>0.57599999999999996</v>
          </cell>
          <cell r="N625" t="str">
            <v>5W</v>
          </cell>
          <cell r="P625" t="str">
            <v>PONFCS</v>
          </cell>
          <cell r="Q625" t="str">
            <v>/  /</v>
          </cell>
        </row>
        <row r="626">
          <cell r="A626">
            <v>4634342</v>
          </cell>
          <cell r="B626">
            <v>44218</v>
          </cell>
          <cell r="C626" t="str">
            <v>PON</v>
          </cell>
          <cell r="D626">
            <v>641528405</v>
          </cell>
          <cell r="E626" t="str">
            <v>K21 Image 5.B Excite Wa S43</v>
          </cell>
          <cell r="F626">
            <v>1</v>
          </cell>
          <cell r="G626">
            <v>0</v>
          </cell>
          <cell r="I626" t="str">
            <v>IH073</v>
          </cell>
          <cell r="L626">
            <v>37</v>
          </cell>
          <cell r="M626">
            <v>0.57299999999999995</v>
          </cell>
          <cell r="N626" t="str">
            <v>5W</v>
          </cell>
          <cell r="P626" t="str">
            <v>PONFCS</v>
          </cell>
          <cell r="Q626" t="str">
            <v>/  /</v>
          </cell>
        </row>
        <row r="627">
          <cell r="A627">
            <v>4017995</v>
          </cell>
          <cell r="B627">
            <v>43836</v>
          </cell>
          <cell r="C627" t="str">
            <v>PON</v>
          </cell>
          <cell r="D627" t="str">
            <v>A5974</v>
          </cell>
          <cell r="E627" t="str">
            <v>GZ G19 Vento C7 HMB 57 Men Blk</v>
          </cell>
          <cell r="F627">
            <v>1</v>
          </cell>
          <cell r="G627">
            <v>0</v>
          </cell>
          <cell r="I627" t="str">
            <v>IH073</v>
          </cell>
          <cell r="L627">
            <v>31.7</v>
          </cell>
          <cell r="M627">
            <v>0.61499999999999999</v>
          </cell>
          <cell r="N627" t="str">
            <v>5W</v>
          </cell>
          <cell r="P627" t="str">
            <v>PONGAZ</v>
          </cell>
          <cell r="Q627" t="str">
            <v>/  /</v>
          </cell>
        </row>
        <row r="628">
          <cell r="A628">
            <v>4041731</v>
          </cell>
          <cell r="B628">
            <v>43852</v>
          </cell>
          <cell r="C628" t="str">
            <v>PON</v>
          </cell>
          <cell r="D628">
            <v>633728527</v>
          </cell>
          <cell r="E628" t="str">
            <v>FC EBikeF19 P/Sqre 9.7 57L Blu</v>
          </cell>
          <cell r="F628">
            <v>1</v>
          </cell>
          <cell r="G628">
            <v>0</v>
          </cell>
          <cell r="I628" t="str">
            <v>IH074</v>
          </cell>
          <cell r="L628">
            <v>23.1</v>
          </cell>
          <cell r="M628">
            <v>0.58299999999999996</v>
          </cell>
          <cell r="N628" t="str">
            <v>5W</v>
          </cell>
          <cell r="P628" t="str">
            <v>PONFEB</v>
          </cell>
          <cell r="Q628" t="str">
            <v>/  /</v>
          </cell>
        </row>
        <row r="629">
          <cell r="A629">
            <v>4538404</v>
          </cell>
          <cell r="B629">
            <v>44160</v>
          </cell>
          <cell r="C629" t="str">
            <v>PON</v>
          </cell>
          <cell r="D629">
            <v>637518151</v>
          </cell>
          <cell r="E629" t="str">
            <v>F20 JAM2 6.7 NINE 42M BLUE BSH</v>
          </cell>
          <cell r="F629">
            <v>1</v>
          </cell>
          <cell r="G629">
            <v>0</v>
          </cell>
          <cell r="I629" t="str">
            <v>IH074</v>
          </cell>
          <cell r="L629">
            <v>32.6</v>
          </cell>
          <cell r="M629">
            <v>0.58099999999999996</v>
          </cell>
          <cell r="N629" t="str">
            <v>5W</v>
          </cell>
          <cell r="P629" t="str">
            <v>PONFCS</v>
          </cell>
          <cell r="Q629" t="str">
            <v>/  /</v>
          </cell>
        </row>
        <row r="630">
          <cell r="A630">
            <v>4634325</v>
          </cell>
          <cell r="B630">
            <v>44218</v>
          </cell>
          <cell r="C630" t="str">
            <v>PON</v>
          </cell>
          <cell r="D630">
            <v>637527067</v>
          </cell>
          <cell r="E630" t="str">
            <v>K21 Endv 1.B Move 500 M Grey</v>
          </cell>
          <cell r="F630">
            <v>1</v>
          </cell>
          <cell r="G630">
            <v>0</v>
          </cell>
          <cell r="I630" t="str">
            <v>IH074</v>
          </cell>
          <cell r="L630">
            <v>35</v>
          </cell>
          <cell r="M630">
            <v>0.57299999999999995</v>
          </cell>
          <cell r="N630" t="str">
            <v>5W</v>
          </cell>
          <cell r="P630" t="str">
            <v>PONFCS</v>
          </cell>
          <cell r="Q630" t="str">
            <v>/  /</v>
          </cell>
        </row>
        <row r="631">
          <cell r="A631">
            <v>4634326</v>
          </cell>
          <cell r="B631">
            <v>44218</v>
          </cell>
          <cell r="C631" t="str">
            <v>PON</v>
          </cell>
          <cell r="D631">
            <v>637527067</v>
          </cell>
          <cell r="E631" t="str">
            <v>K21 Endv 1.B Move 500 M Grey</v>
          </cell>
          <cell r="F631">
            <v>1</v>
          </cell>
          <cell r="G631">
            <v>0</v>
          </cell>
          <cell r="I631" t="str">
            <v>IH074</v>
          </cell>
          <cell r="L631">
            <v>35</v>
          </cell>
          <cell r="M631">
            <v>0.57299999999999995</v>
          </cell>
          <cell r="N631" t="str">
            <v>5W</v>
          </cell>
          <cell r="P631" t="str">
            <v>PONFCS</v>
          </cell>
          <cell r="Q631" t="str">
            <v>/  /</v>
          </cell>
        </row>
        <row r="632">
          <cell r="A632">
            <v>4458717</v>
          </cell>
          <cell r="B632">
            <v>44112</v>
          </cell>
          <cell r="C632" t="str">
            <v>PON</v>
          </cell>
          <cell r="D632">
            <v>637006013</v>
          </cell>
          <cell r="E632" t="str">
            <v>F21 IZ MAX DISC 9.8 54 M</v>
          </cell>
          <cell r="F632">
            <v>1</v>
          </cell>
          <cell r="G632">
            <v>0</v>
          </cell>
          <cell r="I632" t="str">
            <v>IH081</v>
          </cell>
          <cell r="L632">
            <v>13.2</v>
          </cell>
          <cell r="M632">
            <v>0.22800000000000001</v>
          </cell>
          <cell r="N632" t="str">
            <v>5W</v>
          </cell>
          <cell r="P632" t="str">
            <v>PONFCS</v>
          </cell>
          <cell r="Q632" t="str">
            <v>/  /</v>
          </cell>
        </row>
        <row r="633">
          <cell r="A633">
            <v>4458718</v>
          </cell>
          <cell r="B633">
            <v>44112</v>
          </cell>
          <cell r="C633" t="str">
            <v>PON</v>
          </cell>
          <cell r="D633">
            <v>637006013</v>
          </cell>
          <cell r="E633" t="str">
            <v>F21 IZ MAX DISC 9.8 54 M</v>
          </cell>
          <cell r="F633">
            <v>1</v>
          </cell>
          <cell r="G633">
            <v>0</v>
          </cell>
          <cell r="I633" t="str">
            <v>IH081</v>
          </cell>
          <cell r="L633">
            <v>13.2</v>
          </cell>
          <cell r="M633">
            <v>0.22800000000000001</v>
          </cell>
          <cell r="N633" t="str">
            <v>5W</v>
          </cell>
          <cell r="P633" t="str">
            <v>PONFCS</v>
          </cell>
          <cell r="Q633" t="str">
            <v>/  /</v>
          </cell>
        </row>
        <row r="634">
          <cell r="A634">
            <v>4458719</v>
          </cell>
          <cell r="B634">
            <v>44112</v>
          </cell>
          <cell r="C634" t="str">
            <v>PON</v>
          </cell>
          <cell r="D634">
            <v>637006013</v>
          </cell>
          <cell r="E634" t="str">
            <v>F21 IZ MAX DISC 9.8 54 M</v>
          </cell>
          <cell r="F634">
            <v>1</v>
          </cell>
          <cell r="G634">
            <v>0</v>
          </cell>
          <cell r="I634" t="str">
            <v>IH081</v>
          </cell>
          <cell r="L634">
            <v>13.2</v>
          </cell>
          <cell r="M634">
            <v>0.22800000000000001</v>
          </cell>
          <cell r="N634" t="str">
            <v>5W</v>
          </cell>
          <cell r="P634" t="str">
            <v>PONFCS</v>
          </cell>
          <cell r="Q634" t="str">
            <v>/  /</v>
          </cell>
        </row>
        <row r="635">
          <cell r="A635">
            <v>4458720</v>
          </cell>
          <cell r="B635">
            <v>44112</v>
          </cell>
          <cell r="C635" t="str">
            <v>PON</v>
          </cell>
          <cell r="D635">
            <v>637006013</v>
          </cell>
          <cell r="E635" t="str">
            <v>F21 IZ MAX DISC 9.8 54 M</v>
          </cell>
          <cell r="F635">
            <v>1</v>
          </cell>
          <cell r="G635">
            <v>0</v>
          </cell>
          <cell r="I635" t="str">
            <v>IH081</v>
          </cell>
          <cell r="L635">
            <v>13.2</v>
          </cell>
          <cell r="M635">
            <v>0.22800000000000001</v>
          </cell>
          <cell r="N635" t="str">
            <v>5W</v>
          </cell>
          <cell r="P635" t="str">
            <v>PONFCS</v>
          </cell>
          <cell r="Q635" t="str">
            <v>/  /</v>
          </cell>
        </row>
        <row r="636">
          <cell r="A636">
            <v>4458721</v>
          </cell>
          <cell r="B636">
            <v>44112</v>
          </cell>
          <cell r="C636" t="str">
            <v>PON</v>
          </cell>
          <cell r="D636">
            <v>637006013</v>
          </cell>
          <cell r="E636" t="str">
            <v>F21 IZ MAX DISC 9.8 54 M</v>
          </cell>
          <cell r="F636">
            <v>1</v>
          </cell>
          <cell r="G636">
            <v>0</v>
          </cell>
          <cell r="I636" t="str">
            <v>IH081</v>
          </cell>
          <cell r="L636">
            <v>13.2</v>
          </cell>
          <cell r="M636">
            <v>0.22800000000000001</v>
          </cell>
          <cell r="N636" t="str">
            <v>5W</v>
          </cell>
          <cell r="P636" t="str">
            <v>PONFCS</v>
          </cell>
          <cell r="Q636" t="str">
            <v>/  /</v>
          </cell>
        </row>
        <row r="637">
          <cell r="A637">
            <v>4458722</v>
          </cell>
          <cell r="B637">
            <v>44112</v>
          </cell>
          <cell r="C637" t="str">
            <v>PON</v>
          </cell>
          <cell r="D637">
            <v>637006013</v>
          </cell>
          <cell r="E637" t="str">
            <v>F21 IZ MAX DISC 9.8 54 M</v>
          </cell>
          <cell r="F637">
            <v>1</v>
          </cell>
          <cell r="G637">
            <v>0</v>
          </cell>
          <cell r="I637" t="str">
            <v>IH081</v>
          </cell>
          <cell r="L637">
            <v>13.2</v>
          </cell>
          <cell r="M637">
            <v>0.22800000000000001</v>
          </cell>
          <cell r="N637" t="str">
            <v>5W</v>
          </cell>
          <cell r="P637" t="str">
            <v>PONFCS</v>
          </cell>
          <cell r="Q637" t="str">
            <v>/  /</v>
          </cell>
        </row>
        <row r="638">
          <cell r="A638">
            <v>4634162</v>
          </cell>
          <cell r="B638">
            <v>44218</v>
          </cell>
          <cell r="C638" t="str">
            <v>PON</v>
          </cell>
          <cell r="D638">
            <v>637526051</v>
          </cell>
          <cell r="E638" t="str">
            <v>K21 ENDV 1.B MOVE 400 M 50</v>
          </cell>
          <cell r="F638">
            <v>1</v>
          </cell>
          <cell r="G638">
            <v>0</v>
          </cell>
          <cell r="I638" t="str">
            <v>IH083</v>
          </cell>
          <cell r="L638">
            <v>31.5</v>
          </cell>
          <cell r="M638">
            <v>0.57799999999999996</v>
          </cell>
          <cell r="N638" t="str">
            <v>5W</v>
          </cell>
          <cell r="P638" t="str">
            <v>PONFCS</v>
          </cell>
          <cell r="Q638" t="str">
            <v>/  /</v>
          </cell>
        </row>
        <row r="639">
          <cell r="A639">
            <v>4634163</v>
          </cell>
          <cell r="B639">
            <v>44218</v>
          </cell>
          <cell r="C639" t="str">
            <v>PON</v>
          </cell>
          <cell r="D639">
            <v>637526051</v>
          </cell>
          <cell r="E639" t="str">
            <v>K21 ENDV 1.B MOVE 400 M 50</v>
          </cell>
          <cell r="F639">
            <v>1</v>
          </cell>
          <cell r="G639">
            <v>0</v>
          </cell>
          <cell r="I639" t="str">
            <v>IH083</v>
          </cell>
          <cell r="L639">
            <v>31.5</v>
          </cell>
          <cell r="M639">
            <v>0.57799999999999996</v>
          </cell>
          <cell r="N639" t="str">
            <v>5W</v>
          </cell>
          <cell r="P639" t="str">
            <v>PONFCS</v>
          </cell>
          <cell r="Q639" t="str">
            <v>/  /</v>
          </cell>
        </row>
        <row r="640">
          <cell r="A640">
            <v>4634164</v>
          </cell>
          <cell r="B640">
            <v>44218</v>
          </cell>
          <cell r="C640" t="str">
            <v>PON</v>
          </cell>
          <cell r="D640">
            <v>637526051</v>
          </cell>
          <cell r="E640" t="str">
            <v>K21 ENDV 1.B MOVE 400 M 50</v>
          </cell>
          <cell r="F640">
            <v>1</v>
          </cell>
          <cell r="G640">
            <v>0</v>
          </cell>
          <cell r="I640" t="str">
            <v>IH083</v>
          </cell>
          <cell r="L640">
            <v>31.5</v>
          </cell>
          <cell r="M640">
            <v>0.57799999999999996</v>
          </cell>
          <cell r="N640" t="str">
            <v>5W</v>
          </cell>
          <cell r="P640" t="str">
            <v>PONFCS</v>
          </cell>
          <cell r="Q640" t="str">
            <v>/  /</v>
          </cell>
        </row>
        <row r="641">
          <cell r="A641">
            <v>4634165</v>
          </cell>
          <cell r="B641">
            <v>44218</v>
          </cell>
          <cell r="C641" t="str">
            <v>PON</v>
          </cell>
          <cell r="D641">
            <v>637526051</v>
          </cell>
          <cell r="E641" t="str">
            <v>K21 ENDV 1.B MOVE 400 M 50</v>
          </cell>
          <cell r="F641">
            <v>1</v>
          </cell>
          <cell r="G641">
            <v>0</v>
          </cell>
          <cell r="I641" t="str">
            <v>IH083</v>
          </cell>
          <cell r="L641">
            <v>31.5</v>
          </cell>
          <cell r="M641">
            <v>0.57799999999999996</v>
          </cell>
          <cell r="N641" t="str">
            <v>5W</v>
          </cell>
          <cell r="P641" t="str">
            <v>PONFCS</v>
          </cell>
          <cell r="Q641" t="str">
            <v>/  /</v>
          </cell>
        </row>
        <row r="642">
          <cell r="A642">
            <v>4634308</v>
          </cell>
          <cell r="B642">
            <v>44218</v>
          </cell>
          <cell r="C642" t="str">
            <v>PON</v>
          </cell>
          <cell r="D642">
            <v>637527052</v>
          </cell>
          <cell r="E642" t="str">
            <v>K21 Endv 1.B Move 500 L DI</v>
          </cell>
          <cell r="F642">
            <v>1</v>
          </cell>
          <cell r="G642">
            <v>0</v>
          </cell>
          <cell r="I642" t="str">
            <v>IH083</v>
          </cell>
          <cell r="L642">
            <v>32</v>
          </cell>
          <cell r="M642">
            <v>0.57299999999999995</v>
          </cell>
          <cell r="N642" t="str">
            <v>5W</v>
          </cell>
          <cell r="P642" t="str">
            <v>PONFCS</v>
          </cell>
          <cell r="Q642" t="str">
            <v>/  /</v>
          </cell>
        </row>
        <row r="643">
          <cell r="A643">
            <v>4634305</v>
          </cell>
          <cell r="B643">
            <v>44218</v>
          </cell>
          <cell r="C643" t="str">
            <v>PON</v>
          </cell>
          <cell r="D643">
            <v>637527052</v>
          </cell>
          <cell r="E643" t="str">
            <v>K21 Endv 1.B Move 500 L DI</v>
          </cell>
          <cell r="F643">
            <v>1</v>
          </cell>
          <cell r="G643">
            <v>0</v>
          </cell>
          <cell r="I643" t="str">
            <v>IH084</v>
          </cell>
          <cell r="L643">
            <v>32</v>
          </cell>
          <cell r="M643">
            <v>0.57299999999999995</v>
          </cell>
          <cell r="N643" t="str">
            <v>5W</v>
          </cell>
          <cell r="P643" t="str">
            <v>PONFCS</v>
          </cell>
          <cell r="Q643" t="str">
            <v>/  /</v>
          </cell>
        </row>
        <row r="644">
          <cell r="A644">
            <v>4634306</v>
          </cell>
          <cell r="B644">
            <v>44218</v>
          </cell>
          <cell r="C644" t="str">
            <v>PON</v>
          </cell>
          <cell r="D644">
            <v>637527052</v>
          </cell>
          <cell r="E644" t="str">
            <v>K21 Endv 1.B Move 500 L DI</v>
          </cell>
          <cell r="F644">
            <v>1</v>
          </cell>
          <cell r="G644">
            <v>0</v>
          </cell>
          <cell r="I644" t="str">
            <v>IH084</v>
          </cell>
          <cell r="L644">
            <v>32</v>
          </cell>
          <cell r="M644">
            <v>0.57299999999999995</v>
          </cell>
          <cell r="N644" t="str">
            <v>5W</v>
          </cell>
          <cell r="P644" t="str">
            <v>PONFCS</v>
          </cell>
          <cell r="Q644" t="str">
            <v>/  /</v>
          </cell>
        </row>
        <row r="645">
          <cell r="A645">
            <v>4634307</v>
          </cell>
          <cell r="B645">
            <v>44218</v>
          </cell>
          <cell r="C645" t="str">
            <v>PON</v>
          </cell>
          <cell r="D645">
            <v>637527052</v>
          </cell>
          <cell r="E645" t="str">
            <v>K21 Endv 1.B Move 500 L DI</v>
          </cell>
          <cell r="F645">
            <v>1</v>
          </cell>
          <cell r="G645">
            <v>0</v>
          </cell>
          <cell r="I645" t="str">
            <v>IH084</v>
          </cell>
          <cell r="L645">
            <v>32</v>
          </cell>
          <cell r="M645">
            <v>0.57299999999999995</v>
          </cell>
          <cell r="N645" t="str">
            <v>5W</v>
          </cell>
          <cell r="P645" t="str">
            <v>PONFCS</v>
          </cell>
          <cell r="Q645" t="str">
            <v>/  /</v>
          </cell>
        </row>
        <row r="646">
          <cell r="A646">
            <v>4587072</v>
          </cell>
          <cell r="B646">
            <v>44181</v>
          </cell>
          <cell r="C646" t="str">
            <v>PON</v>
          </cell>
          <cell r="D646">
            <v>641528405</v>
          </cell>
          <cell r="E646" t="str">
            <v>K21 Image 5.B Excite Wa S43</v>
          </cell>
          <cell r="F646">
            <v>1</v>
          </cell>
          <cell r="G646">
            <v>0</v>
          </cell>
          <cell r="I646" t="str">
            <v>IH084</v>
          </cell>
          <cell r="L646">
            <v>37</v>
          </cell>
          <cell r="M646">
            <v>0.57299999999999995</v>
          </cell>
          <cell r="N646" t="str">
            <v>5W</v>
          </cell>
          <cell r="P646" t="str">
            <v>PONFCS</v>
          </cell>
          <cell r="Q646" t="str">
            <v>/  /</v>
          </cell>
        </row>
        <row r="647">
          <cell r="A647">
            <v>4257078</v>
          </cell>
          <cell r="B647">
            <v>43992</v>
          </cell>
          <cell r="C647" t="str">
            <v>PON</v>
          </cell>
          <cell r="D647">
            <v>637078098</v>
          </cell>
          <cell r="E647" t="str">
            <v>C20 PSer DscUltegra WhLGry48</v>
          </cell>
          <cell r="F647">
            <v>1</v>
          </cell>
          <cell r="G647">
            <v>0</v>
          </cell>
          <cell r="I647" t="str">
            <v>IH091</v>
          </cell>
          <cell r="L647">
            <v>15.1</v>
          </cell>
          <cell r="M647">
            <v>0.23300000000000001</v>
          </cell>
          <cell r="N647" t="str">
            <v>5W</v>
          </cell>
          <cell r="P647" t="str">
            <v>PONCVL</v>
          </cell>
          <cell r="Q647" t="str">
            <v>/  /</v>
          </cell>
        </row>
        <row r="648">
          <cell r="A648">
            <v>4458925</v>
          </cell>
          <cell r="B648">
            <v>44112</v>
          </cell>
          <cell r="C648" t="str">
            <v>PON</v>
          </cell>
          <cell r="D648">
            <v>641006003</v>
          </cell>
          <cell r="E648" t="str">
            <v>F21 IZ MAX DISC 9.9 54 M L/GRY</v>
          </cell>
          <cell r="F648">
            <v>1</v>
          </cell>
          <cell r="G648">
            <v>0</v>
          </cell>
          <cell r="I648" t="str">
            <v>IH091</v>
          </cell>
          <cell r="L648">
            <v>13.1</v>
          </cell>
          <cell r="M648">
            <v>0.23499999999999999</v>
          </cell>
          <cell r="N648" t="str">
            <v>5W</v>
          </cell>
          <cell r="P648" t="str">
            <v>PONFCS</v>
          </cell>
          <cell r="Q648" t="str">
            <v>/  /</v>
          </cell>
        </row>
        <row r="649">
          <cell r="A649">
            <v>4458926</v>
          </cell>
          <cell r="B649">
            <v>44112</v>
          </cell>
          <cell r="C649" t="str">
            <v>PON</v>
          </cell>
          <cell r="D649">
            <v>641006003</v>
          </cell>
          <cell r="E649" t="str">
            <v>F21 IZ MAX DISC 9.9 54 M L/GRY</v>
          </cell>
          <cell r="F649">
            <v>1</v>
          </cell>
          <cell r="G649">
            <v>0</v>
          </cell>
          <cell r="I649" t="str">
            <v>IH091</v>
          </cell>
          <cell r="L649">
            <v>13.1</v>
          </cell>
          <cell r="M649">
            <v>0.23499999999999999</v>
          </cell>
          <cell r="N649" t="str">
            <v>5W</v>
          </cell>
          <cell r="P649" t="str">
            <v>PONFCS</v>
          </cell>
          <cell r="Q649" t="str">
            <v>/  /</v>
          </cell>
        </row>
        <row r="650">
          <cell r="A650">
            <v>4458927</v>
          </cell>
          <cell r="B650">
            <v>44112</v>
          </cell>
          <cell r="C650" t="str">
            <v>PON</v>
          </cell>
          <cell r="D650">
            <v>641006003</v>
          </cell>
          <cell r="E650" t="str">
            <v>F21 IZ MAX DISC 9.9 54 M L/GRY</v>
          </cell>
          <cell r="F650">
            <v>1</v>
          </cell>
          <cell r="G650">
            <v>0</v>
          </cell>
          <cell r="I650" t="str">
            <v>IH091</v>
          </cell>
          <cell r="L650">
            <v>13.1</v>
          </cell>
          <cell r="M650">
            <v>0.23499999999999999</v>
          </cell>
          <cell r="N650" t="str">
            <v>5W</v>
          </cell>
          <cell r="P650" t="str">
            <v>PONFCS</v>
          </cell>
          <cell r="Q650" t="str">
            <v>/  /</v>
          </cell>
        </row>
        <row r="651">
          <cell r="A651">
            <v>4614351</v>
          </cell>
          <cell r="B651">
            <v>44203</v>
          </cell>
          <cell r="C651" t="str">
            <v>PON</v>
          </cell>
          <cell r="D651">
            <v>641078334</v>
          </cell>
          <cell r="E651" t="str">
            <v>C21 R5 Dsc F/E/A Grn/Gld/Wht58</v>
          </cell>
          <cell r="F651">
            <v>1</v>
          </cell>
          <cell r="G651">
            <v>0</v>
          </cell>
          <cell r="I651" t="str">
            <v>IH091</v>
          </cell>
          <cell r="L651">
            <v>13.4</v>
          </cell>
          <cell r="M651">
            <v>0.26300000000000001</v>
          </cell>
          <cell r="N651" t="str">
            <v>5W</v>
          </cell>
          <cell r="P651" t="str">
            <v>PONCVL</v>
          </cell>
          <cell r="Q651" t="str">
            <v>/  /</v>
          </cell>
        </row>
        <row r="652">
          <cell r="A652">
            <v>4459088</v>
          </cell>
          <cell r="B652">
            <v>44112</v>
          </cell>
          <cell r="C652" t="str">
            <v>PON</v>
          </cell>
          <cell r="D652">
            <v>641080012</v>
          </cell>
          <cell r="E652" t="str">
            <v>F21 IZ MAX DISC F/S 52S L/G</v>
          </cell>
          <cell r="F652">
            <v>1</v>
          </cell>
          <cell r="G652">
            <v>0</v>
          </cell>
          <cell r="I652" t="str">
            <v>IH092</v>
          </cell>
          <cell r="L652">
            <v>5.8</v>
          </cell>
          <cell r="M652">
            <v>0.14599999999999999</v>
          </cell>
          <cell r="N652" t="str">
            <v>5W</v>
          </cell>
          <cell r="P652" t="str">
            <v>PONFCS</v>
          </cell>
          <cell r="Q652" t="str">
            <v>/  /</v>
          </cell>
        </row>
        <row r="653">
          <cell r="A653">
            <v>4459089</v>
          </cell>
          <cell r="B653">
            <v>44112</v>
          </cell>
          <cell r="C653" t="str">
            <v>PON</v>
          </cell>
          <cell r="D653">
            <v>641080012</v>
          </cell>
          <cell r="E653" t="str">
            <v>F21 IZ MAX DISC F/S 52S L/G</v>
          </cell>
          <cell r="F653">
            <v>1</v>
          </cell>
          <cell r="G653">
            <v>0</v>
          </cell>
          <cell r="I653" t="str">
            <v>IH092</v>
          </cell>
          <cell r="L653">
            <v>5.8</v>
          </cell>
          <cell r="M653">
            <v>0.14599999999999999</v>
          </cell>
          <cell r="N653" t="str">
            <v>5W</v>
          </cell>
          <cell r="P653" t="str">
            <v>PONFCS</v>
          </cell>
          <cell r="Q653" t="str">
            <v>/  /</v>
          </cell>
        </row>
        <row r="654">
          <cell r="A654">
            <v>4459090</v>
          </cell>
          <cell r="B654">
            <v>44112</v>
          </cell>
          <cell r="C654" t="str">
            <v>PON</v>
          </cell>
          <cell r="D654">
            <v>641080012</v>
          </cell>
          <cell r="E654" t="str">
            <v>F21 IZ MAX DISC F/S 52S L/G</v>
          </cell>
          <cell r="F654">
            <v>1</v>
          </cell>
          <cell r="G654">
            <v>0</v>
          </cell>
          <cell r="I654" t="str">
            <v>IH092</v>
          </cell>
          <cell r="L654">
            <v>5.8</v>
          </cell>
          <cell r="M654">
            <v>0.14599999999999999</v>
          </cell>
          <cell r="N654" t="str">
            <v>5W</v>
          </cell>
          <cell r="P654" t="str">
            <v>PONFCS</v>
          </cell>
          <cell r="Q654" t="str">
            <v>/  /</v>
          </cell>
        </row>
        <row r="655">
          <cell r="A655">
            <v>4459091</v>
          </cell>
          <cell r="B655">
            <v>44112</v>
          </cell>
          <cell r="C655" t="str">
            <v>PON</v>
          </cell>
          <cell r="D655">
            <v>641080012</v>
          </cell>
          <cell r="E655" t="str">
            <v>F21 IZ MAX DISC F/S 52S L/G</v>
          </cell>
          <cell r="F655">
            <v>1</v>
          </cell>
          <cell r="G655">
            <v>0</v>
          </cell>
          <cell r="I655" t="str">
            <v>IH092</v>
          </cell>
          <cell r="L655">
            <v>5.8</v>
          </cell>
          <cell r="M655">
            <v>0.14599999999999999</v>
          </cell>
          <cell r="N655" t="str">
            <v>5W</v>
          </cell>
          <cell r="P655" t="str">
            <v>PONFCS</v>
          </cell>
          <cell r="Q655" t="str">
            <v>/  /</v>
          </cell>
        </row>
        <row r="656">
          <cell r="A656">
            <v>4459092</v>
          </cell>
          <cell r="B656">
            <v>44112</v>
          </cell>
          <cell r="C656" t="str">
            <v>PON</v>
          </cell>
          <cell r="D656">
            <v>641080012</v>
          </cell>
          <cell r="E656" t="str">
            <v>F21 IZ MAX DISC F/S 52S L/G</v>
          </cell>
          <cell r="F656">
            <v>1</v>
          </cell>
          <cell r="G656">
            <v>0</v>
          </cell>
          <cell r="I656" t="str">
            <v>IH092</v>
          </cell>
          <cell r="L656">
            <v>5.8</v>
          </cell>
          <cell r="M656">
            <v>0.14599999999999999</v>
          </cell>
          <cell r="N656" t="str">
            <v>5W</v>
          </cell>
          <cell r="P656" t="str">
            <v>PONFCS</v>
          </cell>
          <cell r="Q656" t="str">
            <v>/  /</v>
          </cell>
        </row>
        <row r="657">
          <cell r="A657">
            <v>4002053</v>
          </cell>
          <cell r="B657">
            <v>43816</v>
          </cell>
          <cell r="C657" t="str">
            <v>PON</v>
          </cell>
          <cell r="D657" t="str">
            <v>A5802</v>
          </cell>
          <cell r="E657" t="str">
            <v>GZ G19 Chamonix T10 HMB 61 Men</v>
          </cell>
          <cell r="F657">
            <v>1</v>
          </cell>
          <cell r="G657">
            <v>0</v>
          </cell>
          <cell r="I657" t="str">
            <v>IH093</v>
          </cell>
          <cell r="L657">
            <v>29</v>
          </cell>
          <cell r="M657">
            <v>0.622</v>
          </cell>
          <cell r="N657" t="str">
            <v>5W</v>
          </cell>
          <cell r="P657" t="str">
            <v>PONGAZ</v>
          </cell>
          <cell r="Q657" t="str">
            <v>/  /</v>
          </cell>
        </row>
        <row r="658">
          <cell r="A658">
            <v>4088486</v>
          </cell>
          <cell r="B658">
            <v>43816</v>
          </cell>
          <cell r="C658" t="str">
            <v>PON</v>
          </cell>
          <cell r="D658" t="str">
            <v>A5802</v>
          </cell>
          <cell r="E658" t="str">
            <v>GZ G19 Chamonix T10 HMB 61 Men</v>
          </cell>
          <cell r="F658">
            <v>1</v>
          </cell>
          <cell r="G658">
            <v>0</v>
          </cell>
          <cell r="I658" t="str">
            <v>IH093</v>
          </cell>
          <cell r="L658">
            <v>29</v>
          </cell>
          <cell r="M658">
            <v>0.622</v>
          </cell>
          <cell r="N658" t="str">
            <v>5W</v>
          </cell>
          <cell r="P658" t="str">
            <v>PONGAZ</v>
          </cell>
          <cell r="Q658" t="str">
            <v>/  /</v>
          </cell>
        </row>
        <row r="659">
          <cell r="A659">
            <v>4088078</v>
          </cell>
          <cell r="B659">
            <v>43795</v>
          </cell>
          <cell r="C659" t="str">
            <v>PON</v>
          </cell>
          <cell r="D659">
            <v>633618541</v>
          </cell>
          <cell r="E659" t="str">
            <v>FC EBikeF19 P/Sqre 6.9 54M Slv</v>
          </cell>
          <cell r="F659">
            <v>1</v>
          </cell>
          <cell r="G659">
            <v>0</v>
          </cell>
          <cell r="I659" t="str">
            <v>IH094</v>
          </cell>
          <cell r="L659">
            <v>25.4</v>
          </cell>
          <cell r="M659">
            <v>0.58099999999999996</v>
          </cell>
          <cell r="N659" t="str">
            <v>5W</v>
          </cell>
          <cell r="P659" t="str">
            <v>PONFEB</v>
          </cell>
          <cell r="Q659" t="str">
            <v>/  /</v>
          </cell>
        </row>
        <row r="660">
          <cell r="A660">
            <v>4634320</v>
          </cell>
          <cell r="B660">
            <v>44218</v>
          </cell>
          <cell r="C660" t="str">
            <v>PON</v>
          </cell>
          <cell r="D660">
            <v>637527067</v>
          </cell>
          <cell r="E660" t="str">
            <v>K21 Endv 1.B Move 500 M Grey</v>
          </cell>
          <cell r="F660">
            <v>1</v>
          </cell>
          <cell r="G660">
            <v>0</v>
          </cell>
          <cell r="I660" t="str">
            <v>IH094</v>
          </cell>
          <cell r="L660">
            <v>35</v>
          </cell>
          <cell r="M660">
            <v>0.57299999999999995</v>
          </cell>
          <cell r="N660" t="str">
            <v>5W</v>
          </cell>
          <cell r="P660" t="str">
            <v>PONFCS</v>
          </cell>
          <cell r="Q660" t="str">
            <v>/  /</v>
          </cell>
        </row>
        <row r="661">
          <cell r="A661">
            <v>4614319</v>
          </cell>
          <cell r="B661">
            <v>44203</v>
          </cell>
          <cell r="C661" t="str">
            <v>PON</v>
          </cell>
          <cell r="D661">
            <v>641078317</v>
          </cell>
          <cell r="E661" t="str">
            <v>C21 ULT DI2 Grey/Carbon 54</v>
          </cell>
          <cell r="F661">
            <v>1</v>
          </cell>
          <cell r="G661">
            <v>0</v>
          </cell>
          <cell r="I661" t="str">
            <v>IH101</v>
          </cell>
          <cell r="L661">
            <v>14</v>
          </cell>
          <cell r="M661">
            <v>0.23300000000000001</v>
          </cell>
          <cell r="N661" t="str">
            <v>5W</v>
          </cell>
          <cell r="P661" t="str">
            <v>PONCVL</v>
          </cell>
          <cell r="Q661" t="str">
            <v>/  /</v>
          </cell>
        </row>
        <row r="662">
          <cell r="A662">
            <v>4614349</v>
          </cell>
          <cell r="B662">
            <v>44203</v>
          </cell>
          <cell r="C662" t="str">
            <v>PON</v>
          </cell>
          <cell r="D662">
            <v>641078334</v>
          </cell>
          <cell r="E662" t="str">
            <v>C21 R5 Dsc F/E/A Grn/Gld/Wht58</v>
          </cell>
          <cell r="F662">
            <v>1</v>
          </cell>
          <cell r="G662">
            <v>0</v>
          </cell>
          <cell r="I662" t="str">
            <v>IH101</v>
          </cell>
          <cell r="L662">
            <v>13.4</v>
          </cell>
          <cell r="M662">
            <v>0.26300000000000001</v>
          </cell>
          <cell r="N662" t="str">
            <v>5W</v>
          </cell>
          <cell r="P662" t="str">
            <v>PONCVL</v>
          </cell>
          <cell r="Q662" t="str">
            <v>/  /</v>
          </cell>
        </row>
        <row r="663">
          <cell r="A663">
            <v>4614350</v>
          </cell>
          <cell r="B663">
            <v>44203</v>
          </cell>
          <cell r="C663" t="str">
            <v>PON</v>
          </cell>
          <cell r="D663">
            <v>641078334</v>
          </cell>
          <cell r="E663" t="str">
            <v>C21 R5 Dsc F/E/A Grn/Gld/Wht58</v>
          </cell>
          <cell r="F663">
            <v>1</v>
          </cell>
          <cell r="G663">
            <v>0</v>
          </cell>
          <cell r="I663" t="str">
            <v>IH101</v>
          </cell>
          <cell r="L663">
            <v>13.4</v>
          </cell>
          <cell r="M663">
            <v>0.26300000000000001</v>
          </cell>
          <cell r="N663" t="str">
            <v>5W</v>
          </cell>
          <cell r="P663" t="str">
            <v>PONCVL</v>
          </cell>
          <cell r="Q663" t="str">
            <v>/  /</v>
          </cell>
        </row>
        <row r="664">
          <cell r="A664">
            <v>3896477</v>
          </cell>
          <cell r="B664">
            <v>43755</v>
          </cell>
          <cell r="C664" t="str">
            <v>PON</v>
          </cell>
          <cell r="D664">
            <v>637078093</v>
          </cell>
          <cell r="E664" t="str">
            <v>C20 P SDFEtap AXS Oge Coral 51</v>
          </cell>
          <cell r="F664">
            <v>1</v>
          </cell>
          <cell r="G664">
            <v>0</v>
          </cell>
          <cell r="I664" t="str">
            <v>IH102</v>
          </cell>
          <cell r="L664">
            <v>15.8</v>
          </cell>
          <cell r="M664">
            <v>0.23300000000000001</v>
          </cell>
          <cell r="N664" t="str">
            <v>5W</v>
          </cell>
          <cell r="P664" t="str">
            <v>PONCVL</v>
          </cell>
          <cell r="Q664" t="str">
            <v>/  /</v>
          </cell>
        </row>
        <row r="665">
          <cell r="A665">
            <v>3998290</v>
          </cell>
          <cell r="B665">
            <v>43815</v>
          </cell>
          <cell r="C665" t="str">
            <v>PON</v>
          </cell>
          <cell r="D665">
            <v>637078093</v>
          </cell>
          <cell r="E665" t="str">
            <v>C20 P SDFEtap AXS Oge Coral 51</v>
          </cell>
          <cell r="F665">
            <v>1</v>
          </cell>
          <cell r="G665">
            <v>0</v>
          </cell>
          <cell r="I665" t="str">
            <v>IH102</v>
          </cell>
          <cell r="L665">
            <v>15.8</v>
          </cell>
          <cell r="M665">
            <v>0.23300000000000001</v>
          </cell>
          <cell r="N665" t="str">
            <v>5W</v>
          </cell>
          <cell r="P665" t="str">
            <v>PONCVL</v>
          </cell>
          <cell r="Q665" t="str">
            <v>/  /</v>
          </cell>
        </row>
        <row r="666">
          <cell r="A666">
            <v>4614225</v>
          </cell>
          <cell r="B666">
            <v>44203</v>
          </cell>
          <cell r="C666" t="str">
            <v>PON</v>
          </cell>
          <cell r="D666">
            <v>641078291</v>
          </cell>
          <cell r="E666" t="str">
            <v>C21 S/Srs D/Ult Puprle Chmln54</v>
          </cell>
          <cell r="F666">
            <v>1</v>
          </cell>
          <cell r="G666">
            <v>0</v>
          </cell>
          <cell r="I666" t="str">
            <v>IH102</v>
          </cell>
          <cell r="L666">
            <v>14</v>
          </cell>
          <cell r="M666">
            <v>0.24399999999999999</v>
          </cell>
          <cell r="N666" t="str">
            <v>5W</v>
          </cell>
          <cell r="P666" t="str">
            <v>PONCVL</v>
          </cell>
          <cell r="Q666" t="str">
            <v>/  /</v>
          </cell>
        </row>
        <row r="667">
          <cell r="A667">
            <v>4002037</v>
          </cell>
          <cell r="B667">
            <v>43816</v>
          </cell>
          <cell r="C667" t="str">
            <v>PON</v>
          </cell>
          <cell r="D667">
            <v>633728523</v>
          </cell>
          <cell r="E667" t="str">
            <v>FC EBF19 P/Sqre9.7 60XLB/Anthr</v>
          </cell>
          <cell r="F667">
            <v>1</v>
          </cell>
          <cell r="G667">
            <v>0</v>
          </cell>
          <cell r="I667" t="str">
            <v>IH103</v>
          </cell>
          <cell r="L667">
            <v>23.5</v>
          </cell>
          <cell r="M667">
            <v>0.58099999999999996</v>
          </cell>
          <cell r="N667" t="str">
            <v>5W</v>
          </cell>
          <cell r="P667" t="str">
            <v>PONFEB</v>
          </cell>
          <cell r="Q667" t="str">
            <v>/  /</v>
          </cell>
        </row>
        <row r="668">
          <cell r="A668">
            <v>3974906</v>
          </cell>
          <cell r="B668">
            <v>43803</v>
          </cell>
          <cell r="C668" t="str">
            <v>PON</v>
          </cell>
          <cell r="D668">
            <v>633728532</v>
          </cell>
          <cell r="E668" t="str">
            <v>FC EBikeF19 P/Sqre 9.6 57L Red</v>
          </cell>
          <cell r="F668">
            <v>1</v>
          </cell>
          <cell r="G668">
            <v>0</v>
          </cell>
          <cell r="I668" t="str">
            <v>IH104</v>
          </cell>
          <cell r="L668">
            <v>23.6</v>
          </cell>
          <cell r="M668">
            <v>0.58099999999999996</v>
          </cell>
          <cell r="N668" t="str">
            <v>5W</v>
          </cell>
          <cell r="P668" t="str">
            <v>PONFEB</v>
          </cell>
          <cell r="Q668" t="str">
            <v>/  /</v>
          </cell>
        </row>
        <row r="669">
          <cell r="A669">
            <v>4088118</v>
          </cell>
          <cell r="B669">
            <v>43803</v>
          </cell>
          <cell r="C669" t="str">
            <v>PON</v>
          </cell>
          <cell r="D669">
            <v>633728532</v>
          </cell>
          <cell r="E669" t="str">
            <v>FC EBikeF19 P/Sqre 9.6 57L Red</v>
          </cell>
          <cell r="F669">
            <v>1</v>
          </cell>
          <cell r="G669">
            <v>0</v>
          </cell>
          <cell r="I669" t="str">
            <v>IH104</v>
          </cell>
          <cell r="L669">
            <v>23.6</v>
          </cell>
          <cell r="M669">
            <v>0.58099999999999996</v>
          </cell>
          <cell r="N669" t="str">
            <v>5W</v>
          </cell>
          <cell r="P669" t="str">
            <v>PONFEB</v>
          </cell>
          <cell r="Q669" t="str">
            <v>/  /</v>
          </cell>
        </row>
        <row r="670">
          <cell r="A670">
            <v>4634321</v>
          </cell>
          <cell r="B670">
            <v>44218</v>
          </cell>
          <cell r="C670" t="str">
            <v>PON</v>
          </cell>
          <cell r="D670">
            <v>637527067</v>
          </cell>
          <cell r="E670" t="str">
            <v>K21 Endv 1.B Move 500 M Grey</v>
          </cell>
          <cell r="F670">
            <v>1</v>
          </cell>
          <cell r="G670">
            <v>0</v>
          </cell>
          <cell r="I670" t="str">
            <v>IH104</v>
          </cell>
          <cell r="L670">
            <v>35</v>
          </cell>
          <cell r="M670">
            <v>0.57299999999999995</v>
          </cell>
          <cell r="N670" t="str">
            <v>5W</v>
          </cell>
          <cell r="P670" t="str">
            <v>PONFCS</v>
          </cell>
          <cell r="Q670" t="str">
            <v>/  /</v>
          </cell>
        </row>
        <row r="671">
          <cell r="A671">
            <v>4634322</v>
          </cell>
          <cell r="B671">
            <v>44218</v>
          </cell>
          <cell r="C671" t="str">
            <v>PON</v>
          </cell>
          <cell r="D671">
            <v>637527067</v>
          </cell>
          <cell r="E671" t="str">
            <v>K21 Endv 1.B Move 500 M Grey</v>
          </cell>
          <cell r="F671">
            <v>1</v>
          </cell>
          <cell r="G671">
            <v>0</v>
          </cell>
          <cell r="I671" t="str">
            <v>IH104</v>
          </cell>
          <cell r="L671">
            <v>35</v>
          </cell>
          <cell r="M671">
            <v>0.57299999999999995</v>
          </cell>
          <cell r="N671" t="str">
            <v>5W</v>
          </cell>
          <cell r="P671" t="str">
            <v>PONFCS</v>
          </cell>
          <cell r="Q671" t="str">
            <v>/  /</v>
          </cell>
        </row>
        <row r="672">
          <cell r="A672">
            <v>4634323</v>
          </cell>
          <cell r="B672">
            <v>44218</v>
          </cell>
          <cell r="C672" t="str">
            <v>PON</v>
          </cell>
          <cell r="D672">
            <v>637527067</v>
          </cell>
          <cell r="E672" t="str">
            <v>K21 Endv 1.B Move 500 M Grey</v>
          </cell>
          <cell r="F672">
            <v>1</v>
          </cell>
          <cell r="G672">
            <v>0</v>
          </cell>
          <cell r="I672" t="str">
            <v>IH104</v>
          </cell>
          <cell r="L672">
            <v>35</v>
          </cell>
          <cell r="M672">
            <v>0.57299999999999995</v>
          </cell>
          <cell r="N672" t="str">
            <v>5W</v>
          </cell>
          <cell r="P672" t="str">
            <v>PONFCS</v>
          </cell>
          <cell r="Q672" t="str">
            <v>/  /</v>
          </cell>
        </row>
        <row r="673">
          <cell r="A673">
            <v>4634324</v>
          </cell>
          <cell r="B673">
            <v>44218</v>
          </cell>
          <cell r="C673" t="str">
            <v>PON</v>
          </cell>
          <cell r="D673">
            <v>637527067</v>
          </cell>
          <cell r="E673" t="str">
            <v>K21 Endv 1.B Move 500 M Grey</v>
          </cell>
          <cell r="F673">
            <v>1</v>
          </cell>
          <cell r="G673">
            <v>0</v>
          </cell>
          <cell r="I673" t="str">
            <v>IH104</v>
          </cell>
          <cell r="L673">
            <v>35</v>
          </cell>
          <cell r="M673">
            <v>0.57299999999999995</v>
          </cell>
          <cell r="N673" t="str">
            <v>5W</v>
          </cell>
          <cell r="P673" t="str">
            <v>PONFCS</v>
          </cell>
          <cell r="Q673" t="str">
            <v>/  /</v>
          </cell>
        </row>
        <row r="674">
          <cell r="A674">
            <v>4614254</v>
          </cell>
          <cell r="B674">
            <v>44203</v>
          </cell>
          <cell r="C674" t="str">
            <v>PON</v>
          </cell>
          <cell r="D674">
            <v>641078305</v>
          </cell>
          <cell r="E674" t="str">
            <v>C21 ETAP Carbon/Holographic 48</v>
          </cell>
          <cell r="F674">
            <v>1</v>
          </cell>
          <cell r="G674">
            <v>0</v>
          </cell>
          <cell r="I674" t="str">
            <v>IH111</v>
          </cell>
          <cell r="L674">
            <v>15.9</v>
          </cell>
          <cell r="M674">
            <v>0.23300000000000001</v>
          </cell>
          <cell r="N674" t="str">
            <v>5W</v>
          </cell>
          <cell r="P674" t="str">
            <v>PONCVL</v>
          </cell>
          <cell r="Q674" t="str">
            <v>/  /</v>
          </cell>
        </row>
        <row r="675">
          <cell r="A675">
            <v>4614626</v>
          </cell>
          <cell r="B675">
            <v>44203</v>
          </cell>
          <cell r="C675" t="str">
            <v>PON</v>
          </cell>
          <cell r="D675">
            <v>641078306</v>
          </cell>
          <cell r="E675" t="str">
            <v>C21 ETAP Carbon/Holographic 51</v>
          </cell>
          <cell r="F675">
            <v>1</v>
          </cell>
          <cell r="G675">
            <v>0</v>
          </cell>
          <cell r="I675" t="str">
            <v>IH111</v>
          </cell>
          <cell r="L675">
            <v>13.5</v>
          </cell>
          <cell r="M675">
            <v>0.23300000000000001</v>
          </cell>
          <cell r="N675" t="str">
            <v>5W</v>
          </cell>
          <cell r="P675" t="str">
            <v>PONCVL</v>
          </cell>
          <cell r="Q675" t="str">
            <v>/  /</v>
          </cell>
        </row>
        <row r="676">
          <cell r="A676">
            <v>4614627</v>
          </cell>
          <cell r="B676">
            <v>44203</v>
          </cell>
          <cell r="C676" t="str">
            <v>PON</v>
          </cell>
          <cell r="D676">
            <v>641078306</v>
          </cell>
          <cell r="E676" t="str">
            <v>C21 ETAP Carbon/Holographic 51</v>
          </cell>
          <cell r="F676">
            <v>1</v>
          </cell>
          <cell r="G676">
            <v>0</v>
          </cell>
          <cell r="I676" t="str">
            <v>IH111</v>
          </cell>
          <cell r="L676">
            <v>13.5</v>
          </cell>
          <cell r="M676">
            <v>0.23300000000000001</v>
          </cell>
          <cell r="N676" t="str">
            <v>5W</v>
          </cell>
          <cell r="P676" t="str">
            <v>PONCVL</v>
          </cell>
          <cell r="Q676" t="str">
            <v>/  /</v>
          </cell>
        </row>
        <row r="677">
          <cell r="A677">
            <v>4458712</v>
          </cell>
          <cell r="B677">
            <v>44112</v>
          </cell>
          <cell r="C677" t="str">
            <v>PON</v>
          </cell>
          <cell r="D677">
            <v>637006012</v>
          </cell>
          <cell r="E677" t="str">
            <v>F21 IZ MAX DISC 9.8 52 S</v>
          </cell>
          <cell r="F677">
            <v>1</v>
          </cell>
          <cell r="G677">
            <v>0</v>
          </cell>
          <cell r="I677" t="str">
            <v>IH112</v>
          </cell>
          <cell r="L677">
            <v>13.2</v>
          </cell>
          <cell r="M677">
            <v>0.22700000000000001</v>
          </cell>
          <cell r="N677" t="str">
            <v>5W</v>
          </cell>
          <cell r="P677" t="str">
            <v>PONFCS</v>
          </cell>
          <cell r="Q677" t="str">
            <v>/  /</v>
          </cell>
        </row>
        <row r="678">
          <cell r="A678">
            <v>4458713</v>
          </cell>
          <cell r="B678">
            <v>44112</v>
          </cell>
          <cell r="C678" t="str">
            <v>PON</v>
          </cell>
          <cell r="D678">
            <v>637006012</v>
          </cell>
          <cell r="E678" t="str">
            <v>F21 IZ MAX DISC 9.8 52 S</v>
          </cell>
          <cell r="F678">
            <v>1</v>
          </cell>
          <cell r="G678">
            <v>0</v>
          </cell>
          <cell r="I678" t="str">
            <v>IH112</v>
          </cell>
          <cell r="L678">
            <v>13.2</v>
          </cell>
          <cell r="M678">
            <v>0.22700000000000001</v>
          </cell>
          <cell r="N678" t="str">
            <v>5W</v>
          </cell>
          <cell r="P678" t="str">
            <v>PONFCS</v>
          </cell>
          <cell r="Q678" t="str">
            <v>/  /</v>
          </cell>
        </row>
        <row r="679">
          <cell r="A679">
            <v>4458714</v>
          </cell>
          <cell r="B679">
            <v>44112</v>
          </cell>
          <cell r="C679" t="str">
            <v>PON</v>
          </cell>
          <cell r="D679">
            <v>637006012</v>
          </cell>
          <cell r="E679" t="str">
            <v>F21 IZ MAX DISC 9.8 52 S</v>
          </cell>
          <cell r="F679">
            <v>1</v>
          </cell>
          <cell r="G679">
            <v>0</v>
          </cell>
          <cell r="I679" t="str">
            <v>IH112</v>
          </cell>
          <cell r="L679">
            <v>13.2</v>
          </cell>
          <cell r="M679">
            <v>0.22700000000000001</v>
          </cell>
          <cell r="N679" t="str">
            <v>5W</v>
          </cell>
          <cell r="P679" t="str">
            <v>PONFCS</v>
          </cell>
          <cell r="Q679" t="str">
            <v>/  /</v>
          </cell>
        </row>
        <row r="680">
          <cell r="A680">
            <v>4634166</v>
          </cell>
          <cell r="B680">
            <v>44218</v>
          </cell>
          <cell r="C680" t="str">
            <v>PON</v>
          </cell>
          <cell r="D680">
            <v>637526051</v>
          </cell>
          <cell r="E680" t="str">
            <v>K21 ENDV 1.B MOVE 400 M 50</v>
          </cell>
          <cell r="F680">
            <v>1</v>
          </cell>
          <cell r="G680">
            <v>0</v>
          </cell>
          <cell r="I680" t="str">
            <v>IH113</v>
          </cell>
          <cell r="L680">
            <v>31.5</v>
          </cell>
          <cell r="M680">
            <v>0.57799999999999996</v>
          </cell>
          <cell r="N680" t="str">
            <v>5W</v>
          </cell>
          <cell r="P680" t="str">
            <v>PONFCS</v>
          </cell>
          <cell r="Q680" t="str">
            <v>/  /</v>
          </cell>
        </row>
        <row r="681">
          <cell r="A681">
            <v>4634167</v>
          </cell>
          <cell r="B681">
            <v>44218</v>
          </cell>
          <cell r="C681" t="str">
            <v>PON</v>
          </cell>
          <cell r="D681">
            <v>637526051</v>
          </cell>
          <cell r="E681" t="str">
            <v>K21 ENDV 1.B MOVE 400 M 50</v>
          </cell>
          <cell r="F681">
            <v>1</v>
          </cell>
          <cell r="G681">
            <v>0</v>
          </cell>
          <cell r="I681" t="str">
            <v>IH113</v>
          </cell>
          <cell r="L681">
            <v>31.5</v>
          </cell>
          <cell r="M681">
            <v>0.57799999999999996</v>
          </cell>
          <cell r="N681" t="str">
            <v>5W</v>
          </cell>
          <cell r="P681" t="str">
            <v>PONFCS</v>
          </cell>
          <cell r="Q681" t="str">
            <v>/  /</v>
          </cell>
        </row>
        <row r="682">
          <cell r="A682">
            <v>4634175</v>
          </cell>
          <cell r="B682">
            <v>44218</v>
          </cell>
          <cell r="C682" t="str">
            <v>PON</v>
          </cell>
          <cell r="D682">
            <v>637526056</v>
          </cell>
          <cell r="E682" t="str">
            <v>K21 Endeavour 1.B Move 400 L55</v>
          </cell>
          <cell r="F682">
            <v>1</v>
          </cell>
          <cell r="G682">
            <v>0</v>
          </cell>
          <cell r="I682" t="str">
            <v>IH113</v>
          </cell>
          <cell r="L682">
            <v>30.5</v>
          </cell>
          <cell r="M682">
            <v>0.57299999999999995</v>
          </cell>
          <cell r="N682" t="str">
            <v>5W</v>
          </cell>
          <cell r="P682" t="str">
            <v>PONFCS</v>
          </cell>
          <cell r="Q682" t="str">
            <v>/  /</v>
          </cell>
        </row>
        <row r="683">
          <cell r="A683">
            <v>4634311</v>
          </cell>
          <cell r="B683">
            <v>44218</v>
          </cell>
          <cell r="C683" t="str">
            <v>PON</v>
          </cell>
          <cell r="D683">
            <v>637527056</v>
          </cell>
          <cell r="E683" t="str">
            <v>K21 Endv 1.B Move 500 L TR</v>
          </cell>
          <cell r="F683">
            <v>1</v>
          </cell>
          <cell r="G683">
            <v>0</v>
          </cell>
          <cell r="I683" t="str">
            <v>IH113</v>
          </cell>
          <cell r="L683">
            <v>35</v>
          </cell>
          <cell r="M683">
            <v>0.57299999999999995</v>
          </cell>
          <cell r="N683" t="str">
            <v>5W</v>
          </cell>
          <cell r="P683" t="str">
            <v>PONFCS</v>
          </cell>
          <cell r="Q683" t="str">
            <v>/  /</v>
          </cell>
        </row>
        <row r="684">
          <cell r="A684">
            <v>4634315</v>
          </cell>
          <cell r="B684">
            <v>44218</v>
          </cell>
          <cell r="C684" t="str">
            <v>PON</v>
          </cell>
          <cell r="D684">
            <v>637527056</v>
          </cell>
          <cell r="E684" t="str">
            <v>K21 Endv 1.B Move 500 L TR</v>
          </cell>
          <cell r="F684">
            <v>1</v>
          </cell>
          <cell r="G684">
            <v>0</v>
          </cell>
          <cell r="I684" t="str">
            <v>IH113</v>
          </cell>
          <cell r="L684">
            <v>35</v>
          </cell>
          <cell r="M684">
            <v>0.57299999999999995</v>
          </cell>
          <cell r="N684" t="str">
            <v>5W</v>
          </cell>
          <cell r="P684" t="str">
            <v>PONFCS</v>
          </cell>
          <cell r="Q684" t="str">
            <v>/  /</v>
          </cell>
        </row>
        <row r="685">
          <cell r="A685">
            <v>3975514</v>
          </cell>
          <cell r="B685">
            <v>43803</v>
          </cell>
          <cell r="C685" t="str">
            <v>PON</v>
          </cell>
          <cell r="D685">
            <v>633618540</v>
          </cell>
          <cell r="E685" t="str">
            <v>FC EBikeF19 P/Sqre 6.9 51S Slv</v>
          </cell>
          <cell r="F685">
            <v>1</v>
          </cell>
          <cell r="G685">
            <v>0</v>
          </cell>
          <cell r="I685" t="str">
            <v>IH114</v>
          </cell>
          <cell r="L685">
            <v>25</v>
          </cell>
          <cell r="M685">
            <v>0.58099999999999996</v>
          </cell>
          <cell r="N685" t="str">
            <v>5W</v>
          </cell>
          <cell r="P685" t="str">
            <v>PONFEB</v>
          </cell>
          <cell r="Q685" t="str">
            <v>/  /</v>
          </cell>
        </row>
        <row r="686">
          <cell r="A686">
            <v>4086213</v>
          </cell>
          <cell r="B686">
            <v>43803</v>
          </cell>
          <cell r="C686" t="str">
            <v>PON</v>
          </cell>
          <cell r="D686">
            <v>633618540</v>
          </cell>
          <cell r="E686" t="str">
            <v>FC EBikeF19 P/Sqre 6.9 51S Slv</v>
          </cell>
          <cell r="F686">
            <v>1</v>
          </cell>
          <cell r="G686">
            <v>0</v>
          </cell>
          <cell r="I686" t="str">
            <v>IH114</v>
          </cell>
          <cell r="L686">
            <v>25</v>
          </cell>
          <cell r="M686">
            <v>0.58099999999999996</v>
          </cell>
          <cell r="N686" t="str">
            <v>5W</v>
          </cell>
          <cell r="P686" t="str">
            <v>PONFEB</v>
          </cell>
          <cell r="Q686" t="str">
            <v>/  /</v>
          </cell>
        </row>
        <row r="687">
          <cell r="A687">
            <v>4087629</v>
          </cell>
          <cell r="B687">
            <v>43803</v>
          </cell>
          <cell r="C687" t="str">
            <v>PON</v>
          </cell>
          <cell r="D687">
            <v>633618540</v>
          </cell>
          <cell r="E687" t="str">
            <v>FC EBikeF19 P/Sqre 6.9 51S Slv</v>
          </cell>
          <cell r="F687">
            <v>1</v>
          </cell>
          <cell r="G687">
            <v>0</v>
          </cell>
          <cell r="I687" t="str">
            <v>IH114</v>
          </cell>
          <cell r="L687">
            <v>25</v>
          </cell>
          <cell r="M687">
            <v>0.58099999999999996</v>
          </cell>
          <cell r="N687" t="str">
            <v>5W</v>
          </cell>
          <cell r="P687" t="str">
            <v>PONFEB</v>
          </cell>
          <cell r="Q687" t="str">
            <v>/  /</v>
          </cell>
        </row>
        <row r="688">
          <cell r="A688">
            <v>4089429</v>
          </cell>
          <cell r="B688">
            <v>43803</v>
          </cell>
          <cell r="C688" t="str">
            <v>PON</v>
          </cell>
          <cell r="D688">
            <v>633618540</v>
          </cell>
          <cell r="E688" t="str">
            <v>FC EBikeF19 P/Sqre 6.9 51S Slv</v>
          </cell>
          <cell r="F688">
            <v>1</v>
          </cell>
          <cell r="G688">
            <v>0</v>
          </cell>
          <cell r="I688" t="str">
            <v>IH114</v>
          </cell>
          <cell r="L688">
            <v>25</v>
          </cell>
          <cell r="M688">
            <v>0.58099999999999996</v>
          </cell>
          <cell r="N688" t="str">
            <v>5W</v>
          </cell>
          <cell r="P688" t="str">
            <v>PONFEB</v>
          </cell>
          <cell r="Q688" t="str">
            <v>/  /</v>
          </cell>
        </row>
        <row r="689">
          <cell r="A689">
            <v>4089431</v>
          </cell>
          <cell r="B689">
            <v>43803</v>
          </cell>
          <cell r="C689" t="str">
            <v>PON</v>
          </cell>
          <cell r="D689">
            <v>633618540</v>
          </cell>
          <cell r="E689" t="str">
            <v>FC EBikeF19 P/Sqre 6.9 51S Slv</v>
          </cell>
          <cell r="F689">
            <v>1</v>
          </cell>
          <cell r="G689">
            <v>0</v>
          </cell>
          <cell r="I689" t="str">
            <v>IH114</v>
          </cell>
          <cell r="L689">
            <v>25</v>
          </cell>
          <cell r="M689">
            <v>0.58099999999999996</v>
          </cell>
          <cell r="N689" t="str">
            <v>5W</v>
          </cell>
          <cell r="P689" t="str">
            <v>PONFEB</v>
          </cell>
          <cell r="Q689" t="str">
            <v>/  /</v>
          </cell>
        </row>
        <row r="690">
          <cell r="A690">
            <v>4614105</v>
          </cell>
          <cell r="B690">
            <v>44203</v>
          </cell>
          <cell r="C690" t="str">
            <v>PON</v>
          </cell>
          <cell r="D690">
            <v>641078297</v>
          </cell>
          <cell r="E690" t="str">
            <v>C21 Dura Carbon/Holographic 54</v>
          </cell>
          <cell r="F690">
            <v>1</v>
          </cell>
          <cell r="G690">
            <v>0</v>
          </cell>
          <cell r="I690" t="str">
            <v>IH121</v>
          </cell>
          <cell r="L690">
            <v>13.5</v>
          </cell>
          <cell r="M690">
            <v>0.23200000000000001</v>
          </cell>
          <cell r="N690" t="str">
            <v>5W</v>
          </cell>
          <cell r="P690" t="str">
            <v>PONCVL</v>
          </cell>
          <cell r="Q690" t="str">
            <v>/  /</v>
          </cell>
        </row>
        <row r="691">
          <cell r="A691">
            <v>4614261</v>
          </cell>
          <cell r="B691">
            <v>44203</v>
          </cell>
          <cell r="C691" t="str">
            <v>PON</v>
          </cell>
          <cell r="D691">
            <v>641078308</v>
          </cell>
          <cell r="E691" t="str">
            <v>C21 ETAP Carbon/Holographic 56</v>
          </cell>
          <cell r="F691">
            <v>1</v>
          </cell>
          <cell r="G691">
            <v>0</v>
          </cell>
          <cell r="I691" t="str">
            <v>IH121</v>
          </cell>
          <cell r="L691">
            <v>13.6</v>
          </cell>
          <cell r="M691">
            <v>0.23300000000000001</v>
          </cell>
          <cell r="N691" t="str">
            <v>5W</v>
          </cell>
          <cell r="P691" t="str">
            <v>PONCVL</v>
          </cell>
          <cell r="Q691" t="str">
            <v>/  /</v>
          </cell>
        </row>
        <row r="692">
          <cell r="A692">
            <v>4614262</v>
          </cell>
          <cell r="B692">
            <v>44203</v>
          </cell>
          <cell r="C692" t="str">
            <v>PON</v>
          </cell>
          <cell r="D692">
            <v>641078308</v>
          </cell>
          <cell r="E692" t="str">
            <v>C21 ETAP Carbon/Holographic 56</v>
          </cell>
          <cell r="F692">
            <v>1</v>
          </cell>
          <cell r="G692">
            <v>0</v>
          </cell>
          <cell r="I692" t="str">
            <v>IH121</v>
          </cell>
          <cell r="L692">
            <v>13.6</v>
          </cell>
          <cell r="M692">
            <v>0.23300000000000001</v>
          </cell>
          <cell r="N692" t="str">
            <v>5W</v>
          </cell>
          <cell r="P692" t="str">
            <v>PONCVL</v>
          </cell>
          <cell r="Q692" t="str">
            <v>/  /</v>
          </cell>
        </row>
        <row r="693">
          <cell r="A693">
            <v>4080963</v>
          </cell>
          <cell r="B693">
            <v>43851</v>
          </cell>
          <cell r="C693" t="str">
            <v>PON</v>
          </cell>
          <cell r="D693">
            <v>614508063</v>
          </cell>
          <cell r="E693" t="str">
            <v>FC F14 FS IZ Team 1.0 54 MDDi2</v>
          </cell>
          <cell r="F693">
            <v>1</v>
          </cell>
          <cell r="G693">
            <v>0</v>
          </cell>
          <cell r="I693" t="str">
            <v>IH122</v>
          </cell>
          <cell r="L693">
            <v>3.8</v>
          </cell>
          <cell r="M693">
            <v>0.161</v>
          </cell>
          <cell r="N693" t="str">
            <v>5W</v>
          </cell>
          <cell r="P693" t="str">
            <v>PONFCS</v>
          </cell>
          <cell r="Q693" t="str">
            <v>/  /</v>
          </cell>
        </row>
        <row r="694">
          <cell r="A694">
            <v>4458715</v>
          </cell>
          <cell r="B694">
            <v>44112</v>
          </cell>
          <cell r="C694" t="str">
            <v>PON</v>
          </cell>
          <cell r="D694">
            <v>637006012</v>
          </cell>
          <cell r="E694" t="str">
            <v>F21 IZ MAX DISC 9.8 52 S</v>
          </cell>
          <cell r="F694">
            <v>1</v>
          </cell>
          <cell r="G694">
            <v>0</v>
          </cell>
          <cell r="I694" t="str">
            <v>IH122</v>
          </cell>
          <cell r="L694">
            <v>13.2</v>
          </cell>
          <cell r="M694">
            <v>0.22700000000000001</v>
          </cell>
          <cell r="N694" t="str">
            <v>5W</v>
          </cell>
          <cell r="P694" t="str">
            <v>PONFCS</v>
          </cell>
          <cell r="Q694" t="str">
            <v>/  /</v>
          </cell>
        </row>
        <row r="695">
          <cell r="A695">
            <v>4614260</v>
          </cell>
          <cell r="B695">
            <v>44203</v>
          </cell>
          <cell r="C695" t="str">
            <v>PON</v>
          </cell>
          <cell r="D695">
            <v>641078308</v>
          </cell>
          <cell r="E695" t="str">
            <v>C21 ETAP Carbon/Holographic 56</v>
          </cell>
          <cell r="F695">
            <v>1</v>
          </cell>
          <cell r="G695">
            <v>0</v>
          </cell>
          <cell r="I695" t="str">
            <v>IH122</v>
          </cell>
          <cell r="L695">
            <v>13.6</v>
          </cell>
          <cell r="M695">
            <v>0.23300000000000001</v>
          </cell>
          <cell r="N695" t="str">
            <v>5W</v>
          </cell>
          <cell r="P695" t="str">
            <v>PONCVL</v>
          </cell>
          <cell r="Q695" t="str">
            <v>/  /</v>
          </cell>
        </row>
        <row r="696">
          <cell r="A696">
            <v>4634143</v>
          </cell>
          <cell r="B696">
            <v>44218</v>
          </cell>
          <cell r="C696" t="str">
            <v>PON</v>
          </cell>
          <cell r="D696">
            <v>637518150</v>
          </cell>
          <cell r="E696" t="str">
            <v>F20 JAM2 6.7 NINE 40S BLUE BSH</v>
          </cell>
          <cell r="F696">
            <v>1</v>
          </cell>
          <cell r="G696">
            <v>0</v>
          </cell>
          <cell r="I696" t="str">
            <v>IH123</v>
          </cell>
          <cell r="L696">
            <v>32.5</v>
          </cell>
          <cell r="M696">
            <v>0.58099999999999996</v>
          </cell>
          <cell r="N696" t="str">
            <v>5W</v>
          </cell>
          <cell r="P696" t="str">
            <v>PONFCS</v>
          </cell>
          <cell r="Q696" t="str">
            <v>/  /</v>
          </cell>
        </row>
        <row r="697">
          <cell r="A697">
            <v>4634144</v>
          </cell>
          <cell r="B697">
            <v>44218</v>
          </cell>
          <cell r="C697" t="str">
            <v>PON</v>
          </cell>
          <cell r="D697">
            <v>637518150</v>
          </cell>
          <cell r="E697" t="str">
            <v>F20 JAM2 6.7 NINE 40S BLUE BSH</v>
          </cell>
          <cell r="F697">
            <v>1</v>
          </cell>
          <cell r="G697">
            <v>0</v>
          </cell>
          <cell r="I697" t="str">
            <v>IH123</v>
          </cell>
          <cell r="L697">
            <v>32.5</v>
          </cell>
          <cell r="M697">
            <v>0.58099999999999996</v>
          </cell>
          <cell r="N697" t="str">
            <v>5W</v>
          </cell>
          <cell r="P697" t="str">
            <v>PONFCS</v>
          </cell>
          <cell r="Q697" t="str">
            <v>/  /</v>
          </cell>
        </row>
        <row r="698">
          <cell r="A698">
            <v>4634174</v>
          </cell>
          <cell r="B698">
            <v>44218</v>
          </cell>
          <cell r="C698" t="str">
            <v>PON</v>
          </cell>
          <cell r="D698">
            <v>637526056</v>
          </cell>
          <cell r="E698" t="str">
            <v>K21 Endeavour 1.B Move 400 L55</v>
          </cell>
          <cell r="F698">
            <v>1</v>
          </cell>
          <cell r="G698">
            <v>0</v>
          </cell>
          <cell r="I698" t="str">
            <v>IH123</v>
          </cell>
          <cell r="L698">
            <v>30.5</v>
          </cell>
          <cell r="M698">
            <v>0.57299999999999995</v>
          </cell>
          <cell r="N698" t="str">
            <v>5W</v>
          </cell>
          <cell r="P698" t="str">
            <v>PONFCS</v>
          </cell>
          <cell r="Q698" t="str">
            <v>/  /</v>
          </cell>
        </row>
        <row r="699">
          <cell r="A699">
            <v>4634318</v>
          </cell>
          <cell r="B699">
            <v>44218</v>
          </cell>
          <cell r="C699" t="str">
            <v>PON</v>
          </cell>
          <cell r="D699">
            <v>637527067</v>
          </cell>
          <cell r="E699" t="str">
            <v>K21 Endv 1.B Move 500 M Grey</v>
          </cell>
          <cell r="F699">
            <v>1</v>
          </cell>
          <cell r="G699">
            <v>0</v>
          </cell>
          <cell r="I699" t="str">
            <v>IH123</v>
          </cell>
          <cell r="L699">
            <v>35</v>
          </cell>
          <cell r="M699">
            <v>0.57299999999999995</v>
          </cell>
          <cell r="N699" t="str">
            <v>5W</v>
          </cell>
          <cell r="P699" t="str">
            <v>PONFCS</v>
          </cell>
          <cell r="Q699" t="str">
            <v>/  /</v>
          </cell>
        </row>
        <row r="700">
          <cell r="A700">
            <v>3975516</v>
          </cell>
          <cell r="B700">
            <v>43803</v>
          </cell>
          <cell r="C700" t="str">
            <v>PON</v>
          </cell>
          <cell r="D700">
            <v>633618540</v>
          </cell>
          <cell r="E700" t="str">
            <v>FC EBikeF19 P/Sqre 6.9 51S Slv</v>
          </cell>
          <cell r="F700">
            <v>1</v>
          </cell>
          <cell r="G700">
            <v>0</v>
          </cell>
          <cell r="I700" t="str">
            <v>IH124</v>
          </cell>
          <cell r="L700">
            <v>25</v>
          </cell>
          <cell r="M700">
            <v>0.58099999999999996</v>
          </cell>
          <cell r="N700" t="str">
            <v>5W</v>
          </cell>
          <cell r="P700" t="str">
            <v>PONFEB</v>
          </cell>
          <cell r="Q700" t="str">
            <v>/  /</v>
          </cell>
        </row>
        <row r="701">
          <cell r="A701">
            <v>4087631</v>
          </cell>
          <cell r="B701">
            <v>43803</v>
          </cell>
          <cell r="C701" t="str">
            <v>PON</v>
          </cell>
          <cell r="D701">
            <v>633618540</v>
          </cell>
          <cell r="E701" t="str">
            <v>FC EBikeF19 P/Sqre 6.9 51S Slv</v>
          </cell>
          <cell r="F701">
            <v>1</v>
          </cell>
          <cell r="G701">
            <v>0</v>
          </cell>
          <cell r="I701" t="str">
            <v>IH124</v>
          </cell>
          <cell r="L701">
            <v>25</v>
          </cell>
          <cell r="M701">
            <v>0.58099999999999996</v>
          </cell>
          <cell r="N701" t="str">
            <v>5W</v>
          </cell>
          <cell r="P701" t="str">
            <v>PONFEB</v>
          </cell>
          <cell r="Q701" t="str">
            <v>/  /</v>
          </cell>
        </row>
        <row r="702">
          <cell r="A702">
            <v>4089475</v>
          </cell>
          <cell r="B702">
            <v>43852</v>
          </cell>
          <cell r="C702" t="str">
            <v>PON</v>
          </cell>
          <cell r="D702">
            <v>633728512</v>
          </cell>
          <cell r="E702" t="str">
            <v>FC EBikeF19 P/Sqre9.8 57LAnthr</v>
          </cell>
          <cell r="F702">
            <v>1</v>
          </cell>
          <cell r="G702">
            <v>0</v>
          </cell>
          <cell r="I702" t="str">
            <v>IH124</v>
          </cell>
          <cell r="L702">
            <v>23.9</v>
          </cell>
          <cell r="M702">
            <v>0.53200000000000003</v>
          </cell>
          <cell r="N702" t="str">
            <v>5W</v>
          </cell>
          <cell r="P702" t="str">
            <v>PONFEB</v>
          </cell>
          <cell r="Q702" t="str">
            <v>/  /</v>
          </cell>
        </row>
        <row r="703">
          <cell r="A703">
            <v>4634316</v>
          </cell>
          <cell r="B703">
            <v>44218</v>
          </cell>
          <cell r="C703" t="str">
            <v>PON</v>
          </cell>
          <cell r="D703">
            <v>637527056</v>
          </cell>
          <cell r="E703" t="str">
            <v>K21 Endv 1.B Move 500 L TR</v>
          </cell>
          <cell r="F703">
            <v>1</v>
          </cell>
          <cell r="G703">
            <v>0</v>
          </cell>
          <cell r="I703" t="str">
            <v>IH124</v>
          </cell>
          <cell r="L703">
            <v>35</v>
          </cell>
          <cell r="M703">
            <v>0.57299999999999995</v>
          </cell>
          <cell r="N703" t="str">
            <v>5W</v>
          </cell>
          <cell r="P703" t="str">
            <v>PONFCS</v>
          </cell>
          <cell r="Q703" t="str">
            <v>/  /</v>
          </cell>
        </row>
        <row r="704">
          <cell r="A704">
            <v>4458872</v>
          </cell>
          <cell r="B704">
            <v>44112</v>
          </cell>
          <cell r="C704" t="str">
            <v>PON</v>
          </cell>
          <cell r="D704">
            <v>641006000</v>
          </cell>
          <cell r="E704" t="str">
            <v>F21 IZ MAX DISC 9.9 47 XXS L/G</v>
          </cell>
          <cell r="F704">
            <v>1</v>
          </cell>
          <cell r="G704">
            <v>0</v>
          </cell>
          <cell r="I704" t="str">
            <v>IH131</v>
          </cell>
          <cell r="L704">
            <v>13.9</v>
          </cell>
          <cell r="M704">
            <v>0.22600000000000001</v>
          </cell>
          <cell r="N704" t="str">
            <v>5W</v>
          </cell>
          <cell r="P704" t="str">
            <v>PONFCS</v>
          </cell>
          <cell r="Q704" t="str">
            <v>/  /</v>
          </cell>
        </row>
        <row r="705">
          <cell r="A705">
            <v>4458873</v>
          </cell>
          <cell r="B705">
            <v>44112</v>
          </cell>
          <cell r="C705" t="str">
            <v>PON</v>
          </cell>
          <cell r="D705">
            <v>641006000</v>
          </cell>
          <cell r="E705" t="str">
            <v>F21 IZ MAX DISC 9.9 47 XXS L/G</v>
          </cell>
          <cell r="F705">
            <v>1</v>
          </cell>
          <cell r="G705">
            <v>0</v>
          </cell>
          <cell r="I705" t="str">
            <v>IH131</v>
          </cell>
          <cell r="L705">
            <v>13.9</v>
          </cell>
          <cell r="M705">
            <v>0.22600000000000001</v>
          </cell>
          <cell r="N705" t="str">
            <v>5W</v>
          </cell>
          <cell r="P705" t="str">
            <v>PONFCS</v>
          </cell>
          <cell r="Q705" t="str">
            <v>/  /</v>
          </cell>
        </row>
        <row r="706">
          <cell r="A706">
            <v>4614018</v>
          </cell>
          <cell r="B706">
            <v>44203</v>
          </cell>
          <cell r="C706" t="str">
            <v>PON</v>
          </cell>
          <cell r="D706">
            <v>641078193</v>
          </cell>
          <cell r="E706" t="str">
            <v>C21 P5 Disc F/E/A Orng/Cham 51</v>
          </cell>
          <cell r="F706">
            <v>1</v>
          </cell>
          <cell r="G706">
            <v>0</v>
          </cell>
          <cell r="I706" t="str">
            <v>IH131</v>
          </cell>
          <cell r="L706">
            <v>15.7</v>
          </cell>
          <cell r="M706">
            <v>0.26500000000000001</v>
          </cell>
          <cell r="N706" t="str">
            <v>5W</v>
          </cell>
          <cell r="P706" t="str">
            <v>PONCVL</v>
          </cell>
          <cell r="Q706" t="str">
            <v>/  /</v>
          </cell>
        </row>
        <row r="707">
          <cell r="A707">
            <v>4614019</v>
          </cell>
          <cell r="B707">
            <v>44203</v>
          </cell>
          <cell r="C707" t="str">
            <v>PON</v>
          </cell>
          <cell r="D707">
            <v>641078193</v>
          </cell>
          <cell r="E707" t="str">
            <v>C21 P5 Disc F/E/A Orng/Cham 51</v>
          </cell>
          <cell r="F707">
            <v>1</v>
          </cell>
          <cell r="G707">
            <v>0</v>
          </cell>
          <cell r="I707" t="str">
            <v>IH131</v>
          </cell>
          <cell r="L707">
            <v>15.7</v>
          </cell>
          <cell r="M707">
            <v>0.26500000000000001</v>
          </cell>
          <cell r="N707" t="str">
            <v>5W</v>
          </cell>
          <cell r="P707" t="str">
            <v>PONCVL</v>
          </cell>
          <cell r="Q707" t="str">
            <v>/  /</v>
          </cell>
        </row>
        <row r="708">
          <cell r="A708">
            <v>4614020</v>
          </cell>
          <cell r="B708">
            <v>44203</v>
          </cell>
          <cell r="C708" t="str">
            <v>PON</v>
          </cell>
          <cell r="D708">
            <v>641078193</v>
          </cell>
          <cell r="E708" t="str">
            <v>C21 P5 Disc F/E/A Orng/Cham 51</v>
          </cell>
          <cell r="F708">
            <v>1</v>
          </cell>
          <cell r="G708">
            <v>0</v>
          </cell>
          <cell r="I708" t="str">
            <v>IH131</v>
          </cell>
          <cell r="L708">
            <v>15.7</v>
          </cell>
          <cell r="M708">
            <v>0.26500000000000001</v>
          </cell>
          <cell r="N708" t="str">
            <v>5W</v>
          </cell>
          <cell r="P708" t="str">
            <v>PONCVL</v>
          </cell>
          <cell r="Q708" t="str">
            <v>/  /</v>
          </cell>
        </row>
        <row r="709">
          <cell r="A709">
            <v>3929628</v>
          </cell>
          <cell r="B709">
            <v>43777</v>
          </cell>
          <cell r="C709" t="str">
            <v>PON</v>
          </cell>
          <cell r="D709">
            <v>628078160</v>
          </cell>
          <cell r="E709" t="str">
            <v>CV C18 R5 Disc DA Di2 48 XS</v>
          </cell>
          <cell r="F709">
            <v>1</v>
          </cell>
          <cell r="G709">
            <v>0</v>
          </cell>
          <cell r="I709" t="str">
            <v>IH132</v>
          </cell>
          <cell r="L709">
            <v>12.2</v>
          </cell>
          <cell r="M709">
            <v>0.23200000000000001</v>
          </cell>
          <cell r="N709" t="str">
            <v>5W</v>
          </cell>
          <cell r="P709" t="str">
            <v>PONCVL</v>
          </cell>
          <cell r="Q709" t="str">
            <v>/  /</v>
          </cell>
        </row>
        <row r="710">
          <cell r="A710">
            <v>4087637</v>
          </cell>
          <cell r="B710">
            <v>43795</v>
          </cell>
          <cell r="C710" t="str">
            <v>PON</v>
          </cell>
          <cell r="D710">
            <v>633618542</v>
          </cell>
          <cell r="E710" t="str">
            <v>FC EBikeF19 P/Sqre 6.9 57L Slv</v>
          </cell>
          <cell r="F710">
            <v>1</v>
          </cell>
          <cell r="G710">
            <v>0</v>
          </cell>
          <cell r="I710" t="str">
            <v>IH133</v>
          </cell>
          <cell r="L710">
            <v>25.6</v>
          </cell>
          <cell r="M710">
            <v>0.58099999999999996</v>
          </cell>
          <cell r="N710" t="str">
            <v>5W</v>
          </cell>
          <cell r="P710" t="str">
            <v>PONFEB</v>
          </cell>
          <cell r="Q710" t="str">
            <v>/  /</v>
          </cell>
        </row>
        <row r="711">
          <cell r="A711">
            <v>4089437</v>
          </cell>
          <cell r="B711">
            <v>43795</v>
          </cell>
          <cell r="C711" t="str">
            <v>PON</v>
          </cell>
          <cell r="D711">
            <v>633618542</v>
          </cell>
          <cell r="E711" t="str">
            <v>FC EBikeF19 P/Sqre 6.9 57L Slv</v>
          </cell>
          <cell r="F711">
            <v>1</v>
          </cell>
          <cell r="G711">
            <v>0</v>
          </cell>
          <cell r="I711" t="str">
            <v>IH133</v>
          </cell>
          <cell r="L711">
            <v>25.6</v>
          </cell>
          <cell r="M711">
            <v>0.58099999999999996</v>
          </cell>
          <cell r="N711" t="str">
            <v>5W</v>
          </cell>
          <cell r="P711" t="str">
            <v>PONFEB</v>
          </cell>
          <cell r="Q711" t="str">
            <v>/  /</v>
          </cell>
        </row>
        <row r="712">
          <cell r="A712">
            <v>4634145</v>
          </cell>
          <cell r="B712">
            <v>44218</v>
          </cell>
          <cell r="C712" t="str">
            <v>PON</v>
          </cell>
          <cell r="D712">
            <v>637518150</v>
          </cell>
          <cell r="E712" t="str">
            <v>F20 JAM2 6.7 NINE 40S BLUE BSH</v>
          </cell>
          <cell r="F712">
            <v>1</v>
          </cell>
          <cell r="G712">
            <v>0</v>
          </cell>
          <cell r="I712" t="str">
            <v>IH133</v>
          </cell>
          <cell r="L712">
            <v>32.5</v>
          </cell>
          <cell r="M712">
            <v>0.58099999999999996</v>
          </cell>
          <cell r="N712" t="str">
            <v>5W</v>
          </cell>
          <cell r="P712" t="str">
            <v>PONFCS</v>
          </cell>
          <cell r="Q712" t="str">
            <v>/  /</v>
          </cell>
        </row>
        <row r="713">
          <cell r="A713">
            <v>4634146</v>
          </cell>
          <cell r="B713">
            <v>44218</v>
          </cell>
          <cell r="C713" t="str">
            <v>PON</v>
          </cell>
          <cell r="D713">
            <v>637518150</v>
          </cell>
          <cell r="E713" t="str">
            <v>F20 JAM2 6.7 NINE 40S BLUE BSH</v>
          </cell>
          <cell r="F713">
            <v>1</v>
          </cell>
          <cell r="G713">
            <v>0</v>
          </cell>
          <cell r="I713" t="str">
            <v>IH133</v>
          </cell>
          <cell r="L713">
            <v>32.5</v>
          </cell>
          <cell r="M713">
            <v>0.58099999999999996</v>
          </cell>
          <cell r="N713" t="str">
            <v>5W</v>
          </cell>
          <cell r="P713" t="str">
            <v>PONFCS</v>
          </cell>
          <cell r="Q713" t="str">
            <v>/  /</v>
          </cell>
        </row>
        <row r="714">
          <cell r="A714">
            <v>4041668</v>
          </cell>
          <cell r="B714">
            <v>43852</v>
          </cell>
          <cell r="C714" t="str">
            <v>PON</v>
          </cell>
          <cell r="D714">
            <v>633728512</v>
          </cell>
          <cell r="E714" t="str">
            <v>FC EBikeF19 P/Sqre9.8 57LAnthr</v>
          </cell>
          <cell r="F714">
            <v>1</v>
          </cell>
          <cell r="G714">
            <v>0</v>
          </cell>
          <cell r="I714" t="str">
            <v>IH134</v>
          </cell>
          <cell r="L714">
            <v>23.9</v>
          </cell>
          <cell r="M714">
            <v>0.53200000000000003</v>
          </cell>
          <cell r="N714" t="str">
            <v>5W</v>
          </cell>
          <cell r="P714" t="str">
            <v>PONFEB</v>
          </cell>
          <cell r="Q714" t="str">
            <v>/  /</v>
          </cell>
        </row>
        <row r="715">
          <cell r="A715">
            <v>4634147</v>
          </cell>
          <cell r="B715">
            <v>44218</v>
          </cell>
          <cell r="C715" t="str">
            <v>PON</v>
          </cell>
          <cell r="D715">
            <v>637518150</v>
          </cell>
          <cell r="E715" t="str">
            <v>F20 JAM2 6.7 NINE 40S BLUE BSH</v>
          </cell>
          <cell r="F715">
            <v>1</v>
          </cell>
          <cell r="G715">
            <v>0</v>
          </cell>
          <cell r="I715" t="str">
            <v>IH134</v>
          </cell>
          <cell r="L715">
            <v>32.5</v>
          </cell>
          <cell r="M715">
            <v>0.58099999999999996</v>
          </cell>
          <cell r="N715" t="str">
            <v>5W</v>
          </cell>
          <cell r="P715" t="str">
            <v>PONFCS</v>
          </cell>
          <cell r="Q715" t="str">
            <v>/  /</v>
          </cell>
        </row>
        <row r="716">
          <cell r="A716">
            <v>4634148</v>
          </cell>
          <cell r="B716">
            <v>44218</v>
          </cell>
          <cell r="C716" t="str">
            <v>PON</v>
          </cell>
          <cell r="D716">
            <v>637518150</v>
          </cell>
          <cell r="E716" t="str">
            <v>F20 JAM2 6.7 NINE 40S BLUE BSH</v>
          </cell>
          <cell r="F716">
            <v>1</v>
          </cell>
          <cell r="G716">
            <v>0</v>
          </cell>
          <cell r="I716" t="str">
            <v>IH134</v>
          </cell>
          <cell r="L716">
            <v>32.5</v>
          </cell>
          <cell r="M716">
            <v>0.58099999999999996</v>
          </cell>
          <cell r="N716" t="str">
            <v>5W</v>
          </cell>
          <cell r="P716" t="str">
            <v>PONFCS</v>
          </cell>
          <cell r="Q716" t="str">
            <v>/  /</v>
          </cell>
        </row>
        <row r="717">
          <cell r="A717">
            <v>4634341</v>
          </cell>
          <cell r="B717">
            <v>44218</v>
          </cell>
          <cell r="C717" t="str">
            <v>PON</v>
          </cell>
          <cell r="D717">
            <v>641528405</v>
          </cell>
          <cell r="E717" t="str">
            <v>K21 Image 5.B Excite Wa S43</v>
          </cell>
          <cell r="F717">
            <v>1</v>
          </cell>
          <cell r="G717">
            <v>0</v>
          </cell>
          <cell r="I717" t="str">
            <v>IH134</v>
          </cell>
          <cell r="L717">
            <v>37</v>
          </cell>
          <cell r="M717">
            <v>0.57299999999999995</v>
          </cell>
          <cell r="N717" t="str">
            <v>5W</v>
          </cell>
          <cell r="P717" t="str">
            <v>PONFCS</v>
          </cell>
          <cell r="Q717" t="str">
            <v>/  /</v>
          </cell>
        </row>
        <row r="718">
          <cell r="A718">
            <v>3953004</v>
          </cell>
          <cell r="B718">
            <v>43790</v>
          </cell>
          <cell r="C718" t="str">
            <v>PON</v>
          </cell>
          <cell r="D718">
            <v>633006333</v>
          </cell>
          <cell r="E718" t="str">
            <v>FC F19 Mare 9.7 Ltd 56L Salmon</v>
          </cell>
          <cell r="F718">
            <v>1</v>
          </cell>
          <cell r="G718">
            <v>0</v>
          </cell>
          <cell r="I718" t="str">
            <v>IH142</v>
          </cell>
          <cell r="L718">
            <v>14</v>
          </cell>
          <cell r="M718">
            <v>0.248</v>
          </cell>
          <cell r="N718" t="str">
            <v>5W</v>
          </cell>
          <cell r="P718" t="str">
            <v>PONFCS</v>
          </cell>
          <cell r="Q718" t="str">
            <v>/  /</v>
          </cell>
        </row>
        <row r="719">
          <cell r="A719">
            <v>3962936</v>
          </cell>
          <cell r="B719">
            <v>43795</v>
          </cell>
          <cell r="C719" t="str">
            <v>PON</v>
          </cell>
          <cell r="D719">
            <v>633618542</v>
          </cell>
          <cell r="E719" t="str">
            <v>FC EBikeF19 P/Sqre 6.9 57L Slv</v>
          </cell>
          <cell r="F719">
            <v>1</v>
          </cell>
          <cell r="G719">
            <v>0</v>
          </cell>
          <cell r="I719" t="str">
            <v>IH143</v>
          </cell>
          <cell r="L719">
            <v>25.6</v>
          </cell>
          <cell r="M719">
            <v>0.58099999999999996</v>
          </cell>
          <cell r="N719" t="str">
            <v>5W</v>
          </cell>
          <cell r="P719" t="str">
            <v>PONFEB</v>
          </cell>
          <cell r="Q719" t="str">
            <v>/  /</v>
          </cell>
        </row>
        <row r="720">
          <cell r="A720">
            <v>4086218</v>
          </cell>
          <cell r="B720">
            <v>43795</v>
          </cell>
          <cell r="C720" t="str">
            <v>PON</v>
          </cell>
          <cell r="D720">
            <v>633618542</v>
          </cell>
          <cell r="E720" t="str">
            <v>FC EBikeF19 P/Sqre 6.9 57L Slv</v>
          </cell>
          <cell r="F720">
            <v>1</v>
          </cell>
          <cell r="G720">
            <v>0</v>
          </cell>
          <cell r="I720" t="str">
            <v>IH143</v>
          </cell>
          <cell r="L720">
            <v>25.6</v>
          </cell>
          <cell r="M720">
            <v>0.58099999999999996</v>
          </cell>
          <cell r="N720" t="str">
            <v>5W</v>
          </cell>
          <cell r="P720" t="str">
            <v>PONFEB</v>
          </cell>
          <cell r="Q720" t="str">
            <v>/  /</v>
          </cell>
        </row>
        <row r="721">
          <cell r="A721">
            <v>4087636</v>
          </cell>
          <cell r="B721">
            <v>43795</v>
          </cell>
          <cell r="C721" t="str">
            <v>PON</v>
          </cell>
          <cell r="D721">
            <v>633618542</v>
          </cell>
          <cell r="E721" t="str">
            <v>FC EBikeF19 P/Sqre 6.9 57L Slv</v>
          </cell>
          <cell r="F721">
            <v>1</v>
          </cell>
          <cell r="G721">
            <v>0</v>
          </cell>
          <cell r="I721" t="str">
            <v>IH143</v>
          </cell>
          <cell r="L721">
            <v>25.6</v>
          </cell>
          <cell r="M721">
            <v>0.58099999999999996</v>
          </cell>
          <cell r="N721" t="str">
            <v>5W</v>
          </cell>
          <cell r="P721" t="str">
            <v>PONFEB</v>
          </cell>
          <cell r="Q721" t="str">
            <v>/  /</v>
          </cell>
        </row>
        <row r="722">
          <cell r="A722">
            <v>4089436</v>
          </cell>
          <cell r="B722">
            <v>43795</v>
          </cell>
          <cell r="C722" t="str">
            <v>PON</v>
          </cell>
          <cell r="D722">
            <v>633618542</v>
          </cell>
          <cell r="E722" t="str">
            <v>FC EBikeF19 P/Sqre 6.9 57L Slv</v>
          </cell>
          <cell r="F722">
            <v>1</v>
          </cell>
          <cell r="G722">
            <v>0</v>
          </cell>
          <cell r="I722" t="str">
            <v>IH143</v>
          </cell>
          <cell r="L722">
            <v>25.6</v>
          </cell>
          <cell r="M722">
            <v>0.58099999999999996</v>
          </cell>
          <cell r="N722" t="str">
            <v>5W</v>
          </cell>
          <cell r="P722" t="str">
            <v>PONFEB</v>
          </cell>
          <cell r="Q722" t="str">
            <v>/  /</v>
          </cell>
        </row>
        <row r="723">
          <cell r="A723">
            <v>4634150</v>
          </cell>
          <cell r="B723">
            <v>44218</v>
          </cell>
          <cell r="C723" t="str">
            <v>PON</v>
          </cell>
          <cell r="D723">
            <v>637518153</v>
          </cell>
          <cell r="E723" t="str">
            <v>F20 JAM2 6.7 NINE 49XL BLUE BH</v>
          </cell>
          <cell r="F723">
            <v>1</v>
          </cell>
          <cell r="G723">
            <v>0</v>
          </cell>
          <cell r="I723" t="str">
            <v>IH144</v>
          </cell>
          <cell r="L723">
            <v>33.1</v>
          </cell>
          <cell r="M723">
            <v>0.57599999999999996</v>
          </cell>
          <cell r="N723" t="str">
            <v>5W</v>
          </cell>
          <cell r="P723" t="str">
            <v>PONFCS</v>
          </cell>
          <cell r="Q723" t="str">
            <v>/  /</v>
          </cell>
        </row>
        <row r="724">
          <cell r="A724">
            <v>4634151</v>
          </cell>
          <cell r="B724">
            <v>44218</v>
          </cell>
          <cell r="C724" t="str">
            <v>PON</v>
          </cell>
          <cell r="D724">
            <v>637518153</v>
          </cell>
          <cell r="E724" t="str">
            <v>F20 JAM2 6.7 NINE 49XL BLUE BH</v>
          </cell>
          <cell r="F724">
            <v>1</v>
          </cell>
          <cell r="G724">
            <v>0</v>
          </cell>
          <cell r="I724" t="str">
            <v>IH144</v>
          </cell>
          <cell r="L724">
            <v>33.1</v>
          </cell>
          <cell r="M724">
            <v>0.57599999999999996</v>
          </cell>
          <cell r="N724" t="str">
            <v>5W</v>
          </cell>
          <cell r="P724" t="str">
            <v>PONFCS</v>
          </cell>
          <cell r="Q724" t="str">
            <v>/  /</v>
          </cell>
        </row>
        <row r="725">
          <cell r="A725">
            <v>4634152</v>
          </cell>
          <cell r="B725">
            <v>44218</v>
          </cell>
          <cell r="C725" t="str">
            <v>PON</v>
          </cell>
          <cell r="D725">
            <v>637518153</v>
          </cell>
          <cell r="E725" t="str">
            <v>F20 JAM2 6.7 NINE 49XL BLUE BH</v>
          </cell>
          <cell r="F725">
            <v>1</v>
          </cell>
          <cell r="G725">
            <v>0</v>
          </cell>
          <cell r="I725" t="str">
            <v>IH144</v>
          </cell>
          <cell r="L725">
            <v>33.1</v>
          </cell>
          <cell r="M725">
            <v>0.57599999999999996</v>
          </cell>
          <cell r="N725" t="str">
            <v>5W</v>
          </cell>
          <cell r="P725" t="str">
            <v>PONFCS</v>
          </cell>
          <cell r="Q725" t="str">
            <v>/  /</v>
          </cell>
        </row>
        <row r="726">
          <cell r="A726">
            <v>4634153</v>
          </cell>
          <cell r="B726">
            <v>44218</v>
          </cell>
          <cell r="C726" t="str">
            <v>PON</v>
          </cell>
          <cell r="D726">
            <v>637518153</v>
          </cell>
          <cell r="E726" t="str">
            <v>F20 JAM2 6.7 NINE 49XL BLUE BH</v>
          </cell>
          <cell r="F726">
            <v>1</v>
          </cell>
          <cell r="G726">
            <v>0</v>
          </cell>
          <cell r="I726" t="str">
            <v>IH144</v>
          </cell>
          <cell r="L726">
            <v>33.1</v>
          </cell>
          <cell r="M726">
            <v>0.57599999999999996</v>
          </cell>
          <cell r="N726" t="str">
            <v>5W</v>
          </cell>
          <cell r="P726" t="str">
            <v>PONFCS</v>
          </cell>
          <cell r="Q726" t="str">
            <v>/  /</v>
          </cell>
        </row>
        <row r="727">
          <cell r="A727">
            <v>4634176</v>
          </cell>
          <cell r="B727">
            <v>44218</v>
          </cell>
          <cell r="C727" t="str">
            <v>PON</v>
          </cell>
          <cell r="D727">
            <v>637526056</v>
          </cell>
          <cell r="E727" t="str">
            <v>K21 Endeavour 1.B Move 400 L55</v>
          </cell>
          <cell r="F727">
            <v>1</v>
          </cell>
          <cell r="G727">
            <v>0</v>
          </cell>
          <cell r="I727" t="str">
            <v>IH144</v>
          </cell>
          <cell r="L727">
            <v>30.5</v>
          </cell>
          <cell r="M727">
            <v>0.57299999999999995</v>
          </cell>
          <cell r="N727" t="str">
            <v>5W</v>
          </cell>
          <cell r="P727" t="str">
            <v>PONFCS</v>
          </cell>
          <cell r="Q727" t="str">
            <v>/  /</v>
          </cell>
        </row>
        <row r="728">
          <cell r="A728">
            <v>4458826</v>
          </cell>
          <cell r="B728">
            <v>44112</v>
          </cell>
          <cell r="C728" t="str">
            <v>PON</v>
          </cell>
          <cell r="D728">
            <v>637006024</v>
          </cell>
          <cell r="E728" t="str">
            <v>F20 IZ Max Disc 9.7 AXS 56 L</v>
          </cell>
          <cell r="F728">
            <v>1</v>
          </cell>
          <cell r="G728">
            <v>0</v>
          </cell>
          <cell r="I728" t="str">
            <v>IH152</v>
          </cell>
          <cell r="L728">
            <v>13.6</v>
          </cell>
          <cell r="M728">
            <v>0.221</v>
          </cell>
          <cell r="N728" t="str">
            <v>5W</v>
          </cell>
          <cell r="P728" t="str">
            <v>PONFCS</v>
          </cell>
          <cell r="Q728" t="str">
            <v>/  /</v>
          </cell>
        </row>
        <row r="729">
          <cell r="A729">
            <v>4458827</v>
          </cell>
          <cell r="B729">
            <v>44112</v>
          </cell>
          <cell r="C729" t="str">
            <v>PON</v>
          </cell>
          <cell r="D729">
            <v>637006024</v>
          </cell>
          <cell r="E729" t="str">
            <v>F20 IZ Max Disc 9.7 AXS 56 L</v>
          </cell>
          <cell r="F729">
            <v>1</v>
          </cell>
          <cell r="G729">
            <v>0</v>
          </cell>
          <cell r="I729" t="str">
            <v>IH152</v>
          </cell>
          <cell r="L729">
            <v>13.6</v>
          </cell>
          <cell r="M729">
            <v>0.221</v>
          </cell>
          <cell r="N729" t="str">
            <v>5W</v>
          </cell>
          <cell r="P729" t="str">
            <v>PONFCS</v>
          </cell>
          <cell r="Q729" t="str">
            <v>/  /</v>
          </cell>
        </row>
        <row r="730">
          <cell r="A730">
            <v>4458828</v>
          </cell>
          <cell r="B730">
            <v>44112</v>
          </cell>
          <cell r="C730" t="str">
            <v>PON</v>
          </cell>
          <cell r="D730">
            <v>637006024</v>
          </cell>
          <cell r="E730" t="str">
            <v>F20 IZ Max Disc 9.7 AXS 56 L</v>
          </cell>
          <cell r="F730">
            <v>1</v>
          </cell>
          <cell r="G730">
            <v>0</v>
          </cell>
          <cell r="I730" t="str">
            <v>IH152</v>
          </cell>
          <cell r="L730">
            <v>13.6</v>
          </cell>
          <cell r="M730">
            <v>0.221</v>
          </cell>
          <cell r="N730" t="str">
            <v>5W</v>
          </cell>
          <cell r="P730" t="str">
            <v>PONFCS</v>
          </cell>
          <cell r="Q730" t="str">
            <v>/  /</v>
          </cell>
        </row>
        <row r="731">
          <cell r="A731">
            <v>4458829</v>
          </cell>
          <cell r="B731">
            <v>44112</v>
          </cell>
          <cell r="C731" t="str">
            <v>PON</v>
          </cell>
          <cell r="D731">
            <v>637006024</v>
          </cell>
          <cell r="E731" t="str">
            <v>F20 IZ Max Disc 9.7 AXS 56 L</v>
          </cell>
          <cell r="F731">
            <v>1</v>
          </cell>
          <cell r="G731">
            <v>0</v>
          </cell>
          <cell r="I731" t="str">
            <v>IH152</v>
          </cell>
          <cell r="L731">
            <v>13.6</v>
          </cell>
          <cell r="M731">
            <v>0.221</v>
          </cell>
          <cell r="N731" t="str">
            <v>5W</v>
          </cell>
          <cell r="P731" t="str">
            <v>PONFCS</v>
          </cell>
          <cell r="Q731" t="str">
            <v>/  /</v>
          </cell>
        </row>
        <row r="732">
          <cell r="A732">
            <v>4458830</v>
          </cell>
          <cell r="B732">
            <v>44112</v>
          </cell>
          <cell r="C732" t="str">
            <v>PON</v>
          </cell>
          <cell r="D732">
            <v>637006024</v>
          </cell>
          <cell r="E732" t="str">
            <v>F20 IZ Max Disc 9.7 AXS 56 L</v>
          </cell>
          <cell r="F732">
            <v>1</v>
          </cell>
          <cell r="G732">
            <v>0</v>
          </cell>
          <cell r="I732" t="str">
            <v>IH152</v>
          </cell>
          <cell r="L732">
            <v>13.6</v>
          </cell>
          <cell r="M732">
            <v>0.221</v>
          </cell>
          <cell r="N732" t="str">
            <v>5W</v>
          </cell>
          <cell r="P732" t="str">
            <v>PONFCS</v>
          </cell>
          <cell r="Q732" t="str">
            <v>/  /</v>
          </cell>
        </row>
        <row r="733">
          <cell r="A733">
            <v>4086214</v>
          </cell>
          <cell r="B733">
            <v>43795</v>
          </cell>
          <cell r="C733" t="str">
            <v>PON</v>
          </cell>
          <cell r="D733">
            <v>633618541</v>
          </cell>
          <cell r="E733" t="str">
            <v>FC EBikeF19 P/Sqre 6.9 54M Slv</v>
          </cell>
          <cell r="F733">
            <v>1</v>
          </cell>
          <cell r="G733">
            <v>0</v>
          </cell>
          <cell r="I733" t="str">
            <v>IH153</v>
          </cell>
          <cell r="L733">
            <v>25.4</v>
          </cell>
          <cell r="M733">
            <v>0.58099999999999996</v>
          </cell>
          <cell r="N733" t="str">
            <v>5W</v>
          </cell>
          <cell r="P733" t="str">
            <v>PONFEB</v>
          </cell>
          <cell r="Q733" t="str">
            <v>/  /</v>
          </cell>
        </row>
        <row r="734">
          <cell r="A734">
            <v>4087632</v>
          </cell>
          <cell r="B734">
            <v>43795</v>
          </cell>
          <cell r="C734" t="str">
            <v>PON</v>
          </cell>
          <cell r="D734">
            <v>633618541</v>
          </cell>
          <cell r="E734" t="str">
            <v>FC EBikeF19 P/Sqre 6.9 54M Slv</v>
          </cell>
          <cell r="F734">
            <v>1</v>
          </cell>
          <cell r="G734">
            <v>0</v>
          </cell>
          <cell r="I734" t="str">
            <v>IH153</v>
          </cell>
          <cell r="L734">
            <v>25.4</v>
          </cell>
          <cell r="M734">
            <v>0.58099999999999996</v>
          </cell>
          <cell r="N734" t="str">
            <v>5W</v>
          </cell>
          <cell r="P734" t="str">
            <v>PONFEB</v>
          </cell>
          <cell r="Q734" t="str">
            <v>/  /</v>
          </cell>
        </row>
        <row r="735">
          <cell r="A735">
            <v>4089432</v>
          </cell>
          <cell r="B735">
            <v>43795</v>
          </cell>
          <cell r="C735" t="str">
            <v>PON</v>
          </cell>
          <cell r="D735">
            <v>633618541</v>
          </cell>
          <cell r="E735" t="str">
            <v>FC EBikeF19 P/Sqre 6.9 54M Slv</v>
          </cell>
          <cell r="F735">
            <v>1</v>
          </cell>
          <cell r="G735">
            <v>0</v>
          </cell>
          <cell r="I735" t="str">
            <v>IH153</v>
          </cell>
          <cell r="L735">
            <v>25.4</v>
          </cell>
          <cell r="M735">
            <v>0.58099999999999996</v>
          </cell>
          <cell r="N735" t="str">
            <v>5W</v>
          </cell>
          <cell r="P735" t="str">
            <v>PONFEB</v>
          </cell>
          <cell r="Q735" t="str">
            <v>/  /</v>
          </cell>
        </row>
        <row r="736">
          <cell r="A736">
            <v>4634170</v>
          </cell>
          <cell r="B736">
            <v>44218</v>
          </cell>
          <cell r="C736" t="str">
            <v>PON</v>
          </cell>
          <cell r="D736">
            <v>637526051</v>
          </cell>
          <cell r="E736" t="str">
            <v>K21 ENDV 1.B MOVE 400 M 50</v>
          </cell>
          <cell r="F736">
            <v>1</v>
          </cell>
          <cell r="G736">
            <v>0</v>
          </cell>
          <cell r="I736" t="str">
            <v>IH153</v>
          </cell>
          <cell r="L736">
            <v>31.5</v>
          </cell>
          <cell r="M736">
            <v>0.57799999999999996</v>
          </cell>
          <cell r="N736" t="str">
            <v>5W</v>
          </cell>
          <cell r="P736" t="str">
            <v>PONFCS</v>
          </cell>
          <cell r="Q736" t="str">
            <v>/  /</v>
          </cell>
        </row>
        <row r="737">
          <cell r="A737">
            <v>4634171</v>
          </cell>
          <cell r="B737">
            <v>44218</v>
          </cell>
          <cell r="C737" t="str">
            <v>PON</v>
          </cell>
          <cell r="D737">
            <v>637526051</v>
          </cell>
          <cell r="E737" t="str">
            <v>K21 ENDV 1.B MOVE 400 M 50</v>
          </cell>
          <cell r="F737">
            <v>1</v>
          </cell>
          <cell r="G737">
            <v>0</v>
          </cell>
          <cell r="I737" t="str">
            <v>IH153</v>
          </cell>
          <cell r="L737">
            <v>31.5</v>
          </cell>
          <cell r="M737">
            <v>0.57799999999999996</v>
          </cell>
          <cell r="N737" t="str">
            <v>5W</v>
          </cell>
          <cell r="P737" t="str">
            <v>PONFCS</v>
          </cell>
          <cell r="Q737" t="str">
            <v>/  /</v>
          </cell>
        </row>
        <row r="738">
          <cell r="A738">
            <v>3972773</v>
          </cell>
          <cell r="B738">
            <v>43802</v>
          </cell>
          <cell r="C738" t="str">
            <v>PON</v>
          </cell>
          <cell r="D738" t="str">
            <v>A6560</v>
          </cell>
          <cell r="E738" t="str">
            <v>GZ G19 Cityzen T10 HMB M53</v>
          </cell>
          <cell r="F738">
            <v>1</v>
          </cell>
          <cell r="G738">
            <v>0</v>
          </cell>
          <cell r="I738" t="str">
            <v>IH154</v>
          </cell>
          <cell r="L738">
            <v>33</v>
          </cell>
          <cell r="M738">
            <v>0.627</v>
          </cell>
          <cell r="N738" t="str">
            <v>5W</v>
          </cell>
          <cell r="P738" t="str">
            <v>PONGAZ</v>
          </cell>
          <cell r="Q738" t="str">
            <v>/  /</v>
          </cell>
        </row>
        <row r="739">
          <cell r="A739">
            <v>4458822</v>
          </cell>
          <cell r="B739">
            <v>44112</v>
          </cell>
          <cell r="C739" t="str">
            <v>PON</v>
          </cell>
          <cell r="D739">
            <v>637006024</v>
          </cell>
          <cell r="E739" t="str">
            <v>F20 IZ Max Disc 9.7 AXS 56 L</v>
          </cell>
          <cell r="F739">
            <v>1</v>
          </cell>
          <cell r="G739">
            <v>0</v>
          </cell>
          <cell r="I739" t="str">
            <v>IH161</v>
          </cell>
          <cell r="L739">
            <v>13.6</v>
          </cell>
          <cell r="M739">
            <v>0.221</v>
          </cell>
          <cell r="N739" t="str">
            <v>5W</v>
          </cell>
          <cell r="P739" t="str">
            <v>PONFCS</v>
          </cell>
          <cell r="Q739" t="str">
            <v>/  /</v>
          </cell>
        </row>
        <row r="740">
          <cell r="A740">
            <v>4458823</v>
          </cell>
          <cell r="B740">
            <v>44112</v>
          </cell>
          <cell r="C740" t="str">
            <v>PON</v>
          </cell>
          <cell r="D740">
            <v>637006024</v>
          </cell>
          <cell r="E740" t="str">
            <v>F20 IZ Max Disc 9.7 AXS 56 L</v>
          </cell>
          <cell r="F740">
            <v>1</v>
          </cell>
          <cell r="G740">
            <v>0</v>
          </cell>
          <cell r="I740" t="str">
            <v>IH161</v>
          </cell>
          <cell r="L740">
            <v>13.6</v>
          </cell>
          <cell r="M740">
            <v>0.221</v>
          </cell>
          <cell r="N740" t="str">
            <v>5W</v>
          </cell>
          <cell r="P740" t="str">
            <v>PONFCS</v>
          </cell>
          <cell r="Q740" t="str">
            <v>/  /</v>
          </cell>
        </row>
        <row r="741">
          <cell r="A741">
            <v>4458824</v>
          </cell>
          <cell r="B741">
            <v>44112</v>
          </cell>
          <cell r="C741" t="str">
            <v>PON</v>
          </cell>
          <cell r="D741">
            <v>637006024</v>
          </cell>
          <cell r="E741" t="str">
            <v>F20 IZ Max Disc 9.7 AXS 56 L</v>
          </cell>
          <cell r="F741">
            <v>1</v>
          </cell>
          <cell r="G741">
            <v>0</v>
          </cell>
          <cell r="I741" t="str">
            <v>IH161</v>
          </cell>
          <cell r="L741">
            <v>13.6</v>
          </cell>
          <cell r="M741">
            <v>0.221</v>
          </cell>
          <cell r="N741" t="str">
            <v>5W</v>
          </cell>
          <cell r="P741" t="str">
            <v>PONFCS</v>
          </cell>
          <cell r="Q741" t="str">
            <v>/  /</v>
          </cell>
        </row>
        <row r="742">
          <cell r="A742">
            <v>4458831</v>
          </cell>
          <cell r="B742">
            <v>44112</v>
          </cell>
          <cell r="C742" t="str">
            <v>PON</v>
          </cell>
          <cell r="D742">
            <v>637006024</v>
          </cell>
          <cell r="E742" t="str">
            <v>F20 IZ Max Disc 9.7 AXS 56 L</v>
          </cell>
          <cell r="F742">
            <v>1</v>
          </cell>
          <cell r="G742">
            <v>0</v>
          </cell>
          <cell r="I742" t="str">
            <v>IH162</v>
          </cell>
          <cell r="L742">
            <v>13.6</v>
          </cell>
          <cell r="M742">
            <v>0.221</v>
          </cell>
          <cell r="N742" t="str">
            <v>5W</v>
          </cell>
          <cell r="P742" t="str">
            <v>PONFCS</v>
          </cell>
          <cell r="Q742" t="str">
            <v>/  /</v>
          </cell>
        </row>
        <row r="743">
          <cell r="A743">
            <v>4458832</v>
          </cell>
          <cell r="B743">
            <v>44112</v>
          </cell>
          <cell r="C743" t="str">
            <v>PON</v>
          </cell>
          <cell r="D743">
            <v>637006024</v>
          </cell>
          <cell r="E743" t="str">
            <v>F20 IZ Max Disc 9.7 AXS 56 L</v>
          </cell>
          <cell r="F743">
            <v>1</v>
          </cell>
          <cell r="G743">
            <v>0</v>
          </cell>
          <cell r="I743" t="str">
            <v>IH162</v>
          </cell>
          <cell r="L743">
            <v>13.6</v>
          </cell>
          <cell r="M743">
            <v>0.221</v>
          </cell>
          <cell r="N743" t="str">
            <v>5W</v>
          </cell>
          <cell r="P743" t="str">
            <v>PONFCS</v>
          </cell>
          <cell r="Q743" t="str">
            <v>/  /</v>
          </cell>
        </row>
        <row r="744">
          <cell r="A744">
            <v>3962929</v>
          </cell>
          <cell r="B744">
            <v>43795</v>
          </cell>
          <cell r="C744" t="str">
            <v>PON</v>
          </cell>
          <cell r="D744">
            <v>633618541</v>
          </cell>
          <cell r="E744" t="str">
            <v>FC EBikeF19 P/Sqre 6.9 54M Slv</v>
          </cell>
          <cell r="F744">
            <v>1</v>
          </cell>
          <cell r="G744">
            <v>0</v>
          </cell>
          <cell r="I744" t="str">
            <v>IH163</v>
          </cell>
          <cell r="L744">
            <v>25.4</v>
          </cell>
          <cell r="M744">
            <v>0.58099999999999996</v>
          </cell>
          <cell r="N744" t="str">
            <v>5W</v>
          </cell>
          <cell r="P744" t="str">
            <v>PONFEB</v>
          </cell>
          <cell r="Q744" t="str">
            <v>/  /</v>
          </cell>
        </row>
        <row r="745">
          <cell r="A745">
            <v>3962935</v>
          </cell>
          <cell r="B745">
            <v>43795</v>
          </cell>
          <cell r="C745" t="str">
            <v>PON</v>
          </cell>
          <cell r="D745">
            <v>633618542</v>
          </cell>
          <cell r="E745" t="str">
            <v>FC EBikeF19 P/Sqre 6.9 57L Slv</v>
          </cell>
          <cell r="F745">
            <v>1</v>
          </cell>
          <cell r="G745">
            <v>0</v>
          </cell>
          <cell r="I745" t="str">
            <v>IH163</v>
          </cell>
          <cell r="L745">
            <v>25.6</v>
          </cell>
          <cell r="M745">
            <v>0.58099999999999996</v>
          </cell>
          <cell r="N745" t="str">
            <v>5W</v>
          </cell>
          <cell r="P745" t="str">
            <v>PONFEB</v>
          </cell>
          <cell r="Q745" t="str">
            <v>/  /</v>
          </cell>
        </row>
        <row r="746">
          <cell r="A746">
            <v>4086217</v>
          </cell>
          <cell r="B746">
            <v>43795</v>
          </cell>
          <cell r="C746" t="str">
            <v>PON</v>
          </cell>
          <cell r="D746">
            <v>633618542</v>
          </cell>
          <cell r="E746" t="str">
            <v>FC EBikeF19 P/Sqre 6.9 57L Slv</v>
          </cell>
          <cell r="F746">
            <v>1</v>
          </cell>
          <cell r="G746">
            <v>0</v>
          </cell>
          <cell r="I746" t="str">
            <v>IH163</v>
          </cell>
          <cell r="L746">
            <v>25.6</v>
          </cell>
          <cell r="M746">
            <v>0.58099999999999996</v>
          </cell>
          <cell r="N746" t="str">
            <v>5W</v>
          </cell>
          <cell r="P746" t="str">
            <v>PONFEB</v>
          </cell>
          <cell r="Q746" t="str">
            <v>/  /</v>
          </cell>
        </row>
        <row r="747">
          <cell r="A747">
            <v>4087635</v>
          </cell>
          <cell r="B747">
            <v>43795</v>
          </cell>
          <cell r="C747" t="str">
            <v>PON</v>
          </cell>
          <cell r="D747">
            <v>633618542</v>
          </cell>
          <cell r="E747" t="str">
            <v>FC EBikeF19 P/Sqre 6.9 57L Slv</v>
          </cell>
          <cell r="F747">
            <v>1</v>
          </cell>
          <cell r="G747">
            <v>0</v>
          </cell>
          <cell r="I747" t="str">
            <v>IH163</v>
          </cell>
          <cell r="L747">
            <v>25.6</v>
          </cell>
          <cell r="M747">
            <v>0.58099999999999996</v>
          </cell>
          <cell r="N747" t="str">
            <v>5W</v>
          </cell>
          <cell r="P747" t="str">
            <v>PONFEB</v>
          </cell>
          <cell r="Q747" t="str">
            <v>/  /</v>
          </cell>
        </row>
        <row r="748">
          <cell r="A748">
            <v>4089435</v>
          </cell>
          <cell r="B748">
            <v>43795</v>
          </cell>
          <cell r="C748" t="str">
            <v>PON</v>
          </cell>
          <cell r="D748">
            <v>633618542</v>
          </cell>
          <cell r="E748" t="str">
            <v>FC EBikeF19 P/Sqre 6.9 57L Slv</v>
          </cell>
          <cell r="F748">
            <v>1</v>
          </cell>
          <cell r="G748">
            <v>0</v>
          </cell>
          <cell r="I748" t="str">
            <v>IH163</v>
          </cell>
          <cell r="L748">
            <v>25.6</v>
          </cell>
          <cell r="M748">
            <v>0.58099999999999996</v>
          </cell>
          <cell r="N748" t="str">
            <v>5W</v>
          </cell>
          <cell r="P748" t="str">
            <v>PONFEB</v>
          </cell>
          <cell r="Q748" t="str">
            <v>/  /</v>
          </cell>
        </row>
        <row r="749">
          <cell r="A749">
            <v>4086239</v>
          </cell>
          <cell r="B749">
            <v>43852</v>
          </cell>
          <cell r="C749" t="str">
            <v>PON</v>
          </cell>
          <cell r="D749">
            <v>633728521</v>
          </cell>
          <cell r="E749" t="str">
            <v>FC EBF19P/Sqre 9.7 54MB/Anthr</v>
          </cell>
          <cell r="F749">
            <v>1</v>
          </cell>
          <cell r="G749">
            <v>0</v>
          </cell>
          <cell r="I749" t="str">
            <v>IH164</v>
          </cell>
          <cell r="L749">
            <v>23.4</v>
          </cell>
          <cell r="M749">
            <v>0.53200000000000003</v>
          </cell>
          <cell r="N749" t="str">
            <v>5W</v>
          </cell>
          <cell r="P749" t="str">
            <v>PONFEB</v>
          </cell>
          <cell r="Q749" t="str">
            <v>/  /</v>
          </cell>
        </row>
        <row r="750">
          <cell r="A750">
            <v>4087677</v>
          </cell>
          <cell r="B750">
            <v>43852</v>
          </cell>
          <cell r="C750" t="str">
            <v>PON</v>
          </cell>
          <cell r="D750">
            <v>633728521</v>
          </cell>
          <cell r="E750" t="str">
            <v>FC EBF19P/Sqre 9.7 54MB/Anthr</v>
          </cell>
          <cell r="F750">
            <v>1</v>
          </cell>
          <cell r="G750">
            <v>0</v>
          </cell>
          <cell r="I750" t="str">
            <v>IH164</v>
          </cell>
          <cell r="L750">
            <v>23.4</v>
          </cell>
          <cell r="M750">
            <v>0.53200000000000003</v>
          </cell>
          <cell r="N750" t="str">
            <v>5W</v>
          </cell>
          <cell r="P750" t="str">
            <v>PONFEB</v>
          </cell>
          <cell r="Q750" t="str">
            <v>/  /</v>
          </cell>
        </row>
        <row r="751">
          <cell r="A751">
            <v>4089477</v>
          </cell>
          <cell r="B751">
            <v>43852</v>
          </cell>
          <cell r="C751" t="str">
            <v>PON</v>
          </cell>
          <cell r="D751">
            <v>633728521</v>
          </cell>
          <cell r="E751" t="str">
            <v>FC EBF19P/Sqre 9.7 54MB/Anthr</v>
          </cell>
          <cell r="F751">
            <v>1</v>
          </cell>
          <cell r="G751">
            <v>0</v>
          </cell>
          <cell r="I751" t="str">
            <v>IH164</v>
          </cell>
          <cell r="L751">
            <v>23.4</v>
          </cell>
          <cell r="M751">
            <v>0.53200000000000003</v>
          </cell>
          <cell r="N751" t="str">
            <v>5W</v>
          </cell>
          <cell r="P751" t="str">
            <v>PONFEB</v>
          </cell>
          <cell r="Q751" t="str">
            <v>/  /</v>
          </cell>
        </row>
        <row r="752">
          <cell r="A752">
            <v>3952971</v>
          </cell>
          <cell r="B752">
            <v>43790</v>
          </cell>
          <cell r="C752" t="str">
            <v>PON</v>
          </cell>
          <cell r="D752">
            <v>628078191</v>
          </cell>
          <cell r="E752" t="str">
            <v>C18 R5 DA 9100 51 SM</v>
          </cell>
          <cell r="F752">
            <v>1</v>
          </cell>
          <cell r="G752">
            <v>0</v>
          </cell>
          <cell r="I752" t="str">
            <v>II011</v>
          </cell>
          <cell r="L752">
            <v>11.6</v>
          </cell>
          <cell r="M752">
            <v>0.20200000000000001</v>
          </cell>
          <cell r="N752" t="str">
            <v>5W</v>
          </cell>
          <cell r="P752" t="str">
            <v>PONCVL</v>
          </cell>
          <cell r="Q752" t="str">
            <v>/  /</v>
          </cell>
        </row>
        <row r="753">
          <cell r="A753">
            <v>4081124</v>
          </cell>
          <cell r="B753">
            <v>43790</v>
          </cell>
          <cell r="C753" t="str">
            <v>PON</v>
          </cell>
          <cell r="D753">
            <v>628078191</v>
          </cell>
          <cell r="E753" t="str">
            <v>C18 R5 DA 9100 51 SM</v>
          </cell>
          <cell r="F753">
            <v>1</v>
          </cell>
          <cell r="G753">
            <v>0</v>
          </cell>
          <cell r="I753" t="str">
            <v>II011</v>
          </cell>
          <cell r="L753">
            <v>11.6</v>
          </cell>
          <cell r="M753">
            <v>0.20200000000000001</v>
          </cell>
          <cell r="N753" t="str">
            <v>5W</v>
          </cell>
          <cell r="P753" t="str">
            <v>PONCVL</v>
          </cell>
          <cell r="Q753" t="str">
            <v>/  /</v>
          </cell>
        </row>
        <row r="754">
          <cell r="A754">
            <v>4468833</v>
          </cell>
          <cell r="B754">
            <v>44120</v>
          </cell>
          <cell r="C754" t="str">
            <v>PON</v>
          </cell>
          <cell r="D754">
            <v>641078176</v>
          </cell>
          <cell r="E754" t="str">
            <v>C21 P/Srs Ult Di2 Carbon/Blk51</v>
          </cell>
          <cell r="F754">
            <v>1</v>
          </cell>
          <cell r="G754">
            <v>0</v>
          </cell>
          <cell r="I754" t="str">
            <v>II011</v>
          </cell>
          <cell r="L754">
            <v>15</v>
          </cell>
          <cell r="M754">
            <v>0.24399999999999999</v>
          </cell>
          <cell r="N754" t="str">
            <v>5W</v>
          </cell>
          <cell r="P754" t="str">
            <v>PONCVL</v>
          </cell>
          <cell r="Q754" t="str">
            <v>/  /</v>
          </cell>
        </row>
        <row r="755">
          <cell r="A755">
            <v>4301085</v>
          </cell>
          <cell r="B755">
            <v>44018</v>
          </cell>
          <cell r="C755" t="str">
            <v>PON</v>
          </cell>
          <cell r="D755" t="str">
            <v>SNP5P12L10060</v>
          </cell>
          <cell r="E755" t="str">
            <v>C13 P5 six FS 56 Special Color</v>
          </cell>
          <cell r="F755">
            <v>1</v>
          </cell>
          <cell r="G755">
            <v>0</v>
          </cell>
          <cell r="I755" t="str">
            <v>II011</v>
          </cell>
          <cell r="L755">
            <v>10</v>
          </cell>
          <cell r="M755">
            <v>0.218</v>
          </cell>
          <cell r="N755" t="str">
            <v>5W</v>
          </cell>
          <cell r="P755" t="str">
            <v>PONCVL</v>
          </cell>
          <cell r="Q755" t="str">
            <v>/  /</v>
          </cell>
        </row>
        <row r="756">
          <cell r="A756">
            <v>4634154</v>
          </cell>
          <cell r="B756">
            <v>44218</v>
          </cell>
          <cell r="C756" t="str">
            <v>PON</v>
          </cell>
          <cell r="D756">
            <v>637518153</v>
          </cell>
          <cell r="E756" t="str">
            <v>F20 JAM2 6.7 NINE 49XL BLUE BH</v>
          </cell>
          <cell r="F756">
            <v>1</v>
          </cell>
          <cell r="G756">
            <v>0</v>
          </cell>
          <cell r="I756" t="str">
            <v>II013</v>
          </cell>
          <cell r="L756">
            <v>33.1</v>
          </cell>
          <cell r="M756">
            <v>0.57599999999999996</v>
          </cell>
          <cell r="N756" t="str">
            <v>5W</v>
          </cell>
          <cell r="P756" t="str">
            <v>PONFCS</v>
          </cell>
          <cell r="Q756" t="str">
            <v>/  /</v>
          </cell>
        </row>
        <row r="757">
          <cell r="A757">
            <v>4634155</v>
          </cell>
          <cell r="B757">
            <v>44218</v>
          </cell>
          <cell r="C757" t="str">
            <v>PON</v>
          </cell>
          <cell r="D757">
            <v>637518153</v>
          </cell>
          <cell r="E757" t="str">
            <v>F20 JAM2 6.7 NINE 49XL BLUE BH</v>
          </cell>
          <cell r="F757">
            <v>1</v>
          </cell>
          <cell r="G757">
            <v>0</v>
          </cell>
          <cell r="I757" t="str">
            <v>II013</v>
          </cell>
          <cell r="L757">
            <v>33.1</v>
          </cell>
          <cell r="M757">
            <v>0.57599999999999996</v>
          </cell>
          <cell r="N757" t="str">
            <v>5W</v>
          </cell>
          <cell r="P757" t="str">
            <v>PONFCS</v>
          </cell>
          <cell r="Q757" t="str">
            <v>/  /</v>
          </cell>
        </row>
        <row r="758">
          <cell r="A758">
            <v>4634156</v>
          </cell>
          <cell r="B758">
            <v>44218</v>
          </cell>
          <cell r="C758" t="str">
            <v>PON</v>
          </cell>
          <cell r="D758">
            <v>637518153</v>
          </cell>
          <cell r="E758" t="str">
            <v>F20 JAM2 6.7 NINE 49XL BLUE BH</v>
          </cell>
          <cell r="F758">
            <v>1</v>
          </cell>
          <cell r="G758">
            <v>0</v>
          </cell>
          <cell r="I758" t="str">
            <v>II013</v>
          </cell>
          <cell r="L758">
            <v>33.1</v>
          </cell>
          <cell r="M758">
            <v>0.57599999999999996</v>
          </cell>
          <cell r="N758" t="str">
            <v>5W</v>
          </cell>
          <cell r="P758" t="str">
            <v>PONFCS</v>
          </cell>
          <cell r="Q758" t="str">
            <v>/  /</v>
          </cell>
        </row>
        <row r="759">
          <cell r="A759">
            <v>4634181</v>
          </cell>
          <cell r="B759">
            <v>44218</v>
          </cell>
          <cell r="C759" t="str">
            <v>PON</v>
          </cell>
          <cell r="D759">
            <v>637526068</v>
          </cell>
          <cell r="E759" t="str">
            <v>K21 Endv 1.B Move 400 L Grey</v>
          </cell>
          <cell r="F759">
            <v>1</v>
          </cell>
          <cell r="G759">
            <v>0</v>
          </cell>
          <cell r="I759" t="str">
            <v>II013</v>
          </cell>
          <cell r="L759">
            <v>36</v>
          </cell>
          <cell r="M759">
            <v>0.58399999999999996</v>
          </cell>
          <cell r="N759" t="str">
            <v>5W</v>
          </cell>
          <cell r="P759" t="str">
            <v>PONFCS</v>
          </cell>
          <cell r="Q759" t="str">
            <v>/  /</v>
          </cell>
        </row>
        <row r="760">
          <cell r="A760">
            <v>4634309</v>
          </cell>
          <cell r="B760">
            <v>44218</v>
          </cell>
          <cell r="C760" t="str">
            <v>PON</v>
          </cell>
          <cell r="D760">
            <v>637527052</v>
          </cell>
          <cell r="E760" t="str">
            <v>K21 Endv 1.B Move 500 L DI</v>
          </cell>
          <cell r="F760">
            <v>1</v>
          </cell>
          <cell r="G760">
            <v>0</v>
          </cell>
          <cell r="I760" t="str">
            <v>II013</v>
          </cell>
          <cell r="L760">
            <v>32</v>
          </cell>
          <cell r="M760">
            <v>0.57299999999999995</v>
          </cell>
          <cell r="N760" t="str">
            <v>5W</v>
          </cell>
          <cell r="P760" t="str">
            <v>PONFCS</v>
          </cell>
          <cell r="Q760" t="str">
            <v>/  /</v>
          </cell>
        </row>
        <row r="761">
          <cell r="A761">
            <v>4569829</v>
          </cell>
          <cell r="B761">
            <v>44169</v>
          </cell>
          <cell r="C761" t="str">
            <v>PON</v>
          </cell>
          <cell r="D761">
            <v>637526050</v>
          </cell>
          <cell r="E761" t="str">
            <v>K21 ENDV 1.B MOVE 400 S 45</v>
          </cell>
          <cell r="F761">
            <v>1</v>
          </cell>
          <cell r="G761">
            <v>0</v>
          </cell>
          <cell r="I761" t="str">
            <v>II023</v>
          </cell>
          <cell r="L761">
            <v>31.2</v>
          </cell>
          <cell r="M761">
            <v>0.57799999999999996</v>
          </cell>
          <cell r="N761" t="str">
            <v>5W</v>
          </cell>
          <cell r="P761" t="str">
            <v>PONFCS</v>
          </cell>
          <cell r="Q761" t="str">
            <v>/  /</v>
          </cell>
        </row>
        <row r="762">
          <cell r="A762">
            <v>4634343</v>
          </cell>
          <cell r="B762">
            <v>44218</v>
          </cell>
          <cell r="C762" t="str">
            <v>PON</v>
          </cell>
          <cell r="D762">
            <v>641528405</v>
          </cell>
          <cell r="E762" t="str">
            <v>K21 Image 5.B Excite Wa S43</v>
          </cell>
          <cell r="F762">
            <v>1</v>
          </cell>
          <cell r="G762">
            <v>0</v>
          </cell>
          <cell r="I762" t="str">
            <v>II024</v>
          </cell>
          <cell r="L762">
            <v>37</v>
          </cell>
          <cell r="M762">
            <v>0.57299999999999995</v>
          </cell>
          <cell r="N762" t="str">
            <v>5W</v>
          </cell>
          <cell r="P762" t="str">
            <v>PONFCS</v>
          </cell>
          <cell r="Q762" t="str">
            <v>/  /</v>
          </cell>
        </row>
        <row r="763">
          <cell r="A763">
            <v>4634344</v>
          </cell>
          <cell r="B763">
            <v>44218</v>
          </cell>
          <cell r="C763" t="str">
            <v>PON</v>
          </cell>
          <cell r="D763">
            <v>641528405</v>
          </cell>
          <cell r="E763" t="str">
            <v>K21 Image 5.B Excite Wa S43</v>
          </cell>
          <cell r="F763">
            <v>1</v>
          </cell>
          <cell r="G763">
            <v>0</v>
          </cell>
          <cell r="I763" t="str">
            <v>II024</v>
          </cell>
          <cell r="L763">
            <v>37</v>
          </cell>
          <cell r="M763">
            <v>0.57299999999999995</v>
          </cell>
          <cell r="N763" t="str">
            <v>5W</v>
          </cell>
          <cell r="P763" t="str">
            <v>PONFCS</v>
          </cell>
          <cell r="Q763" t="str">
            <v>/  /</v>
          </cell>
        </row>
        <row r="764">
          <cell r="A764">
            <v>4634345</v>
          </cell>
          <cell r="B764">
            <v>44218</v>
          </cell>
          <cell r="C764" t="str">
            <v>PON</v>
          </cell>
          <cell r="D764">
            <v>641528405</v>
          </cell>
          <cell r="E764" t="str">
            <v>K21 Image 5.B Excite Wa S43</v>
          </cell>
          <cell r="F764">
            <v>1</v>
          </cell>
          <cell r="G764">
            <v>0</v>
          </cell>
          <cell r="I764" t="str">
            <v>II024</v>
          </cell>
          <cell r="L764">
            <v>37</v>
          </cell>
          <cell r="M764">
            <v>0.57299999999999995</v>
          </cell>
          <cell r="N764" t="str">
            <v>5W</v>
          </cell>
          <cell r="P764" t="str">
            <v>PONFCS</v>
          </cell>
          <cell r="Q764" t="str">
            <v>/  /</v>
          </cell>
        </row>
        <row r="765">
          <cell r="A765">
            <v>4634346</v>
          </cell>
          <cell r="B765">
            <v>44218</v>
          </cell>
          <cell r="C765" t="str">
            <v>PON</v>
          </cell>
          <cell r="D765">
            <v>641528405</v>
          </cell>
          <cell r="E765" t="str">
            <v>K21 Image 5.B Excite Wa S43</v>
          </cell>
          <cell r="F765">
            <v>1</v>
          </cell>
          <cell r="G765">
            <v>0</v>
          </cell>
          <cell r="I765" t="str">
            <v>II024</v>
          </cell>
          <cell r="L765">
            <v>37</v>
          </cell>
          <cell r="M765">
            <v>0.57299999999999995</v>
          </cell>
          <cell r="N765" t="str">
            <v>5W</v>
          </cell>
          <cell r="P765" t="str">
            <v>PONFCS</v>
          </cell>
          <cell r="Q765" t="str">
            <v>/  /</v>
          </cell>
        </row>
        <row r="766">
          <cell r="A766">
            <v>3937791</v>
          </cell>
          <cell r="B766">
            <v>43782</v>
          </cell>
          <cell r="C766" t="str">
            <v>PON</v>
          </cell>
          <cell r="D766">
            <v>633078040</v>
          </cell>
          <cell r="E766" t="str">
            <v>CV C19R5 DscDA Di2 48CMBlk/Gph</v>
          </cell>
          <cell r="F766">
            <v>1</v>
          </cell>
          <cell r="G766">
            <v>0</v>
          </cell>
          <cell r="I766" t="str">
            <v>II031</v>
          </cell>
          <cell r="L766">
            <v>12.5</v>
          </cell>
          <cell r="M766">
            <v>0.23599999999999999</v>
          </cell>
          <cell r="N766" t="str">
            <v>5W</v>
          </cell>
          <cell r="P766" t="str">
            <v>PONCVL</v>
          </cell>
          <cell r="Q766" t="str">
            <v>/  /</v>
          </cell>
        </row>
        <row r="767">
          <cell r="A767">
            <v>4087537</v>
          </cell>
          <cell r="B767">
            <v>43782</v>
          </cell>
          <cell r="C767" t="str">
            <v>PON</v>
          </cell>
          <cell r="D767">
            <v>633078040</v>
          </cell>
          <cell r="E767" t="str">
            <v>CV C19R5 DscDA Di2 48CMBlk/Gph</v>
          </cell>
          <cell r="F767">
            <v>1</v>
          </cell>
          <cell r="G767">
            <v>0</v>
          </cell>
          <cell r="I767" t="str">
            <v>II031</v>
          </cell>
          <cell r="L767">
            <v>12.5</v>
          </cell>
          <cell r="M767">
            <v>0.23599999999999999</v>
          </cell>
          <cell r="N767" t="str">
            <v>5W</v>
          </cell>
          <cell r="P767" t="str">
            <v>PONCVL</v>
          </cell>
          <cell r="Q767" t="str">
            <v>/  /</v>
          </cell>
        </row>
        <row r="768">
          <cell r="A768">
            <v>4088974</v>
          </cell>
          <cell r="B768">
            <v>43782</v>
          </cell>
          <cell r="C768" t="str">
            <v>PON</v>
          </cell>
          <cell r="D768">
            <v>633078040</v>
          </cell>
          <cell r="E768" t="str">
            <v>CV C19R5 DscDA Di2 48CMBlk/Gph</v>
          </cell>
          <cell r="F768">
            <v>1</v>
          </cell>
          <cell r="G768">
            <v>0</v>
          </cell>
          <cell r="I768" t="str">
            <v>II031</v>
          </cell>
          <cell r="L768">
            <v>12.5</v>
          </cell>
          <cell r="M768">
            <v>0.23599999999999999</v>
          </cell>
          <cell r="N768" t="str">
            <v>5W</v>
          </cell>
          <cell r="P768" t="str">
            <v>PONCVL</v>
          </cell>
          <cell r="Q768" t="str">
            <v>/  /</v>
          </cell>
        </row>
        <row r="769">
          <cell r="A769">
            <v>4644077</v>
          </cell>
          <cell r="B769">
            <v>44225</v>
          </cell>
          <cell r="C769" t="str">
            <v>PON</v>
          </cell>
          <cell r="D769">
            <v>637518108</v>
          </cell>
          <cell r="E769" t="str">
            <v>F20 JAM2 6.8 NINE 49XL BK BSCH</v>
          </cell>
          <cell r="F769">
            <v>1</v>
          </cell>
          <cell r="G769">
            <v>0</v>
          </cell>
          <cell r="I769" t="str">
            <v>II033</v>
          </cell>
          <cell r="L769">
            <v>32.9</v>
          </cell>
          <cell r="M769">
            <v>0.58099999999999996</v>
          </cell>
          <cell r="N769" t="str">
            <v>5W</v>
          </cell>
          <cell r="P769" t="str">
            <v>PONFCS</v>
          </cell>
          <cell r="Q769" t="str">
            <v>/  /</v>
          </cell>
        </row>
        <row r="770">
          <cell r="A770">
            <v>4569824</v>
          </cell>
          <cell r="B770">
            <v>44169</v>
          </cell>
          <cell r="C770" t="str">
            <v>PON</v>
          </cell>
          <cell r="D770">
            <v>637526050</v>
          </cell>
          <cell r="E770" t="str">
            <v>K21 ENDV 1.B MOVE 400 S 45</v>
          </cell>
          <cell r="F770">
            <v>1</v>
          </cell>
          <cell r="G770">
            <v>0</v>
          </cell>
          <cell r="I770" t="str">
            <v>II033</v>
          </cell>
          <cell r="L770">
            <v>31.2</v>
          </cell>
          <cell r="M770">
            <v>0.57799999999999996</v>
          </cell>
          <cell r="N770" t="str">
            <v>5W</v>
          </cell>
          <cell r="P770" t="str">
            <v>PONFCS</v>
          </cell>
          <cell r="Q770" t="str">
            <v>/  /</v>
          </cell>
        </row>
        <row r="771">
          <cell r="A771">
            <v>4570857</v>
          </cell>
          <cell r="B771">
            <v>44169</v>
          </cell>
          <cell r="C771" t="str">
            <v>PON</v>
          </cell>
          <cell r="D771">
            <v>637526056</v>
          </cell>
          <cell r="E771" t="str">
            <v>K21 Endeavour 1.B Move 400 L55</v>
          </cell>
          <cell r="F771">
            <v>1</v>
          </cell>
          <cell r="G771">
            <v>0</v>
          </cell>
          <cell r="I771" t="str">
            <v>II033</v>
          </cell>
          <cell r="L771">
            <v>30.5</v>
          </cell>
          <cell r="M771">
            <v>0.57299999999999995</v>
          </cell>
          <cell r="N771" t="str">
            <v>5W</v>
          </cell>
          <cell r="P771" t="str">
            <v>PONFCS</v>
          </cell>
          <cell r="Q771" t="str">
            <v>/  /</v>
          </cell>
        </row>
        <row r="772">
          <cell r="A772">
            <v>4569851</v>
          </cell>
          <cell r="B772">
            <v>44169</v>
          </cell>
          <cell r="C772" t="str">
            <v>PON</v>
          </cell>
          <cell r="D772">
            <v>637527068</v>
          </cell>
          <cell r="E772" t="str">
            <v>K21 End 1.B Move 500L Grey</v>
          </cell>
          <cell r="F772">
            <v>1</v>
          </cell>
          <cell r="G772">
            <v>0</v>
          </cell>
          <cell r="I772" t="str">
            <v>II033</v>
          </cell>
          <cell r="L772">
            <v>32</v>
          </cell>
          <cell r="M772">
            <v>0.54800000000000004</v>
          </cell>
          <cell r="N772" t="str">
            <v>5W</v>
          </cell>
          <cell r="P772" t="str">
            <v>PONFCS</v>
          </cell>
          <cell r="Q772" t="str">
            <v>/  /</v>
          </cell>
        </row>
        <row r="773">
          <cell r="A773">
            <v>4569852</v>
          </cell>
          <cell r="B773">
            <v>44169</v>
          </cell>
          <cell r="C773" t="str">
            <v>PON</v>
          </cell>
          <cell r="D773">
            <v>637527068</v>
          </cell>
          <cell r="E773" t="str">
            <v>K21 End 1.B Move 500L Grey</v>
          </cell>
          <cell r="F773">
            <v>1</v>
          </cell>
          <cell r="G773">
            <v>0</v>
          </cell>
          <cell r="I773" t="str">
            <v>II033</v>
          </cell>
          <cell r="L773">
            <v>32</v>
          </cell>
          <cell r="M773">
            <v>0.54800000000000004</v>
          </cell>
          <cell r="N773" t="str">
            <v>5W</v>
          </cell>
          <cell r="P773" t="str">
            <v>PONFCS</v>
          </cell>
          <cell r="Q773" t="str">
            <v>/  /</v>
          </cell>
        </row>
        <row r="774">
          <cell r="A774">
            <v>4644093</v>
          </cell>
          <cell r="B774">
            <v>44225</v>
          </cell>
          <cell r="C774" t="str">
            <v>PON</v>
          </cell>
          <cell r="D774">
            <v>637526051</v>
          </cell>
          <cell r="E774" t="str">
            <v>K21 ENDV 1.B MOVE 400 M 50</v>
          </cell>
          <cell r="F774">
            <v>1</v>
          </cell>
          <cell r="G774">
            <v>0</v>
          </cell>
          <cell r="I774" t="str">
            <v>II034</v>
          </cell>
          <cell r="L774">
            <v>31.5</v>
          </cell>
          <cell r="M774">
            <v>0.57799999999999996</v>
          </cell>
          <cell r="N774" t="str">
            <v>5W</v>
          </cell>
          <cell r="P774" t="str">
            <v>PONFCS</v>
          </cell>
          <cell r="Q774" t="str">
            <v>/  /</v>
          </cell>
        </row>
        <row r="775">
          <cell r="A775">
            <v>4644094</v>
          </cell>
          <cell r="B775">
            <v>44225</v>
          </cell>
          <cell r="C775" t="str">
            <v>PON</v>
          </cell>
          <cell r="D775">
            <v>637526051</v>
          </cell>
          <cell r="E775" t="str">
            <v>K21 ENDV 1.B MOVE 400 M 50</v>
          </cell>
          <cell r="F775">
            <v>1</v>
          </cell>
          <cell r="G775">
            <v>0</v>
          </cell>
          <cell r="I775" t="str">
            <v>II034</v>
          </cell>
          <cell r="L775">
            <v>31.5</v>
          </cell>
          <cell r="M775">
            <v>0.57799999999999996</v>
          </cell>
          <cell r="N775" t="str">
            <v>5W</v>
          </cell>
          <cell r="P775" t="str">
            <v>PONFCS</v>
          </cell>
          <cell r="Q775" t="str">
            <v>/  /</v>
          </cell>
        </row>
        <row r="776">
          <cell r="A776">
            <v>4644148</v>
          </cell>
          <cell r="B776">
            <v>44225</v>
          </cell>
          <cell r="C776" t="str">
            <v>PON</v>
          </cell>
          <cell r="D776">
            <v>637527027</v>
          </cell>
          <cell r="E776" t="str">
            <v>K20 Endeavour 3.B Move 45S WA</v>
          </cell>
          <cell r="F776">
            <v>1</v>
          </cell>
          <cell r="G776">
            <v>0</v>
          </cell>
          <cell r="I776" t="str">
            <v>II034</v>
          </cell>
          <cell r="L776">
            <v>33</v>
          </cell>
          <cell r="M776">
            <v>0.53200000000000003</v>
          </cell>
          <cell r="N776" t="str">
            <v>5W</v>
          </cell>
          <cell r="P776" t="str">
            <v>PONFCS</v>
          </cell>
          <cell r="Q776" t="str">
            <v>/  /</v>
          </cell>
        </row>
        <row r="777">
          <cell r="A777">
            <v>4088493</v>
          </cell>
          <cell r="B777">
            <v>43837</v>
          </cell>
          <cell r="C777" t="str">
            <v>PON</v>
          </cell>
          <cell r="D777" t="str">
            <v>A5974</v>
          </cell>
          <cell r="E777" t="str">
            <v>GZ G19 Vento C7 HMB 57 Men Blk</v>
          </cell>
          <cell r="F777">
            <v>1</v>
          </cell>
          <cell r="G777">
            <v>0</v>
          </cell>
          <cell r="I777" t="str">
            <v>II034</v>
          </cell>
          <cell r="L777">
            <v>31.7</v>
          </cell>
          <cell r="M777">
            <v>0.61499999999999999</v>
          </cell>
          <cell r="N777" t="str">
            <v>5W</v>
          </cell>
          <cell r="P777" t="str">
            <v>PONGAZ</v>
          </cell>
          <cell r="Q777" t="str">
            <v>/  /</v>
          </cell>
        </row>
        <row r="778">
          <cell r="A778">
            <v>4374288</v>
          </cell>
          <cell r="B778">
            <v>44061</v>
          </cell>
          <cell r="C778" t="str">
            <v>PON</v>
          </cell>
          <cell r="D778">
            <v>641078016</v>
          </cell>
          <cell r="E778" t="str">
            <v>C21 ASPERO FCE BLACK/GOLD 58</v>
          </cell>
          <cell r="F778">
            <v>1</v>
          </cell>
          <cell r="G778">
            <v>0</v>
          </cell>
          <cell r="I778" t="str">
            <v>II041</v>
          </cell>
          <cell r="L778">
            <v>14.5</v>
          </cell>
          <cell r="M778">
            <v>0.23300000000000001</v>
          </cell>
          <cell r="N778" t="str">
            <v>5W</v>
          </cell>
          <cell r="P778" t="str">
            <v>PONCVL</v>
          </cell>
          <cell r="Q778" t="str">
            <v>/  /</v>
          </cell>
        </row>
        <row r="779">
          <cell r="A779">
            <v>4081265</v>
          </cell>
          <cell r="B779">
            <v>43815</v>
          </cell>
          <cell r="C779" t="str">
            <v>PON</v>
          </cell>
          <cell r="D779">
            <v>633006061</v>
          </cell>
          <cell r="E779" t="str">
            <v>FC F19 IZ Max Disc 8.7 50XSSlv</v>
          </cell>
          <cell r="F779">
            <v>1</v>
          </cell>
          <cell r="G779">
            <v>0</v>
          </cell>
          <cell r="I779" t="str">
            <v>II042</v>
          </cell>
          <cell r="L779">
            <v>13.7</v>
          </cell>
          <cell r="M779">
            <v>0.223</v>
          </cell>
          <cell r="N779" t="str">
            <v>5W</v>
          </cell>
          <cell r="P779" t="str">
            <v>PONFCS</v>
          </cell>
          <cell r="Q779" t="str">
            <v>/  /</v>
          </cell>
        </row>
        <row r="780">
          <cell r="A780">
            <v>4569831</v>
          </cell>
          <cell r="B780">
            <v>44169</v>
          </cell>
          <cell r="C780" t="str">
            <v>PON</v>
          </cell>
          <cell r="D780">
            <v>637526050</v>
          </cell>
          <cell r="E780" t="str">
            <v>K21 ENDV 1.B MOVE 400 S 45</v>
          </cell>
          <cell r="F780">
            <v>1</v>
          </cell>
          <cell r="G780">
            <v>0</v>
          </cell>
          <cell r="I780" t="str">
            <v>II043</v>
          </cell>
          <cell r="L780">
            <v>31.2</v>
          </cell>
          <cell r="M780">
            <v>0.57799999999999996</v>
          </cell>
          <cell r="N780" t="str">
            <v>5W</v>
          </cell>
          <cell r="P780" t="str">
            <v>PONFCS</v>
          </cell>
          <cell r="Q780" t="str">
            <v>/  /</v>
          </cell>
        </row>
        <row r="781">
          <cell r="A781">
            <v>4569832</v>
          </cell>
          <cell r="B781">
            <v>44169</v>
          </cell>
          <cell r="C781" t="str">
            <v>PON</v>
          </cell>
          <cell r="D781">
            <v>637526050</v>
          </cell>
          <cell r="E781" t="str">
            <v>K21 ENDV 1.B MOVE 400 S 45</v>
          </cell>
          <cell r="F781">
            <v>1</v>
          </cell>
          <cell r="G781">
            <v>0</v>
          </cell>
          <cell r="I781" t="str">
            <v>II043</v>
          </cell>
          <cell r="L781">
            <v>31.2</v>
          </cell>
          <cell r="M781">
            <v>0.57799999999999996</v>
          </cell>
          <cell r="N781" t="str">
            <v>5W</v>
          </cell>
          <cell r="P781" t="str">
            <v>PONFCS</v>
          </cell>
          <cell r="Q781" t="str">
            <v>/  /</v>
          </cell>
        </row>
        <row r="782">
          <cell r="A782">
            <v>4569853</v>
          </cell>
          <cell r="B782">
            <v>44169</v>
          </cell>
          <cell r="C782" t="str">
            <v>PON</v>
          </cell>
          <cell r="D782">
            <v>637527068</v>
          </cell>
          <cell r="E782" t="str">
            <v>K21 End 1.B Move 500L Grey</v>
          </cell>
          <cell r="F782">
            <v>1</v>
          </cell>
          <cell r="G782">
            <v>0</v>
          </cell>
          <cell r="I782" t="str">
            <v>II043</v>
          </cell>
          <cell r="L782">
            <v>32</v>
          </cell>
          <cell r="M782">
            <v>0.54800000000000004</v>
          </cell>
          <cell r="N782" t="str">
            <v>5W</v>
          </cell>
          <cell r="P782" t="str">
            <v>PONFCS</v>
          </cell>
          <cell r="Q782" t="str">
            <v>/  /</v>
          </cell>
        </row>
        <row r="783">
          <cell r="A783">
            <v>4644092</v>
          </cell>
          <cell r="B783">
            <v>44225</v>
          </cell>
          <cell r="C783" t="str">
            <v>PON</v>
          </cell>
          <cell r="D783">
            <v>637526051</v>
          </cell>
          <cell r="E783" t="str">
            <v>K21 ENDV 1.B MOVE 400 M 50</v>
          </cell>
          <cell r="F783">
            <v>1</v>
          </cell>
          <cell r="G783">
            <v>0</v>
          </cell>
          <cell r="I783" t="str">
            <v>II044</v>
          </cell>
          <cell r="L783">
            <v>31.5</v>
          </cell>
          <cell r="M783">
            <v>0.57799999999999996</v>
          </cell>
          <cell r="N783" t="str">
            <v>5W</v>
          </cell>
          <cell r="P783" t="str">
            <v>PONFCS</v>
          </cell>
          <cell r="Q783" t="str">
            <v>/  /</v>
          </cell>
        </row>
        <row r="784">
          <cell r="A784">
            <v>4644160</v>
          </cell>
          <cell r="B784">
            <v>44225</v>
          </cell>
          <cell r="C784" t="str">
            <v>PON</v>
          </cell>
          <cell r="D784">
            <v>641526686</v>
          </cell>
          <cell r="E784" t="str">
            <v>K21 Agattu 1.B Move S 45 Co400</v>
          </cell>
          <cell r="F784">
            <v>1</v>
          </cell>
          <cell r="G784">
            <v>0</v>
          </cell>
          <cell r="I784" t="str">
            <v>II044</v>
          </cell>
          <cell r="L784">
            <v>32</v>
          </cell>
          <cell r="M784">
            <v>0.57299999999999995</v>
          </cell>
          <cell r="N784" t="str">
            <v>5W</v>
          </cell>
          <cell r="P784" t="str">
            <v>PONFCS</v>
          </cell>
          <cell r="Q784" t="str">
            <v>/  /</v>
          </cell>
        </row>
        <row r="785">
          <cell r="A785">
            <v>4644161</v>
          </cell>
          <cell r="B785">
            <v>44225</v>
          </cell>
          <cell r="C785" t="str">
            <v>PON</v>
          </cell>
          <cell r="D785">
            <v>641526686</v>
          </cell>
          <cell r="E785" t="str">
            <v>K21 Agattu 1.B Move S 45 Co400</v>
          </cell>
          <cell r="F785">
            <v>1</v>
          </cell>
          <cell r="G785">
            <v>0</v>
          </cell>
          <cell r="I785" t="str">
            <v>II044</v>
          </cell>
          <cell r="L785">
            <v>32</v>
          </cell>
          <cell r="M785">
            <v>0.57299999999999995</v>
          </cell>
          <cell r="N785" t="str">
            <v>5W</v>
          </cell>
          <cell r="P785" t="str">
            <v>PONFCS</v>
          </cell>
          <cell r="Q785" t="str">
            <v>/  /</v>
          </cell>
        </row>
        <row r="786">
          <cell r="A786">
            <v>4644162</v>
          </cell>
          <cell r="B786">
            <v>44225</v>
          </cell>
          <cell r="C786" t="str">
            <v>PON</v>
          </cell>
          <cell r="D786">
            <v>641526686</v>
          </cell>
          <cell r="E786" t="str">
            <v>K21 Agattu 1.B Move S 45 Co400</v>
          </cell>
          <cell r="F786">
            <v>1</v>
          </cell>
          <cell r="G786">
            <v>0</v>
          </cell>
          <cell r="I786" t="str">
            <v>II044</v>
          </cell>
          <cell r="L786">
            <v>32</v>
          </cell>
          <cell r="M786">
            <v>0.57299999999999995</v>
          </cell>
          <cell r="N786" t="str">
            <v>5W</v>
          </cell>
          <cell r="P786" t="str">
            <v>PONFCS</v>
          </cell>
          <cell r="Q786" t="str">
            <v>/  /</v>
          </cell>
        </row>
        <row r="787">
          <cell r="A787">
            <v>4644163</v>
          </cell>
          <cell r="B787">
            <v>44225</v>
          </cell>
          <cell r="C787" t="str">
            <v>PON</v>
          </cell>
          <cell r="D787">
            <v>641526686</v>
          </cell>
          <cell r="E787" t="str">
            <v>K21 Agattu 1.B Move S 45 Co400</v>
          </cell>
          <cell r="F787">
            <v>1</v>
          </cell>
          <cell r="G787">
            <v>0</v>
          </cell>
          <cell r="I787" t="str">
            <v>II044</v>
          </cell>
          <cell r="L787">
            <v>32</v>
          </cell>
          <cell r="M787">
            <v>0.57299999999999995</v>
          </cell>
          <cell r="N787" t="str">
            <v>5W</v>
          </cell>
          <cell r="P787" t="str">
            <v>PONFCS</v>
          </cell>
          <cell r="Q787" t="str">
            <v>/  /</v>
          </cell>
        </row>
        <row r="788">
          <cell r="A788">
            <v>4458957</v>
          </cell>
          <cell r="B788">
            <v>44112</v>
          </cell>
          <cell r="C788" t="str">
            <v>PON</v>
          </cell>
          <cell r="D788">
            <v>641006031</v>
          </cell>
          <cell r="E788" t="str">
            <v>F21 IZ MAX DISC 9.6 50 XS R/RD</v>
          </cell>
          <cell r="F788">
            <v>1</v>
          </cell>
          <cell r="G788">
            <v>0</v>
          </cell>
          <cell r="I788" t="str">
            <v>II052</v>
          </cell>
          <cell r="L788">
            <v>13.1</v>
          </cell>
          <cell r="M788">
            <v>0.214</v>
          </cell>
          <cell r="N788" t="str">
            <v>5W</v>
          </cell>
          <cell r="P788" t="str">
            <v>PONFCS</v>
          </cell>
          <cell r="Q788" t="str">
            <v>/  /</v>
          </cell>
        </row>
        <row r="789">
          <cell r="A789">
            <v>4086220</v>
          </cell>
          <cell r="B789">
            <v>43803</v>
          </cell>
          <cell r="C789" t="str">
            <v>PON</v>
          </cell>
          <cell r="D789">
            <v>633618543</v>
          </cell>
          <cell r="E789" t="str">
            <v>EBikeF19 P/Sqre 6.9 60XL Slv</v>
          </cell>
          <cell r="F789">
            <v>1</v>
          </cell>
          <cell r="G789">
            <v>0</v>
          </cell>
          <cell r="I789" t="str">
            <v>II053</v>
          </cell>
          <cell r="L789">
            <v>25.9</v>
          </cell>
          <cell r="M789">
            <v>0.58399999999999996</v>
          </cell>
          <cell r="N789" t="str">
            <v>5W</v>
          </cell>
          <cell r="P789" t="str">
            <v>PONFEB</v>
          </cell>
          <cell r="Q789" t="str">
            <v>/  /</v>
          </cell>
        </row>
        <row r="790">
          <cell r="A790">
            <v>4087639</v>
          </cell>
          <cell r="B790">
            <v>43803</v>
          </cell>
          <cell r="C790" t="str">
            <v>PON</v>
          </cell>
          <cell r="D790">
            <v>633618543</v>
          </cell>
          <cell r="E790" t="str">
            <v>EBikeF19 P/Sqre 6.9 60XL Slv</v>
          </cell>
          <cell r="F790">
            <v>1</v>
          </cell>
          <cell r="G790">
            <v>0</v>
          </cell>
          <cell r="I790" t="str">
            <v>II053</v>
          </cell>
          <cell r="L790">
            <v>25.9</v>
          </cell>
          <cell r="M790">
            <v>0.58399999999999996</v>
          </cell>
          <cell r="N790" t="str">
            <v>5W</v>
          </cell>
          <cell r="P790" t="str">
            <v>PONFEB</v>
          </cell>
          <cell r="Q790" t="str">
            <v>/  /</v>
          </cell>
        </row>
        <row r="791">
          <cell r="A791">
            <v>4089439</v>
          </cell>
          <cell r="B791">
            <v>43803</v>
          </cell>
          <cell r="C791" t="str">
            <v>PON</v>
          </cell>
          <cell r="D791">
            <v>633618543</v>
          </cell>
          <cell r="E791" t="str">
            <v>EBikeF19 P/Sqre 6.9 60XL Slv</v>
          </cell>
          <cell r="F791">
            <v>1</v>
          </cell>
          <cell r="G791">
            <v>0</v>
          </cell>
          <cell r="I791" t="str">
            <v>II053</v>
          </cell>
          <cell r="L791">
            <v>25.9</v>
          </cell>
          <cell r="M791">
            <v>0.58399999999999996</v>
          </cell>
          <cell r="N791" t="str">
            <v>5W</v>
          </cell>
          <cell r="P791" t="str">
            <v>PONFEB</v>
          </cell>
          <cell r="Q791" t="str">
            <v>/  /</v>
          </cell>
        </row>
        <row r="792">
          <cell r="A792">
            <v>4569861</v>
          </cell>
          <cell r="B792">
            <v>44169</v>
          </cell>
          <cell r="C792" t="str">
            <v>PON</v>
          </cell>
          <cell r="D792">
            <v>637529082</v>
          </cell>
          <cell r="E792" t="str">
            <v>K21 Endeavour 7.B Move L 53 Di</v>
          </cell>
          <cell r="F792">
            <v>1</v>
          </cell>
          <cell r="G792">
            <v>0</v>
          </cell>
          <cell r="I792" t="str">
            <v>II053</v>
          </cell>
          <cell r="L792">
            <v>34.5</v>
          </cell>
          <cell r="M792">
            <v>0.57299999999999995</v>
          </cell>
          <cell r="N792" t="str">
            <v>5W</v>
          </cell>
          <cell r="P792" t="str">
            <v>PONFCS</v>
          </cell>
          <cell r="Q792" t="str">
            <v>/  /</v>
          </cell>
        </row>
        <row r="793">
          <cell r="A793">
            <v>4569862</v>
          </cell>
          <cell r="B793">
            <v>44169</v>
          </cell>
          <cell r="C793" t="str">
            <v>PON</v>
          </cell>
          <cell r="D793">
            <v>637529082</v>
          </cell>
          <cell r="E793" t="str">
            <v>K21 Endeavour 7.B Move L 53 Di</v>
          </cell>
          <cell r="F793">
            <v>1</v>
          </cell>
          <cell r="G793">
            <v>0</v>
          </cell>
          <cell r="I793" t="str">
            <v>II053</v>
          </cell>
          <cell r="L793">
            <v>34.5</v>
          </cell>
          <cell r="M793">
            <v>0.57299999999999995</v>
          </cell>
          <cell r="N793" t="str">
            <v>5W</v>
          </cell>
          <cell r="P793" t="str">
            <v>PONFCS</v>
          </cell>
          <cell r="Q793" t="str">
            <v>/  /</v>
          </cell>
        </row>
        <row r="794">
          <cell r="A794">
            <v>4081532</v>
          </cell>
          <cell r="B794">
            <v>43845</v>
          </cell>
          <cell r="C794" t="str">
            <v>PON</v>
          </cell>
          <cell r="D794">
            <v>633618501</v>
          </cell>
          <cell r="E794" t="str">
            <v>FC F20 Paralane Square 9.9 54M</v>
          </cell>
          <cell r="F794">
            <v>1</v>
          </cell>
          <cell r="G794">
            <v>0</v>
          </cell>
          <cell r="I794" t="str">
            <v>II054</v>
          </cell>
          <cell r="L794">
            <v>22.7</v>
          </cell>
          <cell r="M794">
            <v>0.55500000000000005</v>
          </cell>
          <cell r="N794" t="str">
            <v>5W</v>
          </cell>
          <cell r="P794" t="str">
            <v>PONFCS</v>
          </cell>
          <cell r="Q794" t="str">
            <v>/  /</v>
          </cell>
        </row>
        <row r="795">
          <cell r="A795">
            <v>4634336</v>
          </cell>
          <cell r="B795">
            <v>44218</v>
          </cell>
          <cell r="C795" t="str">
            <v>PON</v>
          </cell>
          <cell r="D795">
            <v>637527067</v>
          </cell>
          <cell r="E795" t="str">
            <v>K21 Endv 1.B Move 500 M Grey</v>
          </cell>
          <cell r="F795">
            <v>1</v>
          </cell>
          <cell r="G795">
            <v>0</v>
          </cell>
          <cell r="I795" t="str">
            <v>II054</v>
          </cell>
          <cell r="L795">
            <v>35</v>
          </cell>
          <cell r="M795">
            <v>0.57299999999999995</v>
          </cell>
          <cell r="N795" t="str">
            <v>5W</v>
          </cell>
          <cell r="P795" t="str">
            <v>PONFCS</v>
          </cell>
          <cell r="Q795" t="str">
            <v>/  /</v>
          </cell>
        </row>
        <row r="796">
          <cell r="A796">
            <v>4634337</v>
          </cell>
          <cell r="B796">
            <v>44218</v>
          </cell>
          <cell r="C796" t="str">
            <v>PON</v>
          </cell>
          <cell r="D796">
            <v>637527067</v>
          </cell>
          <cell r="E796" t="str">
            <v>K21 Endv 1.B Move 500 M Grey</v>
          </cell>
          <cell r="F796">
            <v>1</v>
          </cell>
          <cell r="G796">
            <v>0</v>
          </cell>
          <cell r="I796" t="str">
            <v>II054</v>
          </cell>
          <cell r="L796">
            <v>35</v>
          </cell>
          <cell r="M796">
            <v>0.57299999999999995</v>
          </cell>
          <cell r="N796" t="str">
            <v>5W</v>
          </cell>
          <cell r="P796" t="str">
            <v>PONFCS</v>
          </cell>
          <cell r="Q796" t="str">
            <v>/  /</v>
          </cell>
        </row>
        <row r="797">
          <cell r="A797">
            <v>4634338</v>
          </cell>
          <cell r="B797">
            <v>44218</v>
          </cell>
          <cell r="C797" t="str">
            <v>PON</v>
          </cell>
          <cell r="D797">
            <v>637527067</v>
          </cell>
          <cell r="E797" t="str">
            <v>K21 Endv 1.B Move 500 M Grey</v>
          </cell>
          <cell r="F797">
            <v>1</v>
          </cell>
          <cell r="G797">
            <v>0</v>
          </cell>
          <cell r="I797" t="str">
            <v>II054</v>
          </cell>
          <cell r="L797">
            <v>35</v>
          </cell>
          <cell r="M797">
            <v>0.57299999999999995</v>
          </cell>
          <cell r="N797" t="str">
            <v>5W</v>
          </cell>
          <cell r="P797" t="str">
            <v>PONFCS</v>
          </cell>
          <cell r="Q797" t="str">
            <v>/  /</v>
          </cell>
        </row>
        <row r="798">
          <cell r="A798">
            <v>4634339</v>
          </cell>
          <cell r="B798">
            <v>44218</v>
          </cell>
          <cell r="C798" t="str">
            <v>PON</v>
          </cell>
          <cell r="D798">
            <v>637527067</v>
          </cell>
          <cell r="E798" t="str">
            <v>K21 Endv 1.B Move 500 M Grey</v>
          </cell>
          <cell r="F798">
            <v>1</v>
          </cell>
          <cell r="G798">
            <v>0</v>
          </cell>
          <cell r="I798" t="str">
            <v>II054</v>
          </cell>
          <cell r="L798">
            <v>35</v>
          </cell>
          <cell r="M798">
            <v>0.57299999999999995</v>
          </cell>
          <cell r="N798" t="str">
            <v>5W</v>
          </cell>
          <cell r="P798" t="str">
            <v>PONFCS</v>
          </cell>
          <cell r="Q798" t="str">
            <v>/  /</v>
          </cell>
        </row>
        <row r="799">
          <cell r="A799">
            <v>4458753</v>
          </cell>
          <cell r="B799">
            <v>44112</v>
          </cell>
          <cell r="C799" t="str">
            <v>PON</v>
          </cell>
          <cell r="D799">
            <v>637006016</v>
          </cell>
          <cell r="E799" t="str">
            <v>F21 IZ MAX DISC 9.8 61 XXL</v>
          </cell>
          <cell r="F799">
            <v>1</v>
          </cell>
          <cell r="G799">
            <v>0</v>
          </cell>
          <cell r="I799" t="str">
            <v>II061</v>
          </cell>
          <cell r="L799">
            <v>13.7</v>
          </cell>
          <cell r="M799">
            <v>0.25800000000000001</v>
          </cell>
          <cell r="N799" t="str">
            <v>5W</v>
          </cell>
          <cell r="P799" t="str">
            <v>PONFCS</v>
          </cell>
          <cell r="Q799" t="str">
            <v>/  /</v>
          </cell>
        </row>
        <row r="800">
          <cell r="A800">
            <v>4036393</v>
          </cell>
          <cell r="B800">
            <v>43851</v>
          </cell>
          <cell r="C800" t="str">
            <v>PON</v>
          </cell>
          <cell r="D800">
            <v>614508062</v>
          </cell>
          <cell r="E800" t="str">
            <v>FC F14 FS IZ Team 1.0 52 SMDi2</v>
          </cell>
          <cell r="F800">
            <v>1</v>
          </cell>
          <cell r="G800">
            <v>0</v>
          </cell>
          <cell r="I800" t="str">
            <v>II062</v>
          </cell>
          <cell r="L800">
            <v>5.5</v>
          </cell>
          <cell r="M800">
            <v>0.17199999999999999</v>
          </cell>
          <cell r="N800" t="str">
            <v>5W</v>
          </cell>
          <cell r="P800" t="str">
            <v>PONFCS</v>
          </cell>
          <cell r="Q800" t="str">
            <v>/  /</v>
          </cell>
        </row>
        <row r="801">
          <cell r="A801">
            <v>3953012</v>
          </cell>
          <cell r="B801">
            <v>43790</v>
          </cell>
          <cell r="C801" t="str">
            <v>PON</v>
          </cell>
          <cell r="D801">
            <v>633006364</v>
          </cell>
          <cell r="E801" t="str">
            <v>FC F19 Mares 6.7 58XL BlueMatt</v>
          </cell>
          <cell r="F801">
            <v>1</v>
          </cell>
          <cell r="G801">
            <v>0</v>
          </cell>
          <cell r="I801" t="str">
            <v>II062</v>
          </cell>
          <cell r="L801">
            <v>16.100000000000001</v>
          </cell>
          <cell r="M801">
            <v>0.249</v>
          </cell>
          <cell r="N801" t="str">
            <v>5W</v>
          </cell>
          <cell r="P801" t="str">
            <v>PONFCS</v>
          </cell>
          <cell r="Q801" t="str">
            <v>/  /</v>
          </cell>
        </row>
        <row r="802">
          <cell r="A802">
            <v>4081326</v>
          </cell>
          <cell r="B802">
            <v>43790</v>
          </cell>
          <cell r="C802" t="str">
            <v>PON</v>
          </cell>
          <cell r="D802">
            <v>633006364</v>
          </cell>
          <cell r="E802" t="str">
            <v>FC F19 Mares 6.7 58XL BlueMatt</v>
          </cell>
          <cell r="F802">
            <v>1</v>
          </cell>
          <cell r="G802">
            <v>0</v>
          </cell>
          <cell r="I802" t="str">
            <v>II062</v>
          </cell>
          <cell r="L802">
            <v>16.100000000000001</v>
          </cell>
          <cell r="M802">
            <v>0.249</v>
          </cell>
          <cell r="N802" t="str">
            <v>5W</v>
          </cell>
          <cell r="P802" t="str">
            <v>PONFCS</v>
          </cell>
          <cell r="Q802" t="str">
            <v>/  /</v>
          </cell>
        </row>
        <row r="803">
          <cell r="A803">
            <v>4644078</v>
          </cell>
          <cell r="B803">
            <v>44225</v>
          </cell>
          <cell r="C803" t="str">
            <v>PON</v>
          </cell>
          <cell r="D803">
            <v>637518108</v>
          </cell>
          <cell r="E803" t="str">
            <v>F20 JAM2 6.8 NINE 49XL BK BSCH</v>
          </cell>
          <cell r="F803">
            <v>1</v>
          </cell>
          <cell r="G803">
            <v>0</v>
          </cell>
          <cell r="I803" t="str">
            <v>II063</v>
          </cell>
          <cell r="L803">
            <v>32.9</v>
          </cell>
          <cell r="M803">
            <v>0.58099999999999996</v>
          </cell>
          <cell r="N803" t="str">
            <v>5W</v>
          </cell>
          <cell r="P803" t="str">
            <v>PONFCS</v>
          </cell>
          <cell r="Q803" t="str">
            <v>/  /</v>
          </cell>
        </row>
        <row r="804">
          <cell r="A804">
            <v>4644107</v>
          </cell>
          <cell r="B804">
            <v>44225</v>
          </cell>
          <cell r="C804" t="str">
            <v>PON</v>
          </cell>
          <cell r="D804">
            <v>637526067</v>
          </cell>
          <cell r="E804" t="str">
            <v>K21 Endv 1.B Move M Grey</v>
          </cell>
          <cell r="F804">
            <v>1</v>
          </cell>
          <cell r="G804">
            <v>0</v>
          </cell>
          <cell r="I804" t="str">
            <v>II063</v>
          </cell>
          <cell r="L804">
            <v>32.5</v>
          </cell>
          <cell r="M804">
            <v>0.57299999999999995</v>
          </cell>
          <cell r="N804" t="str">
            <v>5W</v>
          </cell>
          <cell r="P804" t="str">
            <v>PONFCS</v>
          </cell>
          <cell r="Q804" t="str">
            <v>/  /</v>
          </cell>
        </row>
        <row r="805">
          <cell r="A805">
            <v>4644108</v>
          </cell>
          <cell r="B805">
            <v>44225</v>
          </cell>
          <cell r="C805" t="str">
            <v>PON</v>
          </cell>
          <cell r="D805">
            <v>637526067</v>
          </cell>
          <cell r="E805" t="str">
            <v>K21 Endv 1.B Move M Grey</v>
          </cell>
          <cell r="F805">
            <v>1</v>
          </cell>
          <cell r="G805">
            <v>0</v>
          </cell>
          <cell r="I805" t="str">
            <v>II063</v>
          </cell>
          <cell r="L805">
            <v>32.5</v>
          </cell>
          <cell r="M805">
            <v>0.57299999999999995</v>
          </cell>
          <cell r="N805" t="str">
            <v>5W</v>
          </cell>
          <cell r="P805" t="str">
            <v>PONFCS</v>
          </cell>
          <cell r="Q805" t="str">
            <v>/  /</v>
          </cell>
        </row>
        <row r="806">
          <cell r="A806">
            <v>4644109</v>
          </cell>
          <cell r="B806">
            <v>44225</v>
          </cell>
          <cell r="C806" t="str">
            <v>PON</v>
          </cell>
          <cell r="D806">
            <v>637526067</v>
          </cell>
          <cell r="E806" t="str">
            <v>K21 Endv 1.B Move M Grey</v>
          </cell>
          <cell r="F806">
            <v>1</v>
          </cell>
          <cell r="G806">
            <v>0</v>
          </cell>
          <cell r="I806" t="str">
            <v>II063</v>
          </cell>
          <cell r="L806">
            <v>32.5</v>
          </cell>
          <cell r="M806">
            <v>0.57299999999999995</v>
          </cell>
          <cell r="N806" t="str">
            <v>5W</v>
          </cell>
          <cell r="P806" t="str">
            <v>PONFCS</v>
          </cell>
          <cell r="Q806" t="str">
            <v>/  /</v>
          </cell>
        </row>
        <row r="807">
          <cell r="A807">
            <v>4644110</v>
          </cell>
          <cell r="B807">
            <v>44225</v>
          </cell>
          <cell r="C807" t="str">
            <v>PON</v>
          </cell>
          <cell r="D807">
            <v>637526067</v>
          </cell>
          <cell r="E807" t="str">
            <v>K21 Endv 1.B Move M Grey</v>
          </cell>
          <cell r="F807">
            <v>1</v>
          </cell>
          <cell r="G807">
            <v>0</v>
          </cell>
          <cell r="I807" t="str">
            <v>II064</v>
          </cell>
          <cell r="L807">
            <v>32.5</v>
          </cell>
          <cell r="M807">
            <v>0.57299999999999995</v>
          </cell>
          <cell r="N807" t="str">
            <v>5W</v>
          </cell>
          <cell r="P807" t="str">
            <v>PONFCS</v>
          </cell>
          <cell r="Q807" t="str">
            <v>/  /</v>
          </cell>
        </row>
        <row r="808">
          <cell r="A808">
            <v>4644143</v>
          </cell>
          <cell r="B808">
            <v>44225</v>
          </cell>
          <cell r="C808" t="str">
            <v>PON</v>
          </cell>
          <cell r="D808">
            <v>637527021</v>
          </cell>
          <cell r="E808" t="str">
            <v>K20 Endeavour 3.B Move 50M DI</v>
          </cell>
          <cell r="F808">
            <v>1</v>
          </cell>
          <cell r="G808">
            <v>0</v>
          </cell>
          <cell r="I808" t="str">
            <v>II064</v>
          </cell>
          <cell r="L808">
            <v>33.4</v>
          </cell>
          <cell r="M808">
            <v>0.58099999999999996</v>
          </cell>
          <cell r="N808" t="str">
            <v>5W</v>
          </cell>
          <cell r="P808" t="str">
            <v>PONFCS</v>
          </cell>
          <cell r="Q808" t="str">
            <v>/  /</v>
          </cell>
        </row>
        <row r="809">
          <cell r="A809">
            <v>3980628</v>
          </cell>
          <cell r="B809">
            <v>43804</v>
          </cell>
          <cell r="C809" t="str">
            <v>PON</v>
          </cell>
          <cell r="D809" t="str">
            <v>A2948</v>
          </cell>
          <cell r="E809" t="str">
            <v>GZ G17 Orange CX HMB 57 Men</v>
          </cell>
          <cell r="F809">
            <v>1</v>
          </cell>
          <cell r="G809">
            <v>0</v>
          </cell>
          <cell r="I809" t="str">
            <v>II064</v>
          </cell>
          <cell r="L809">
            <v>31</v>
          </cell>
          <cell r="M809">
            <v>0.57599999999999996</v>
          </cell>
          <cell r="N809" t="str">
            <v>5W</v>
          </cell>
          <cell r="P809" t="str">
            <v>PONGAZ</v>
          </cell>
          <cell r="Q809" t="str">
            <v>/  /</v>
          </cell>
        </row>
        <row r="810">
          <cell r="A810">
            <v>4028086</v>
          </cell>
          <cell r="B810">
            <v>43844</v>
          </cell>
          <cell r="C810" t="str">
            <v>PON</v>
          </cell>
          <cell r="D810" t="str">
            <v>A5974</v>
          </cell>
          <cell r="E810" t="str">
            <v>GZ G19 Vento C7 HMB 57 Men Blk</v>
          </cell>
          <cell r="F810">
            <v>1</v>
          </cell>
          <cell r="G810">
            <v>0</v>
          </cell>
          <cell r="I810" t="str">
            <v>II064</v>
          </cell>
          <cell r="L810">
            <v>31.7</v>
          </cell>
          <cell r="M810">
            <v>0.61499999999999999</v>
          </cell>
          <cell r="N810" t="str">
            <v>5W</v>
          </cell>
          <cell r="P810" t="str">
            <v>PONGAZ</v>
          </cell>
          <cell r="Q810" t="str">
            <v>/  /</v>
          </cell>
        </row>
        <row r="811">
          <cell r="A811">
            <v>4458701</v>
          </cell>
          <cell r="B811">
            <v>44112</v>
          </cell>
          <cell r="C811" t="str">
            <v>PON</v>
          </cell>
          <cell r="D811">
            <v>637006010</v>
          </cell>
          <cell r="E811" t="str">
            <v>F21 IZ MAX DISC 9.8 47 XXS</v>
          </cell>
          <cell r="F811">
            <v>1</v>
          </cell>
          <cell r="G811">
            <v>0</v>
          </cell>
          <cell r="I811" t="str">
            <v>II071</v>
          </cell>
          <cell r="L811">
            <v>13.1</v>
          </cell>
          <cell r="M811">
            <v>0.217</v>
          </cell>
          <cell r="N811" t="str">
            <v>5W</v>
          </cell>
          <cell r="P811" t="str">
            <v>PONFCS</v>
          </cell>
          <cell r="Q811" t="str">
            <v>/  /</v>
          </cell>
        </row>
        <row r="812">
          <cell r="A812">
            <v>4458702</v>
          </cell>
          <cell r="B812">
            <v>44112</v>
          </cell>
          <cell r="C812" t="str">
            <v>PON</v>
          </cell>
          <cell r="D812">
            <v>637006010</v>
          </cell>
          <cell r="E812" t="str">
            <v>F21 IZ MAX DISC 9.8 47 XXS</v>
          </cell>
          <cell r="F812">
            <v>1</v>
          </cell>
          <cell r="G812">
            <v>0</v>
          </cell>
          <cell r="I812" t="str">
            <v>II071</v>
          </cell>
          <cell r="L812">
            <v>13.1</v>
          </cell>
          <cell r="M812">
            <v>0.217</v>
          </cell>
          <cell r="N812" t="str">
            <v>5W</v>
          </cell>
          <cell r="P812" t="str">
            <v>PONFCS</v>
          </cell>
          <cell r="Q812" t="str">
            <v>/  /</v>
          </cell>
        </row>
        <row r="813">
          <cell r="A813">
            <v>4458935</v>
          </cell>
          <cell r="B813">
            <v>44112</v>
          </cell>
          <cell r="C813" t="str">
            <v>PON</v>
          </cell>
          <cell r="D813">
            <v>641006004</v>
          </cell>
          <cell r="E813" t="str">
            <v>F21 IZ MAX DISC 9.9 56 L L/GRY</v>
          </cell>
          <cell r="F813">
            <v>1</v>
          </cell>
          <cell r="G813">
            <v>0</v>
          </cell>
          <cell r="I813" t="str">
            <v>II072</v>
          </cell>
          <cell r="L813">
            <v>13.1</v>
          </cell>
          <cell r="M813">
            <v>0.22700000000000001</v>
          </cell>
          <cell r="N813" t="str">
            <v>5W</v>
          </cell>
          <cell r="P813" t="str">
            <v>PONFCS</v>
          </cell>
          <cell r="Q813" t="str">
            <v>/  /</v>
          </cell>
        </row>
        <row r="814">
          <cell r="A814">
            <v>4458936</v>
          </cell>
          <cell r="B814">
            <v>44112</v>
          </cell>
          <cell r="C814" t="str">
            <v>PON</v>
          </cell>
          <cell r="D814">
            <v>641006004</v>
          </cell>
          <cell r="E814" t="str">
            <v>F21 IZ MAX DISC 9.9 56 L L/GRY</v>
          </cell>
          <cell r="F814">
            <v>1</v>
          </cell>
          <cell r="G814">
            <v>0</v>
          </cell>
          <cell r="I814" t="str">
            <v>II072</v>
          </cell>
          <cell r="L814">
            <v>13.1</v>
          </cell>
          <cell r="M814">
            <v>0.22700000000000001</v>
          </cell>
          <cell r="N814" t="str">
            <v>5W</v>
          </cell>
          <cell r="P814" t="str">
            <v>PONFCS</v>
          </cell>
          <cell r="Q814" t="str">
            <v>/  /</v>
          </cell>
        </row>
        <row r="815">
          <cell r="A815">
            <v>4644112</v>
          </cell>
          <cell r="B815">
            <v>44225</v>
          </cell>
          <cell r="C815" t="str">
            <v>PON</v>
          </cell>
          <cell r="D815">
            <v>637526067</v>
          </cell>
          <cell r="E815" t="str">
            <v>K21 Endv 1.B Move M Grey</v>
          </cell>
          <cell r="F815">
            <v>1</v>
          </cell>
          <cell r="G815">
            <v>0</v>
          </cell>
          <cell r="I815" t="str">
            <v>II073</v>
          </cell>
          <cell r="L815">
            <v>32.5</v>
          </cell>
          <cell r="M815">
            <v>0.57299999999999995</v>
          </cell>
          <cell r="N815" t="str">
            <v>5W</v>
          </cell>
          <cell r="P815" t="str">
            <v>PONFCS</v>
          </cell>
          <cell r="Q815" t="str">
            <v>/  /</v>
          </cell>
        </row>
        <row r="816">
          <cell r="A816">
            <v>4644113</v>
          </cell>
          <cell r="B816">
            <v>44225</v>
          </cell>
          <cell r="C816" t="str">
            <v>PON</v>
          </cell>
          <cell r="D816">
            <v>637526067</v>
          </cell>
          <cell r="E816" t="str">
            <v>K21 Endv 1.B Move M Grey</v>
          </cell>
          <cell r="F816">
            <v>1</v>
          </cell>
          <cell r="G816">
            <v>0</v>
          </cell>
          <cell r="I816" t="str">
            <v>II073</v>
          </cell>
          <cell r="L816">
            <v>32.5</v>
          </cell>
          <cell r="M816">
            <v>0.57299999999999995</v>
          </cell>
          <cell r="N816" t="str">
            <v>5W</v>
          </cell>
          <cell r="P816" t="str">
            <v>PONFCS</v>
          </cell>
          <cell r="Q816" t="str">
            <v>/  /</v>
          </cell>
        </row>
        <row r="817">
          <cell r="A817">
            <v>4569864</v>
          </cell>
          <cell r="B817">
            <v>44169</v>
          </cell>
          <cell r="C817" t="str">
            <v>PON</v>
          </cell>
          <cell r="D817">
            <v>637529082</v>
          </cell>
          <cell r="E817" t="str">
            <v>K21 Endeavour 7.B Move L 53 Di</v>
          </cell>
          <cell r="F817">
            <v>1</v>
          </cell>
          <cell r="G817">
            <v>0</v>
          </cell>
          <cell r="I817" t="str">
            <v>II073</v>
          </cell>
          <cell r="L817">
            <v>34.5</v>
          </cell>
          <cell r="M817">
            <v>0.57299999999999995</v>
          </cell>
          <cell r="N817" t="str">
            <v>5W</v>
          </cell>
          <cell r="P817" t="str">
            <v>PONFCS</v>
          </cell>
          <cell r="Q817" t="str">
            <v>/  /</v>
          </cell>
        </row>
        <row r="818">
          <cell r="A818">
            <v>4644111</v>
          </cell>
          <cell r="B818">
            <v>44225</v>
          </cell>
          <cell r="C818" t="str">
            <v>PON</v>
          </cell>
          <cell r="D818">
            <v>637526067</v>
          </cell>
          <cell r="E818" t="str">
            <v>K21 Endv 1.B Move M Grey</v>
          </cell>
          <cell r="F818">
            <v>1</v>
          </cell>
          <cell r="G818">
            <v>0</v>
          </cell>
          <cell r="I818" t="str">
            <v>II074</v>
          </cell>
          <cell r="L818">
            <v>32.5</v>
          </cell>
          <cell r="M818">
            <v>0.57299999999999995</v>
          </cell>
          <cell r="N818" t="str">
            <v>5W</v>
          </cell>
          <cell r="P818" t="str">
            <v>PONFCS</v>
          </cell>
          <cell r="Q818" t="str">
            <v>/  /</v>
          </cell>
        </row>
        <row r="819">
          <cell r="A819">
            <v>4644165</v>
          </cell>
          <cell r="B819">
            <v>44225</v>
          </cell>
          <cell r="C819" t="str">
            <v>PON</v>
          </cell>
          <cell r="D819">
            <v>641526686</v>
          </cell>
          <cell r="E819" t="str">
            <v>K21 Agattu 1.B Move S 45 Co400</v>
          </cell>
          <cell r="F819">
            <v>1</v>
          </cell>
          <cell r="G819">
            <v>0</v>
          </cell>
          <cell r="I819" t="str">
            <v>II074</v>
          </cell>
          <cell r="L819">
            <v>32</v>
          </cell>
          <cell r="M819">
            <v>0.57299999999999995</v>
          </cell>
          <cell r="N819" t="str">
            <v>5W</v>
          </cell>
          <cell r="P819" t="str">
            <v>PONFCS</v>
          </cell>
          <cell r="Q819" t="str">
            <v>/  /</v>
          </cell>
        </row>
        <row r="820">
          <cell r="A820">
            <v>4644166</v>
          </cell>
          <cell r="B820">
            <v>44225</v>
          </cell>
          <cell r="C820" t="str">
            <v>PON</v>
          </cell>
          <cell r="D820">
            <v>641526686</v>
          </cell>
          <cell r="E820" t="str">
            <v>K21 Agattu 1.B Move S 45 Co400</v>
          </cell>
          <cell r="F820">
            <v>1</v>
          </cell>
          <cell r="G820">
            <v>0</v>
          </cell>
          <cell r="I820" t="str">
            <v>II074</v>
          </cell>
          <cell r="L820">
            <v>32</v>
          </cell>
          <cell r="M820">
            <v>0.57299999999999995</v>
          </cell>
          <cell r="N820" t="str">
            <v>5W</v>
          </cell>
          <cell r="P820" t="str">
            <v>PONFCS</v>
          </cell>
          <cell r="Q820" t="str">
            <v>/  /</v>
          </cell>
        </row>
        <row r="821">
          <cell r="A821">
            <v>4644167</v>
          </cell>
          <cell r="B821">
            <v>44225</v>
          </cell>
          <cell r="C821" t="str">
            <v>PON</v>
          </cell>
          <cell r="D821">
            <v>641526686</v>
          </cell>
          <cell r="E821" t="str">
            <v>K21 Agattu 1.B Move S 45 Co400</v>
          </cell>
          <cell r="F821">
            <v>1</v>
          </cell>
          <cell r="G821">
            <v>0</v>
          </cell>
          <cell r="I821" t="str">
            <v>II074</v>
          </cell>
          <cell r="L821">
            <v>32</v>
          </cell>
          <cell r="M821">
            <v>0.57299999999999995</v>
          </cell>
          <cell r="N821" t="str">
            <v>5W</v>
          </cell>
          <cell r="P821" t="str">
            <v>PONFCS</v>
          </cell>
          <cell r="Q821" t="str">
            <v>/  /</v>
          </cell>
        </row>
        <row r="822">
          <cell r="A822">
            <v>4458951</v>
          </cell>
          <cell r="B822">
            <v>44112</v>
          </cell>
          <cell r="C822" t="str">
            <v>PON</v>
          </cell>
          <cell r="D822">
            <v>641006030</v>
          </cell>
          <cell r="E822" t="str">
            <v>F21 IZ MAX DISC 9.6 47 XXS R/R</v>
          </cell>
          <cell r="F822">
            <v>1</v>
          </cell>
          <cell r="G822">
            <v>0</v>
          </cell>
          <cell r="I822" t="str">
            <v>II081</v>
          </cell>
          <cell r="L822">
            <v>13.2</v>
          </cell>
          <cell r="M822">
            <v>0.214</v>
          </cell>
          <cell r="N822" t="str">
            <v>5W</v>
          </cell>
          <cell r="P822" t="str">
            <v>PONFCS</v>
          </cell>
          <cell r="Q822" t="str">
            <v>/  /</v>
          </cell>
        </row>
        <row r="823">
          <cell r="A823">
            <v>4458952</v>
          </cell>
          <cell r="B823">
            <v>44112</v>
          </cell>
          <cell r="C823" t="str">
            <v>PON</v>
          </cell>
          <cell r="D823">
            <v>641006030</v>
          </cell>
          <cell r="E823" t="str">
            <v>F21 IZ MAX DISC 9.6 47 XXS R/R</v>
          </cell>
          <cell r="F823">
            <v>1</v>
          </cell>
          <cell r="G823">
            <v>0</v>
          </cell>
          <cell r="I823" t="str">
            <v>II081</v>
          </cell>
          <cell r="L823">
            <v>13.2</v>
          </cell>
          <cell r="M823">
            <v>0.214</v>
          </cell>
          <cell r="N823" t="str">
            <v>5W</v>
          </cell>
          <cell r="P823" t="str">
            <v>PONFCS</v>
          </cell>
          <cell r="Q823" t="str">
            <v>/  /</v>
          </cell>
        </row>
        <row r="824">
          <cell r="A824">
            <v>4024685</v>
          </cell>
          <cell r="B824">
            <v>43840</v>
          </cell>
          <cell r="C824" t="str">
            <v>PON</v>
          </cell>
          <cell r="D824">
            <v>633618521</v>
          </cell>
          <cell r="E824" t="str">
            <v>FC F20 Para Sqre 9.7 54M Blu</v>
          </cell>
          <cell r="F824">
            <v>1</v>
          </cell>
          <cell r="G824">
            <v>0</v>
          </cell>
          <cell r="I824" t="str">
            <v>II083</v>
          </cell>
          <cell r="L824">
            <v>23.4</v>
          </cell>
          <cell r="M824">
            <v>0.58099999999999996</v>
          </cell>
          <cell r="N824" t="str">
            <v>5W</v>
          </cell>
          <cell r="P824" t="str">
            <v>PONFCS</v>
          </cell>
          <cell r="Q824" t="str">
            <v>/  /</v>
          </cell>
        </row>
        <row r="825">
          <cell r="A825">
            <v>4644101</v>
          </cell>
          <cell r="B825">
            <v>44225</v>
          </cell>
          <cell r="C825" t="str">
            <v>PON</v>
          </cell>
          <cell r="D825">
            <v>637526054</v>
          </cell>
          <cell r="E825" t="str">
            <v>K21 Endeavour 1.B Move 400 S</v>
          </cell>
          <cell r="F825">
            <v>1</v>
          </cell>
          <cell r="G825">
            <v>0</v>
          </cell>
          <cell r="I825" t="str">
            <v>II083</v>
          </cell>
          <cell r="L825">
            <v>31</v>
          </cell>
          <cell r="M825">
            <v>0.57299999999999995</v>
          </cell>
          <cell r="N825" t="str">
            <v>5W</v>
          </cell>
          <cell r="P825" t="str">
            <v>PONFCS</v>
          </cell>
          <cell r="Q825" t="str">
            <v>/  /</v>
          </cell>
        </row>
        <row r="826">
          <cell r="A826">
            <v>4644120</v>
          </cell>
          <cell r="B826">
            <v>44225</v>
          </cell>
          <cell r="C826" t="str">
            <v>PON</v>
          </cell>
          <cell r="D826">
            <v>637526067</v>
          </cell>
          <cell r="E826" t="str">
            <v>K21 Endv 1.B Move M Grey</v>
          </cell>
          <cell r="F826">
            <v>1</v>
          </cell>
          <cell r="G826">
            <v>0</v>
          </cell>
          <cell r="I826" t="str">
            <v>II083</v>
          </cell>
          <cell r="L826">
            <v>32.5</v>
          </cell>
          <cell r="M826">
            <v>0.57299999999999995</v>
          </cell>
          <cell r="N826" t="str">
            <v>5W</v>
          </cell>
          <cell r="P826" t="str">
            <v>PONFCS</v>
          </cell>
          <cell r="Q826" t="str">
            <v>/  /</v>
          </cell>
        </row>
        <row r="827">
          <cell r="A827">
            <v>4644133</v>
          </cell>
          <cell r="B827">
            <v>44225</v>
          </cell>
          <cell r="C827" t="str">
            <v>PON</v>
          </cell>
          <cell r="D827">
            <v>637526787</v>
          </cell>
          <cell r="E827" t="str">
            <v>K20 Endeavour 1.B Move 50M GRY</v>
          </cell>
          <cell r="F827">
            <v>1</v>
          </cell>
          <cell r="G827">
            <v>0</v>
          </cell>
          <cell r="I827" t="str">
            <v>II083</v>
          </cell>
          <cell r="L827">
            <v>32.5</v>
          </cell>
          <cell r="M827">
            <v>0.58399999999999996</v>
          </cell>
          <cell r="N827" t="str">
            <v>5W</v>
          </cell>
          <cell r="P827" t="str">
            <v>PONFCS</v>
          </cell>
          <cell r="Q827" t="str">
            <v>/  /</v>
          </cell>
        </row>
        <row r="828">
          <cell r="A828">
            <v>4032345</v>
          </cell>
          <cell r="B828">
            <v>43847</v>
          </cell>
          <cell r="C828" t="str">
            <v>PON</v>
          </cell>
          <cell r="D828" t="str">
            <v>A2949</v>
          </cell>
          <cell r="E828" t="str">
            <v>GZ G17 Orange CX HMB 61 Men</v>
          </cell>
          <cell r="F828">
            <v>1</v>
          </cell>
          <cell r="G828">
            <v>0</v>
          </cell>
          <cell r="I828" t="str">
            <v>II083</v>
          </cell>
          <cell r="L828">
            <v>33.5</v>
          </cell>
          <cell r="M828">
            <v>0.621</v>
          </cell>
          <cell r="N828" t="str">
            <v>5W</v>
          </cell>
          <cell r="P828" t="str">
            <v>PONGAZ</v>
          </cell>
          <cell r="Q828" t="str">
            <v>/  /</v>
          </cell>
        </row>
        <row r="829">
          <cell r="A829">
            <v>4644164</v>
          </cell>
          <cell r="B829">
            <v>44225</v>
          </cell>
          <cell r="C829" t="str">
            <v>PON</v>
          </cell>
          <cell r="D829">
            <v>641526686</v>
          </cell>
          <cell r="E829" t="str">
            <v>K21 Agattu 1.B Move S 45 Co400</v>
          </cell>
          <cell r="F829">
            <v>1</v>
          </cell>
          <cell r="G829">
            <v>0</v>
          </cell>
          <cell r="I829" t="str">
            <v>II084</v>
          </cell>
          <cell r="L829">
            <v>32</v>
          </cell>
          <cell r="M829">
            <v>0.57299999999999995</v>
          </cell>
          <cell r="N829" t="str">
            <v>5W</v>
          </cell>
          <cell r="P829" t="str">
            <v>PONFCS</v>
          </cell>
          <cell r="Q829" t="str">
            <v>/  /</v>
          </cell>
        </row>
        <row r="830">
          <cell r="A830">
            <v>3993379</v>
          </cell>
          <cell r="B830">
            <v>43810</v>
          </cell>
          <cell r="C830" t="str">
            <v>PON</v>
          </cell>
          <cell r="D830" t="str">
            <v>A3452</v>
          </cell>
          <cell r="E830" t="str">
            <v>GZ G17 Orange C7 HMB 61 Men</v>
          </cell>
          <cell r="F830">
            <v>1</v>
          </cell>
          <cell r="G830">
            <v>0</v>
          </cell>
          <cell r="I830" t="str">
            <v>II084</v>
          </cell>
          <cell r="L830">
            <v>31</v>
          </cell>
          <cell r="M830">
            <v>0.64</v>
          </cell>
          <cell r="N830" t="str">
            <v>5W</v>
          </cell>
          <cell r="P830" t="str">
            <v>PONGAZ</v>
          </cell>
          <cell r="Q830" t="str">
            <v>/  /</v>
          </cell>
        </row>
        <row r="831">
          <cell r="A831">
            <v>3937795</v>
          </cell>
          <cell r="B831">
            <v>43782</v>
          </cell>
          <cell r="C831" t="str">
            <v>PON</v>
          </cell>
          <cell r="D831">
            <v>633078042</v>
          </cell>
          <cell r="E831" t="str">
            <v>CV C19R5 DscDA Di2 54CMBlk/Gph</v>
          </cell>
          <cell r="F831">
            <v>1</v>
          </cell>
          <cell r="G831">
            <v>0</v>
          </cell>
          <cell r="I831" t="str">
            <v>II091</v>
          </cell>
          <cell r="L831">
            <v>12.7</v>
          </cell>
          <cell r="M831">
            <v>0.22500000000000001</v>
          </cell>
          <cell r="N831" t="str">
            <v>5W</v>
          </cell>
          <cell r="P831" t="str">
            <v>PONCVL</v>
          </cell>
          <cell r="Q831" t="str">
            <v>/  /</v>
          </cell>
        </row>
        <row r="832">
          <cell r="A832">
            <v>4081392</v>
          </cell>
          <cell r="B832">
            <v>43782</v>
          </cell>
          <cell r="C832" t="str">
            <v>PON</v>
          </cell>
          <cell r="D832">
            <v>633078042</v>
          </cell>
          <cell r="E832" t="str">
            <v>CV C19R5 DscDA Di2 54CMBlk/Gph</v>
          </cell>
          <cell r="F832">
            <v>1</v>
          </cell>
          <cell r="G832">
            <v>0</v>
          </cell>
          <cell r="I832" t="str">
            <v>II091</v>
          </cell>
          <cell r="L832">
            <v>12.7</v>
          </cell>
          <cell r="M832">
            <v>0.22500000000000001</v>
          </cell>
          <cell r="N832" t="str">
            <v>5W</v>
          </cell>
          <cell r="P832" t="str">
            <v>PONCVL</v>
          </cell>
          <cell r="Q832" t="str">
            <v>/  /</v>
          </cell>
        </row>
        <row r="833">
          <cell r="A833">
            <v>4089756</v>
          </cell>
          <cell r="B833">
            <v>43787</v>
          </cell>
          <cell r="C833" t="str">
            <v>PON</v>
          </cell>
          <cell r="D833">
            <v>637078256</v>
          </cell>
          <cell r="E833" t="str">
            <v>CV C20S5DscUlt Di2 BlkGph/Wh56</v>
          </cell>
          <cell r="F833">
            <v>1</v>
          </cell>
          <cell r="G833">
            <v>0</v>
          </cell>
          <cell r="I833" t="str">
            <v>II091</v>
          </cell>
          <cell r="L833">
            <v>13.8</v>
          </cell>
          <cell r="M833">
            <v>0.23300000000000001</v>
          </cell>
          <cell r="N833" t="str">
            <v>5W</v>
          </cell>
          <cell r="P833" t="str">
            <v>PONCVL</v>
          </cell>
          <cell r="Q833" t="str">
            <v>/  /</v>
          </cell>
        </row>
        <row r="834">
          <cell r="A834">
            <v>3855715</v>
          </cell>
          <cell r="B834">
            <v>43727</v>
          </cell>
          <cell r="C834" t="str">
            <v>PON</v>
          </cell>
          <cell r="D834">
            <v>637078300</v>
          </cell>
          <cell r="E834" t="str">
            <v>CVC20 PXSeries DADi2 LGTealNvy</v>
          </cell>
          <cell r="F834">
            <v>1</v>
          </cell>
          <cell r="G834">
            <v>0</v>
          </cell>
          <cell r="I834" t="str">
            <v>II091</v>
          </cell>
          <cell r="L834">
            <v>16.2</v>
          </cell>
          <cell r="M834">
            <v>0.23300000000000001</v>
          </cell>
          <cell r="N834" t="str">
            <v>5W</v>
          </cell>
          <cell r="P834" t="str">
            <v>PONCVL</v>
          </cell>
          <cell r="Q834" t="str">
            <v>/  /</v>
          </cell>
        </row>
        <row r="835">
          <cell r="A835">
            <v>4459095</v>
          </cell>
          <cell r="B835">
            <v>44112</v>
          </cell>
          <cell r="C835" t="str">
            <v>PON</v>
          </cell>
          <cell r="D835">
            <v>641080013</v>
          </cell>
          <cell r="E835" t="str">
            <v>F21 IZ MAX DISC F/S 54M L/G</v>
          </cell>
          <cell r="F835">
            <v>1</v>
          </cell>
          <cell r="G835">
            <v>0</v>
          </cell>
          <cell r="I835" t="str">
            <v>II092</v>
          </cell>
          <cell r="L835">
            <v>5.9</v>
          </cell>
          <cell r="M835">
            <v>0.14799999999999999</v>
          </cell>
          <cell r="N835" t="str">
            <v>5W</v>
          </cell>
          <cell r="P835" t="str">
            <v>PONFCS</v>
          </cell>
          <cell r="Q835" t="str">
            <v>/  /</v>
          </cell>
        </row>
        <row r="836">
          <cell r="A836">
            <v>4459096</v>
          </cell>
          <cell r="B836">
            <v>44112</v>
          </cell>
          <cell r="C836" t="str">
            <v>PON</v>
          </cell>
          <cell r="D836">
            <v>641080013</v>
          </cell>
          <cell r="E836" t="str">
            <v>F21 IZ MAX DISC F/S 54M L/G</v>
          </cell>
          <cell r="F836">
            <v>1</v>
          </cell>
          <cell r="G836">
            <v>0</v>
          </cell>
          <cell r="I836" t="str">
            <v>II092</v>
          </cell>
          <cell r="L836">
            <v>5.9</v>
          </cell>
          <cell r="M836">
            <v>0.14799999999999999</v>
          </cell>
          <cell r="N836" t="str">
            <v>5W</v>
          </cell>
          <cell r="P836" t="str">
            <v>PONFCS</v>
          </cell>
          <cell r="Q836" t="str">
            <v>/  /</v>
          </cell>
        </row>
        <row r="837">
          <cell r="A837">
            <v>4459097</v>
          </cell>
          <cell r="B837">
            <v>44112</v>
          </cell>
          <cell r="C837" t="str">
            <v>PON</v>
          </cell>
          <cell r="D837">
            <v>641080013</v>
          </cell>
          <cell r="E837" t="str">
            <v>F21 IZ MAX DISC F/S 54M L/G</v>
          </cell>
          <cell r="F837">
            <v>1</v>
          </cell>
          <cell r="G837">
            <v>0</v>
          </cell>
          <cell r="I837" t="str">
            <v>II092</v>
          </cell>
          <cell r="L837">
            <v>5.9</v>
          </cell>
          <cell r="M837">
            <v>0.14799999999999999</v>
          </cell>
          <cell r="N837" t="str">
            <v>5W</v>
          </cell>
          <cell r="P837" t="str">
            <v>PONFCS</v>
          </cell>
          <cell r="Q837" t="str">
            <v>/  /</v>
          </cell>
        </row>
        <row r="838">
          <cell r="A838">
            <v>4644149</v>
          </cell>
          <cell r="B838">
            <v>44225</v>
          </cell>
          <cell r="C838" t="str">
            <v>PON</v>
          </cell>
          <cell r="D838">
            <v>637527027</v>
          </cell>
          <cell r="E838" t="str">
            <v>K20 Endeavour 3.B Move 45S WA</v>
          </cell>
          <cell r="F838">
            <v>1</v>
          </cell>
          <cell r="G838">
            <v>0</v>
          </cell>
          <cell r="I838" t="str">
            <v>II093</v>
          </cell>
          <cell r="L838">
            <v>33</v>
          </cell>
          <cell r="M838">
            <v>0.53200000000000003</v>
          </cell>
          <cell r="N838" t="str">
            <v>5W</v>
          </cell>
          <cell r="P838" t="str">
            <v>PONFCS</v>
          </cell>
          <cell r="Q838" t="str">
            <v>/  /</v>
          </cell>
        </row>
        <row r="839">
          <cell r="A839">
            <v>4644150</v>
          </cell>
          <cell r="B839">
            <v>44225</v>
          </cell>
          <cell r="C839" t="str">
            <v>PON</v>
          </cell>
          <cell r="D839">
            <v>637527027</v>
          </cell>
          <cell r="E839" t="str">
            <v>K20 Endeavour 3.B Move 45S WA</v>
          </cell>
          <cell r="F839">
            <v>1</v>
          </cell>
          <cell r="G839">
            <v>0</v>
          </cell>
          <cell r="I839" t="str">
            <v>II093</v>
          </cell>
          <cell r="L839">
            <v>33</v>
          </cell>
          <cell r="M839">
            <v>0.53200000000000003</v>
          </cell>
          <cell r="N839" t="str">
            <v>5W</v>
          </cell>
          <cell r="P839" t="str">
            <v>PONFCS</v>
          </cell>
          <cell r="Q839" t="str">
            <v>/  /</v>
          </cell>
        </row>
        <row r="840">
          <cell r="A840">
            <v>4644151</v>
          </cell>
          <cell r="B840">
            <v>44225</v>
          </cell>
          <cell r="C840" t="str">
            <v>PON</v>
          </cell>
          <cell r="D840">
            <v>637527027</v>
          </cell>
          <cell r="E840" t="str">
            <v>K20 Endeavour 3.B Move 45S WA</v>
          </cell>
          <cell r="F840">
            <v>1</v>
          </cell>
          <cell r="G840">
            <v>0</v>
          </cell>
          <cell r="I840" t="str">
            <v>II093</v>
          </cell>
          <cell r="L840">
            <v>33</v>
          </cell>
          <cell r="M840">
            <v>0.53200000000000003</v>
          </cell>
          <cell r="N840" t="str">
            <v>5W</v>
          </cell>
          <cell r="P840" t="str">
            <v>PONFCS</v>
          </cell>
          <cell r="Q840" t="str">
            <v>/  /</v>
          </cell>
        </row>
        <row r="841">
          <cell r="A841">
            <v>4569901</v>
          </cell>
          <cell r="B841">
            <v>44169</v>
          </cell>
          <cell r="C841" t="str">
            <v>PON</v>
          </cell>
          <cell r="D841">
            <v>641527476</v>
          </cell>
          <cell r="E841" t="str">
            <v>K21 Image 3. B Excite R M 50</v>
          </cell>
          <cell r="F841">
            <v>1</v>
          </cell>
          <cell r="G841">
            <v>0</v>
          </cell>
          <cell r="I841" t="str">
            <v>II093</v>
          </cell>
          <cell r="L841">
            <v>35</v>
          </cell>
          <cell r="M841">
            <v>0.57299999999999995</v>
          </cell>
          <cell r="N841" t="str">
            <v>5W</v>
          </cell>
          <cell r="P841" t="str">
            <v>PONFCS</v>
          </cell>
          <cell r="Q841" t="str">
            <v>/  /</v>
          </cell>
        </row>
        <row r="842">
          <cell r="A842">
            <v>4644089</v>
          </cell>
          <cell r="B842">
            <v>44225</v>
          </cell>
          <cell r="C842" t="str">
            <v>PON</v>
          </cell>
          <cell r="D842">
            <v>637526050</v>
          </cell>
          <cell r="E842" t="str">
            <v>K21 ENDV 1.B MOVE 400 S 45</v>
          </cell>
          <cell r="F842">
            <v>1</v>
          </cell>
          <cell r="G842">
            <v>0</v>
          </cell>
          <cell r="I842" t="str">
            <v>II094</v>
          </cell>
          <cell r="L842">
            <v>31.2</v>
          </cell>
          <cell r="M842">
            <v>0.57799999999999996</v>
          </cell>
          <cell r="N842" t="str">
            <v>5W</v>
          </cell>
          <cell r="P842" t="str">
            <v>PONFCS</v>
          </cell>
          <cell r="Q842" t="str">
            <v>/  /</v>
          </cell>
        </row>
        <row r="843">
          <cell r="A843">
            <v>4644157</v>
          </cell>
          <cell r="B843">
            <v>44225</v>
          </cell>
          <cell r="C843" t="str">
            <v>PON</v>
          </cell>
          <cell r="D843">
            <v>637527054</v>
          </cell>
          <cell r="E843" t="str">
            <v>K21 Endeavour 1.B Move 500 S</v>
          </cell>
          <cell r="F843">
            <v>1</v>
          </cell>
          <cell r="G843">
            <v>0</v>
          </cell>
          <cell r="I843" t="str">
            <v>II094</v>
          </cell>
          <cell r="L843">
            <v>31</v>
          </cell>
          <cell r="M843">
            <v>0.57299999999999995</v>
          </cell>
          <cell r="N843" t="str">
            <v>5W</v>
          </cell>
          <cell r="P843" t="str">
            <v>PONFCS</v>
          </cell>
          <cell r="Q843" t="str">
            <v>/  /</v>
          </cell>
        </row>
        <row r="844">
          <cell r="A844">
            <v>4644186</v>
          </cell>
          <cell r="B844">
            <v>44225</v>
          </cell>
          <cell r="C844" t="str">
            <v>PON</v>
          </cell>
          <cell r="D844">
            <v>641526687</v>
          </cell>
          <cell r="E844" t="str">
            <v>K21 Agattu 1.B Move M 50 Co 40</v>
          </cell>
          <cell r="F844">
            <v>1</v>
          </cell>
          <cell r="G844">
            <v>0</v>
          </cell>
          <cell r="I844" t="str">
            <v>II094</v>
          </cell>
          <cell r="L844">
            <v>32</v>
          </cell>
          <cell r="M844">
            <v>0.58399999999999996</v>
          </cell>
          <cell r="N844" t="str">
            <v>5W</v>
          </cell>
          <cell r="P844" t="str">
            <v>PONFCS</v>
          </cell>
          <cell r="Q844" t="str">
            <v>/  /</v>
          </cell>
        </row>
        <row r="845">
          <cell r="A845">
            <v>4644187</v>
          </cell>
          <cell r="B845">
            <v>44225</v>
          </cell>
          <cell r="C845" t="str">
            <v>PON</v>
          </cell>
          <cell r="D845">
            <v>641526687</v>
          </cell>
          <cell r="E845" t="str">
            <v>K21 Agattu 1.B Move M 50 Co 40</v>
          </cell>
          <cell r="F845">
            <v>1</v>
          </cell>
          <cell r="G845">
            <v>0</v>
          </cell>
          <cell r="I845" t="str">
            <v>II094</v>
          </cell>
          <cell r="L845">
            <v>32</v>
          </cell>
          <cell r="M845">
            <v>0.58399999999999996</v>
          </cell>
          <cell r="N845" t="str">
            <v>5W</v>
          </cell>
          <cell r="P845" t="str">
            <v>PONFCS</v>
          </cell>
          <cell r="Q845" t="str">
            <v>/  /</v>
          </cell>
        </row>
        <row r="846">
          <cell r="A846">
            <v>4644188</v>
          </cell>
          <cell r="B846">
            <v>44225</v>
          </cell>
          <cell r="C846" t="str">
            <v>PON</v>
          </cell>
          <cell r="D846">
            <v>641526687</v>
          </cell>
          <cell r="E846" t="str">
            <v>K21 Agattu 1.B Move M 50 Co 40</v>
          </cell>
          <cell r="F846">
            <v>1</v>
          </cell>
          <cell r="G846">
            <v>0</v>
          </cell>
          <cell r="I846" t="str">
            <v>II094</v>
          </cell>
          <cell r="L846">
            <v>32</v>
          </cell>
          <cell r="M846">
            <v>0.58399999999999996</v>
          </cell>
          <cell r="N846" t="str">
            <v>5W</v>
          </cell>
          <cell r="P846" t="str">
            <v>PONFCS</v>
          </cell>
          <cell r="Q846" t="str">
            <v>/  /</v>
          </cell>
        </row>
        <row r="847">
          <cell r="A847">
            <v>4081457</v>
          </cell>
          <cell r="B847">
            <v>43775</v>
          </cell>
          <cell r="C847" t="str">
            <v>PON</v>
          </cell>
          <cell r="D847">
            <v>633078612</v>
          </cell>
          <cell r="E847" t="str">
            <v>CV C19P3X UltDi2LG Rvr/Flu/Blk</v>
          </cell>
          <cell r="F847">
            <v>1</v>
          </cell>
          <cell r="G847">
            <v>0</v>
          </cell>
          <cell r="I847" t="str">
            <v>II101</v>
          </cell>
          <cell r="L847">
            <v>15</v>
          </cell>
          <cell r="M847">
            <v>0.23</v>
          </cell>
          <cell r="N847" t="str">
            <v>5W</v>
          </cell>
          <cell r="P847" t="str">
            <v>PONCVL</v>
          </cell>
          <cell r="Q847" t="str">
            <v>/  /</v>
          </cell>
        </row>
        <row r="848">
          <cell r="A848">
            <v>4459104</v>
          </cell>
          <cell r="B848">
            <v>44112</v>
          </cell>
          <cell r="C848" t="str">
            <v>PON</v>
          </cell>
          <cell r="D848">
            <v>641080013</v>
          </cell>
          <cell r="E848" t="str">
            <v>F21 IZ MAX DISC F/S 54M L/G</v>
          </cell>
          <cell r="F848">
            <v>1</v>
          </cell>
          <cell r="G848">
            <v>0</v>
          </cell>
          <cell r="I848" t="str">
            <v>II102</v>
          </cell>
          <cell r="L848">
            <v>5.9</v>
          </cell>
          <cell r="M848">
            <v>0.14799999999999999</v>
          </cell>
          <cell r="N848" t="str">
            <v>5W</v>
          </cell>
          <cell r="P848" t="str">
            <v>PONFCS</v>
          </cell>
          <cell r="Q848" t="str">
            <v>/  /</v>
          </cell>
        </row>
        <row r="849">
          <cell r="A849">
            <v>4459105</v>
          </cell>
          <cell r="B849">
            <v>44112</v>
          </cell>
          <cell r="C849" t="str">
            <v>PON</v>
          </cell>
          <cell r="D849">
            <v>641080013</v>
          </cell>
          <cell r="E849" t="str">
            <v>F21 IZ MAX DISC F/S 54M L/G</v>
          </cell>
          <cell r="F849">
            <v>1</v>
          </cell>
          <cell r="G849">
            <v>0</v>
          </cell>
          <cell r="I849" t="str">
            <v>II102</v>
          </cell>
          <cell r="L849">
            <v>5.9</v>
          </cell>
          <cell r="M849">
            <v>0.14799999999999999</v>
          </cell>
          <cell r="N849" t="str">
            <v>5W</v>
          </cell>
          <cell r="P849" t="str">
            <v>PONFCS</v>
          </cell>
          <cell r="Q849" t="str">
            <v>/  /</v>
          </cell>
        </row>
        <row r="850">
          <cell r="A850">
            <v>4459106</v>
          </cell>
          <cell r="B850">
            <v>44112</v>
          </cell>
          <cell r="C850" t="str">
            <v>PON</v>
          </cell>
          <cell r="D850">
            <v>641080013</v>
          </cell>
          <cell r="E850" t="str">
            <v>F21 IZ MAX DISC F/S 54M L/G</v>
          </cell>
          <cell r="F850">
            <v>1</v>
          </cell>
          <cell r="G850">
            <v>0</v>
          </cell>
          <cell r="I850" t="str">
            <v>II102</v>
          </cell>
          <cell r="L850">
            <v>5.9</v>
          </cell>
          <cell r="M850">
            <v>0.14799999999999999</v>
          </cell>
          <cell r="N850" t="str">
            <v>5W</v>
          </cell>
          <cell r="P850" t="str">
            <v>PONFCS</v>
          </cell>
          <cell r="Q850" t="str">
            <v>/  /</v>
          </cell>
        </row>
        <row r="851">
          <cell r="A851">
            <v>4459107</v>
          </cell>
          <cell r="B851">
            <v>44112</v>
          </cell>
          <cell r="C851" t="str">
            <v>PON</v>
          </cell>
          <cell r="D851">
            <v>641080013</v>
          </cell>
          <cell r="E851" t="str">
            <v>F21 IZ MAX DISC F/S 54M L/G</v>
          </cell>
          <cell r="F851">
            <v>1</v>
          </cell>
          <cell r="G851">
            <v>0</v>
          </cell>
          <cell r="I851" t="str">
            <v>II102</v>
          </cell>
          <cell r="L851">
            <v>5.9</v>
          </cell>
          <cell r="M851">
            <v>0.14799999999999999</v>
          </cell>
          <cell r="N851" t="str">
            <v>5W</v>
          </cell>
          <cell r="P851" t="str">
            <v>PONFCS</v>
          </cell>
          <cell r="Q851" t="str">
            <v>/  /</v>
          </cell>
        </row>
        <row r="852">
          <cell r="A852">
            <v>4459108</v>
          </cell>
          <cell r="B852">
            <v>44112</v>
          </cell>
          <cell r="C852" t="str">
            <v>PON</v>
          </cell>
          <cell r="D852">
            <v>641080013</v>
          </cell>
          <cell r="E852" t="str">
            <v>F21 IZ MAX DISC F/S 54M L/G</v>
          </cell>
          <cell r="F852">
            <v>1</v>
          </cell>
          <cell r="G852">
            <v>0</v>
          </cell>
          <cell r="I852" t="str">
            <v>II102</v>
          </cell>
          <cell r="L852">
            <v>5.9</v>
          </cell>
          <cell r="M852">
            <v>0.14799999999999999</v>
          </cell>
          <cell r="N852" t="str">
            <v>5W</v>
          </cell>
          <cell r="P852" t="str">
            <v>PONFCS</v>
          </cell>
          <cell r="Q852" t="str">
            <v>/  /</v>
          </cell>
        </row>
        <row r="853">
          <cell r="A853">
            <v>4459109</v>
          </cell>
          <cell r="B853">
            <v>44112</v>
          </cell>
          <cell r="C853" t="str">
            <v>PON</v>
          </cell>
          <cell r="D853">
            <v>641080013</v>
          </cell>
          <cell r="E853" t="str">
            <v>F21 IZ MAX DISC F/S 54M L/G</v>
          </cell>
          <cell r="F853">
            <v>1</v>
          </cell>
          <cell r="G853">
            <v>0</v>
          </cell>
          <cell r="I853" t="str">
            <v>II102</v>
          </cell>
          <cell r="L853">
            <v>5.9</v>
          </cell>
          <cell r="M853">
            <v>0.14799999999999999</v>
          </cell>
          <cell r="N853" t="str">
            <v>5W</v>
          </cell>
          <cell r="P853" t="str">
            <v>PONFCS</v>
          </cell>
          <cell r="Q853" t="str">
            <v>/  /</v>
          </cell>
        </row>
        <row r="854">
          <cell r="A854">
            <v>4644144</v>
          </cell>
          <cell r="B854">
            <v>44225</v>
          </cell>
          <cell r="C854" t="str">
            <v>PON</v>
          </cell>
          <cell r="D854">
            <v>637527021</v>
          </cell>
          <cell r="E854" t="str">
            <v>K20 Endeavour 3.B Move 50M DI</v>
          </cell>
          <cell r="F854">
            <v>1</v>
          </cell>
          <cell r="G854">
            <v>0</v>
          </cell>
          <cell r="I854" t="str">
            <v>II103</v>
          </cell>
          <cell r="L854">
            <v>33.4</v>
          </cell>
          <cell r="M854">
            <v>0.58099999999999996</v>
          </cell>
          <cell r="N854" t="str">
            <v>5W</v>
          </cell>
          <cell r="P854" t="str">
            <v>PONFCS</v>
          </cell>
          <cell r="Q854" t="str">
            <v>/  /</v>
          </cell>
        </row>
        <row r="855">
          <cell r="A855">
            <v>4644152</v>
          </cell>
          <cell r="B855">
            <v>44225</v>
          </cell>
          <cell r="C855" t="str">
            <v>PON</v>
          </cell>
          <cell r="D855">
            <v>637527027</v>
          </cell>
          <cell r="E855" t="str">
            <v>K20 Endeavour 3.B Move 45S WA</v>
          </cell>
          <cell r="F855">
            <v>1</v>
          </cell>
          <cell r="G855">
            <v>0</v>
          </cell>
          <cell r="I855" t="str">
            <v>II103</v>
          </cell>
          <cell r="L855">
            <v>33</v>
          </cell>
          <cell r="M855">
            <v>0.53200000000000003</v>
          </cell>
          <cell r="N855" t="str">
            <v>5W</v>
          </cell>
          <cell r="P855" t="str">
            <v>PONFCS</v>
          </cell>
          <cell r="Q855" t="str">
            <v>/  /</v>
          </cell>
        </row>
        <row r="856">
          <cell r="A856">
            <v>4569899</v>
          </cell>
          <cell r="B856">
            <v>44169</v>
          </cell>
          <cell r="C856" t="str">
            <v>PON</v>
          </cell>
          <cell r="D856">
            <v>641527476</v>
          </cell>
          <cell r="E856" t="str">
            <v>K21 Image 3. B Excite R M 50</v>
          </cell>
          <cell r="F856">
            <v>1</v>
          </cell>
          <cell r="G856">
            <v>0</v>
          </cell>
          <cell r="I856" t="str">
            <v>II103</v>
          </cell>
          <cell r="L856">
            <v>35</v>
          </cell>
          <cell r="M856">
            <v>0.57299999999999995</v>
          </cell>
          <cell r="N856" t="str">
            <v>5W</v>
          </cell>
          <cell r="P856" t="str">
            <v>PONFCS</v>
          </cell>
          <cell r="Q856" t="str">
            <v>/  /</v>
          </cell>
        </row>
        <row r="857">
          <cell r="A857">
            <v>4569900</v>
          </cell>
          <cell r="B857">
            <v>44169</v>
          </cell>
          <cell r="C857" t="str">
            <v>PON</v>
          </cell>
          <cell r="D857">
            <v>641527476</v>
          </cell>
          <cell r="E857" t="str">
            <v>K21 Image 3. B Excite R M 50</v>
          </cell>
          <cell r="F857">
            <v>1</v>
          </cell>
          <cell r="G857">
            <v>0</v>
          </cell>
          <cell r="I857" t="str">
            <v>II103</v>
          </cell>
          <cell r="L857">
            <v>35</v>
          </cell>
          <cell r="M857">
            <v>0.57299999999999995</v>
          </cell>
          <cell r="N857" t="str">
            <v>5W</v>
          </cell>
          <cell r="P857" t="str">
            <v>PONFCS</v>
          </cell>
          <cell r="Q857" t="str">
            <v>/  /</v>
          </cell>
        </row>
        <row r="858">
          <cell r="A858">
            <v>3987741</v>
          </cell>
          <cell r="B858">
            <v>43809</v>
          </cell>
          <cell r="C858" t="str">
            <v>PON</v>
          </cell>
          <cell r="D858" t="str">
            <v>A5802</v>
          </cell>
          <cell r="E858" t="str">
            <v>GZ G19 Chamonix T10 HMB 61 Men</v>
          </cell>
          <cell r="F858">
            <v>1</v>
          </cell>
          <cell r="G858">
            <v>0</v>
          </cell>
          <cell r="I858" t="str">
            <v>II103</v>
          </cell>
          <cell r="L858">
            <v>29</v>
          </cell>
          <cell r="M858">
            <v>0.622</v>
          </cell>
          <cell r="N858" t="str">
            <v>5W</v>
          </cell>
          <cell r="P858" t="str">
            <v>PONGAZ</v>
          </cell>
          <cell r="Q858" t="str">
            <v>/  /</v>
          </cell>
        </row>
        <row r="859">
          <cell r="A859">
            <v>4644184</v>
          </cell>
          <cell r="B859">
            <v>44225</v>
          </cell>
          <cell r="C859" t="str">
            <v>PON</v>
          </cell>
          <cell r="D859">
            <v>641526687</v>
          </cell>
          <cell r="E859" t="str">
            <v>K21 Agattu 1.B Move M 50 Co 40</v>
          </cell>
          <cell r="F859">
            <v>1</v>
          </cell>
          <cell r="G859">
            <v>0</v>
          </cell>
          <cell r="I859" t="str">
            <v>II104</v>
          </cell>
          <cell r="L859">
            <v>32</v>
          </cell>
          <cell r="M859">
            <v>0.58399999999999996</v>
          </cell>
          <cell r="N859" t="str">
            <v>5W</v>
          </cell>
          <cell r="P859" t="str">
            <v>PONFCS</v>
          </cell>
          <cell r="Q859" t="str">
            <v>/  /</v>
          </cell>
        </row>
        <row r="860">
          <cell r="A860">
            <v>4644185</v>
          </cell>
          <cell r="B860">
            <v>44225</v>
          </cell>
          <cell r="C860" t="str">
            <v>PON</v>
          </cell>
          <cell r="D860">
            <v>641526687</v>
          </cell>
          <cell r="E860" t="str">
            <v>K21 Agattu 1.B Move M 50 Co 40</v>
          </cell>
          <cell r="F860">
            <v>1</v>
          </cell>
          <cell r="G860">
            <v>0</v>
          </cell>
          <cell r="I860" t="str">
            <v>II104</v>
          </cell>
          <cell r="L860">
            <v>32</v>
          </cell>
          <cell r="M860">
            <v>0.58399999999999996</v>
          </cell>
          <cell r="N860" t="str">
            <v>5W</v>
          </cell>
          <cell r="P860" t="str">
            <v>PONFCS</v>
          </cell>
          <cell r="Q860" t="str">
            <v>/  /</v>
          </cell>
        </row>
        <row r="861">
          <cell r="A861">
            <v>4644191</v>
          </cell>
          <cell r="B861">
            <v>44225</v>
          </cell>
          <cell r="C861" t="str">
            <v>PON</v>
          </cell>
          <cell r="D861">
            <v>641526687</v>
          </cell>
          <cell r="E861" t="str">
            <v>K21 Agattu 1.B Move M 50 Co 40</v>
          </cell>
          <cell r="F861">
            <v>1</v>
          </cell>
          <cell r="G861">
            <v>0</v>
          </cell>
          <cell r="I861" t="str">
            <v>II104</v>
          </cell>
          <cell r="L861">
            <v>32</v>
          </cell>
          <cell r="M861">
            <v>0.58399999999999996</v>
          </cell>
          <cell r="N861" t="str">
            <v>5W</v>
          </cell>
          <cell r="P861" t="str">
            <v>PONFCS</v>
          </cell>
          <cell r="Q861" t="str">
            <v>/  /</v>
          </cell>
        </row>
        <row r="862">
          <cell r="A862">
            <v>4644192</v>
          </cell>
          <cell r="B862">
            <v>44225</v>
          </cell>
          <cell r="C862" t="str">
            <v>PON</v>
          </cell>
          <cell r="D862">
            <v>641526687</v>
          </cell>
          <cell r="E862" t="str">
            <v>K21 Agattu 1.B Move M 50 Co 40</v>
          </cell>
          <cell r="F862">
            <v>1</v>
          </cell>
          <cell r="G862">
            <v>0</v>
          </cell>
          <cell r="I862" t="str">
            <v>II104</v>
          </cell>
          <cell r="L862">
            <v>32</v>
          </cell>
          <cell r="M862">
            <v>0.58399999999999996</v>
          </cell>
          <cell r="N862" t="str">
            <v>5W</v>
          </cell>
          <cell r="P862" t="str">
            <v>PONFCS</v>
          </cell>
          <cell r="Q862" t="str">
            <v>/  /</v>
          </cell>
        </row>
        <row r="863">
          <cell r="A863">
            <v>4458704</v>
          </cell>
          <cell r="B863">
            <v>44112</v>
          </cell>
          <cell r="C863" t="str">
            <v>PON</v>
          </cell>
          <cell r="D863">
            <v>637006011</v>
          </cell>
          <cell r="E863" t="str">
            <v>F21 IZ MAX DISC 9.8 50 XS</v>
          </cell>
          <cell r="F863">
            <v>1</v>
          </cell>
          <cell r="G863">
            <v>0</v>
          </cell>
          <cell r="I863" t="str">
            <v>II111</v>
          </cell>
          <cell r="L863">
            <v>13.1</v>
          </cell>
          <cell r="M863">
            <v>0.217</v>
          </cell>
          <cell r="N863" t="str">
            <v>5W</v>
          </cell>
          <cell r="P863" t="str">
            <v>PONFCS</v>
          </cell>
          <cell r="Q863" t="str">
            <v>/  /</v>
          </cell>
        </row>
        <row r="864">
          <cell r="A864">
            <v>4458705</v>
          </cell>
          <cell r="B864">
            <v>44112</v>
          </cell>
          <cell r="C864" t="str">
            <v>PON</v>
          </cell>
          <cell r="D864">
            <v>637006011</v>
          </cell>
          <cell r="E864" t="str">
            <v>F21 IZ MAX DISC 9.8 50 XS</v>
          </cell>
          <cell r="F864">
            <v>1</v>
          </cell>
          <cell r="G864">
            <v>0</v>
          </cell>
          <cell r="I864" t="str">
            <v>II111</v>
          </cell>
          <cell r="L864">
            <v>13.1</v>
          </cell>
          <cell r="M864">
            <v>0.217</v>
          </cell>
          <cell r="N864" t="str">
            <v>5W</v>
          </cell>
          <cell r="P864" t="str">
            <v>PONFCS</v>
          </cell>
          <cell r="Q864" t="str">
            <v>/  /</v>
          </cell>
        </row>
        <row r="865">
          <cell r="A865">
            <v>4458706</v>
          </cell>
          <cell r="B865">
            <v>44112</v>
          </cell>
          <cell r="C865" t="str">
            <v>PON</v>
          </cell>
          <cell r="D865">
            <v>637006011</v>
          </cell>
          <cell r="E865" t="str">
            <v>F21 IZ MAX DISC 9.8 50 XS</v>
          </cell>
          <cell r="F865">
            <v>1</v>
          </cell>
          <cell r="G865">
            <v>0</v>
          </cell>
          <cell r="I865" t="str">
            <v>II111</v>
          </cell>
          <cell r="L865">
            <v>13.1</v>
          </cell>
          <cell r="M865">
            <v>0.217</v>
          </cell>
          <cell r="N865" t="str">
            <v>5W</v>
          </cell>
          <cell r="P865" t="str">
            <v>PONFCS</v>
          </cell>
          <cell r="Q865" t="str">
            <v>/  /</v>
          </cell>
        </row>
        <row r="866">
          <cell r="A866">
            <v>4458707</v>
          </cell>
          <cell r="B866">
            <v>44112</v>
          </cell>
          <cell r="C866" t="str">
            <v>PON</v>
          </cell>
          <cell r="D866">
            <v>637006011</v>
          </cell>
          <cell r="E866" t="str">
            <v>F21 IZ MAX DISC 9.8 50 XS</v>
          </cell>
          <cell r="F866">
            <v>1</v>
          </cell>
          <cell r="G866">
            <v>0</v>
          </cell>
          <cell r="I866" t="str">
            <v>II111</v>
          </cell>
          <cell r="L866">
            <v>13.1</v>
          </cell>
          <cell r="M866">
            <v>0.217</v>
          </cell>
          <cell r="N866" t="str">
            <v>5W</v>
          </cell>
          <cell r="P866" t="str">
            <v>PONFCS</v>
          </cell>
          <cell r="Q866" t="str">
            <v>/  /</v>
          </cell>
        </row>
        <row r="867">
          <cell r="A867">
            <v>4088122</v>
          </cell>
          <cell r="B867">
            <v>43797</v>
          </cell>
          <cell r="C867" t="str">
            <v>PON</v>
          </cell>
          <cell r="D867">
            <v>633728533</v>
          </cell>
          <cell r="E867" t="str">
            <v>FC EBikeF19 P/Sqre 9.6 60XL Rd</v>
          </cell>
          <cell r="F867">
            <v>1</v>
          </cell>
          <cell r="G867">
            <v>0</v>
          </cell>
          <cell r="I867" t="str">
            <v>II113</v>
          </cell>
          <cell r="L867">
            <v>23.8</v>
          </cell>
          <cell r="M867">
            <v>0.58099999999999996</v>
          </cell>
          <cell r="N867" t="str">
            <v>5W</v>
          </cell>
          <cell r="P867" t="str">
            <v>PONFEB</v>
          </cell>
          <cell r="Q867" t="str">
            <v>/  /</v>
          </cell>
        </row>
        <row r="868">
          <cell r="A868">
            <v>4569855</v>
          </cell>
          <cell r="B868">
            <v>44169</v>
          </cell>
          <cell r="C868" t="str">
            <v>PON</v>
          </cell>
          <cell r="D868">
            <v>637527068</v>
          </cell>
          <cell r="E868" t="str">
            <v>K21 End 1.B Move 500L Grey</v>
          </cell>
          <cell r="F868">
            <v>1</v>
          </cell>
          <cell r="G868">
            <v>0</v>
          </cell>
          <cell r="I868" t="str">
            <v>II113</v>
          </cell>
          <cell r="L868">
            <v>32</v>
          </cell>
          <cell r="M868">
            <v>0.54800000000000004</v>
          </cell>
          <cell r="N868" t="str">
            <v>5W</v>
          </cell>
          <cell r="P868" t="str">
            <v>PONFCS</v>
          </cell>
          <cell r="Q868" t="str">
            <v>/  /</v>
          </cell>
        </row>
        <row r="869">
          <cell r="A869">
            <v>4041735</v>
          </cell>
          <cell r="B869">
            <v>43852</v>
          </cell>
          <cell r="C869" t="str">
            <v>PON</v>
          </cell>
          <cell r="D869">
            <v>633728528</v>
          </cell>
          <cell r="E869" t="str">
            <v>FC EBikeF19 P/Sqre 9.7 60XL B</v>
          </cell>
          <cell r="F869">
            <v>1</v>
          </cell>
          <cell r="G869">
            <v>0</v>
          </cell>
          <cell r="I869" t="str">
            <v>II114</v>
          </cell>
          <cell r="L869">
            <v>23.2</v>
          </cell>
          <cell r="M869">
            <v>0.57299999999999995</v>
          </cell>
          <cell r="N869" t="str">
            <v>5W</v>
          </cell>
          <cell r="P869" t="str">
            <v>PONFEB</v>
          </cell>
          <cell r="Q869" t="str">
            <v>/  /</v>
          </cell>
        </row>
        <row r="870">
          <cell r="A870">
            <v>4088117</v>
          </cell>
          <cell r="B870">
            <v>43852</v>
          </cell>
          <cell r="C870" t="str">
            <v>PON</v>
          </cell>
          <cell r="D870">
            <v>633728528</v>
          </cell>
          <cell r="E870" t="str">
            <v>FC EBikeF19 P/Sqre 9.7 60XL B</v>
          </cell>
          <cell r="F870">
            <v>1</v>
          </cell>
          <cell r="G870">
            <v>0</v>
          </cell>
          <cell r="I870" t="str">
            <v>II114</v>
          </cell>
          <cell r="L870">
            <v>23.2</v>
          </cell>
          <cell r="M870">
            <v>0.57299999999999995</v>
          </cell>
          <cell r="N870" t="str">
            <v>5W</v>
          </cell>
          <cell r="P870" t="str">
            <v>PONFEB</v>
          </cell>
          <cell r="Q870" t="str">
            <v>/  /</v>
          </cell>
        </row>
        <row r="871">
          <cell r="A871">
            <v>3952954</v>
          </cell>
          <cell r="B871">
            <v>43790</v>
          </cell>
          <cell r="C871" t="str">
            <v>PON</v>
          </cell>
          <cell r="D871">
            <v>628078091</v>
          </cell>
          <cell r="E871" t="str">
            <v>CV C18 R3UltDi2 8050 51 SMFluo</v>
          </cell>
          <cell r="F871">
            <v>1</v>
          </cell>
          <cell r="G871">
            <v>0</v>
          </cell>
          <cell r="I871" t="str">
            <v>II122</v>
          </cell>
          <cell r="L871">
            <v>12.5</v>
          </cell>
          <cell r="M871">
            <v>0.214</v>
          </cell>
          <cell r="N871" t="str">
            <v>5W</v>
          </cell>
          <cell r="P871" t="str">
            <v>PONCVL</v>
          </cell>
          <cell r="Q871" t="str">
            <v>/  /</v>
          </cell>
        </row>
        <row r="872">
          <cell r="A872">
            <v>4458994</v>
          </cell>
          <cell r="B872">
            <v>44112</v>
          </cell>
          <cell r="C872" t="str">
            <v>PON</v>
          </cell>
          <cell r="D872">
            <v>641006034</v>
          </cell>
          <cell r="E872" t="str">
            <v>F21 IZ MAX DISC 9.6 56 L R/RED</v>
          </cell>
          <cell r="F872">
            <v>1</v>
          </cell>
          <cell r="G872">
            <v>0</v>
          </cell>
          <cell r="I872" t="str">
            <v>II122</v>
          </cell>
          <cell r="L872">
            <v>13.3</v>
          </cell>
          <cell r="M872">
            <v>0.23499999999999999</v>
          </cell>
          <cell r="N872" t="str">
            <v>5W</v>
          </cell>
          <cell r="P872" t="str">
            <v>PONFCS</v>
          </cell>
          <cell r="Q872" t="str">
            <v>/  /</v>
          </cell>
        </row>
        <row r="873">
          <cell r="A873">
            <v>4569857</v>
          </cell>
          <cell r="B873">
            <v>44169</v>
          </cell>
          <cell r="C873" t="str">
            <v>PON</v>
          </cell>
          <cell r="D873">
            <v>637529053</v>
          </cell>
          <cell r="E873" t="str">
            <v>K21 Endeavour 7.B Belt Xl 58</v>
          </cell>
          <cell r="F873">
            <v>1</v>
          </cell>
          <cell r="G873">
            <v>0</v>
          </cell>
          <cell r="I873" t="str">
            <v>II123</v>
          </cell>
          <cell r="L873">
            <v>35.5</v>
          </cell>
          <cell r="M873">
            <v>0.57299999999999995</v>
          </cell>
          <cell r="N873" t="str">
            <v>5W</v>
          </cell>
          <cell r="P873" t="str">
            <v>PONFCS</v>
          </cell>
          <cell r="Q873" t="str">
            <v>/  /</v>
          </cell>
        </row>
        <row r="874">
          <cell r="A874">
            <v>4569871</v>
          </cell>
          <cell r="B874">
            <v>44169</v>
          </cell>
          <cell r="C874" t="str">
            <v>PON</v>
          </cell>
          <cell r="D874">
            <v>637529085</v>
          </cell>
          <cell r="E874" t="str">
            <v>K21 Endeavour 7.B Move S 43 Tr</v>
          </cell>
          <cell r="F874">
            <v>1</v>
          </cell>
          <cell r="G874">
            <v>0</v>
          </cell>
          <cell r="I874" t="str">
            <v>II123</v>
          </cell>
          <cell r="L874">
            <v>34.5</v>
          </cell>
          <cell r="M874">
            <v>0.57299999999999995</v>
          </cell>
          <cell r="N874" t="str">
            <v>5W</v>
          </cell>
          <cell r="P874" t="str">
            <v>PONFCS</v>
          </cell>
          <cell r="Q874" t="str">
            <v>/  /</v>
          </cell>
        </row>
        <row r="875">
          <cell r="A875">
            <v>4569872</v>
          </cell>
          <cell r="B875">
            <v>44169</v>
          </cell>
          <cell r="C875" t="str">
            <v>PON</v>
          </cell>
          <cell r="D875">
            <v>637529085</v>
          </cell>
          <cell r="E875" t="str">
            <v>K21 Endeavour 7.B Move S 43 Tr</v>
          </cell>
          <cell r="F875">
            <v>1</v>
          </cell>
          <cell r="G875">
            <v>0</v>
          </cell>
          <cell r="I875" t="str">
            <v>II123</v>
          </cell>
          <cell r="L875">
            <v>34.5</v>
          </cell>
          <cell r="M875">
            <v>0.57299999999999995</v>
          </cell>
          <cell r="N875" t="str">
            <v>5W</v>
          </cell>
          <cell r="P875" t="str">
            <v>PONFCS</v>
          </cell>
          <cell r="Q875" t="str">
            <v>/  /</v>
          </cell>
        </row>
        <row r="876">
          <cell r="A876">
            <v>4569873</v>
          </cell>
          <cell r="B876">
            <v>44169</v>
          </cell>
          <cell r="C876" t="str">
            <v>PON</v>
          </cell>
          <cell r="D876">
            <v>637529085</v>
          </cell>
          <cell r="E876" t="str">
            <v>K21 Endeavour 7.B Move S 43 Tr</v>
          </cell>
          <cell r="F876">
            <v>1</v>
          </cell>
          <cell r="G876">
            <v>0</v>
          </cell>
          <cell r="I876" t="str">
            <v>II123</v>
          </cell>
          <cell r="L876">
            <v>34.5</v>
          </cell>
          <cell r="M876">
            <v>0.57299999999999995</v>
          </cell>
          <cell r="N876" t="str">
            <v>5W</v>
          </cell>
          <cell r="P876" t="str">
            <v>PONFCS</v>
          </cell>
          <cell r="Q876" t="str">
            <v>/  /</v>
          </cell>
        </row>
        <row r="877">
          <cell r="A877">
            <v>4569874</v>
          </cell>
          <cell r="B877">
            <v>44169</v>
          </cell>
          <cell r="C877" t="str">
            <v>PON</v>
          </cell>
          <cell r="D877">
            <v>637529085</v>
          </cell>
          <cell r="E877" t="str">
            <v>K21 Endeavour 7.B Move S 43 Tr</v>
          </cell>
          <cell r="F877">
            <v>1</v>
          </cell>
          <cell r="G877">
            <v>0</v>
          </cell>
          <cell r="I877" t="str">
            <v>II123</v>
          </cell>
          <cell r="L877">
            <v>34.5</v>
          </cell>
          <cell r="M877">
            <v>0.57299999999999995</v>
          </cell>
          <cell r="N877" t="str">
            <v>5W</v>
          </cell>
          <cell r="P877" t="str">
            <v>PONFCS</v>
          </cell>
          <cell r="Q877" t="str">
            <v>/  /</v>
          </cell>
        </row>
        <row r="878">
          <cell r="A878">
            <v>4019909</v>
          </cell>
          <cell r="B878">
            <v>43837</v>
          </cell>
          <cell r="C878" t="str">
            <v>PON</v>
          </cell>
          <cell r="D878">
            <v>633728533</v>
          </cell>
          <cell r="E878" t="str">
            <v>FC EBikeF19 P/Sqre 9.6 60XL Rd</v>
          </cell>
          <cell r="F878">
            <v>1</v>
          </cell>
          <cell r="G878">
            <v>0</v>
          </cell>
          <cell r="I878" t="str">
            <v>II124</v>
          </cell>
          <cell r="L878">
            <v>23.8</v>
          </cell>
          <cell r="M878">
            <v>0.58099999999999996</v>
          </cell>
          <cell r="N878" t="str">
            <v>5W</v>
          </cell>
          <cell r="P878" t="str">
            <v>PONFEB</v>
          </cell>
          <cell r="Q878" t="str">
            <v>/  /</v>
          </cell>
        </row>
        <row r="879">
          <cell r="A879">
            <v>4644134</v>
          </cell>
          <cell r="B879">
            <v>44225</v>
          </cell>
          <cell r="C879" t="str">
            <v>PON</v>
          </cell>
          <cell r="D879">
            <v>637526787</v>
          </cell>
          <cell r="E879" t="str">
            <v>K20 Endeavour 1.B Move 50M GRY</v>
          </cell>
          <cell r="F879">
            <v>1</v>
          </cell>
          <cell r="G879">
            <v>0</v>
          </cell>
          <cell r="I879" t="str">
            <v>II133</v>
          </cell>
          <cell r="L879">
            <v>32.5</v>
          </cell>
          <cell r="M879">
            <v>0.58399999999999996</v>
          </cell>
          <cell r="N879" t="str">
            <v>5W</v>
          </cell>
          <cell r="P879" t="str">
            <v>PONFCS</v>
          </cell>
          <cell r="Q879" t="str">
            <v>/  /</v>
          </cell>
        </row>
        <row r="880">
          <cell r="A880">
            <v>4644135</v>
          </cell>
          <cell r="B880">
            <v>44225</v>
          </cell>
          <cell r="C880" t="str">
            <v>PON</v>
          </cell>
          <cell r="D880">
            <v>637526787</v>
          </cell>
          <cell r="E880" t="str">
            <v>K20 Endeavour 1.B Move 50M GRY</v>
          </cell>
          <cell r="F880">
            <v>1</v>
          </cell>
          <cell r="G880">
            <v>0</v>
          </cell>
          <cell r="I880" t="str">
            <v>II133</v>
          </cell>
          <cell r="L880">
            <v>32.5</v>
          </cell>
          <cell r="M880">
            <v>0.58399999999999996</v>
          </cell>
          <cell r="N880" t="str">
            <v>5W</v>
          </cell>
          <cell r="P880" t="str">
            <v>PONFCS</v>
          </cell>
          <cell r="Q880" t="str">
            <v>/  /</v>
          </cell>
        </row>
        <row r="881">
          <cell r="A881">
            <v>4644136</v>
          </cell>
          <cell r="B881">
            <v>44225</v>
          </cell>
          <cell r="C881" t="str">
            <v>PON</v>
          </cell>
          <cell r="D881">
            <v>637526787</v>
          </cell>
          <cell r="E881" t="str">
            <v>K20 Endeavour 1.B Move 50M GRY</v>
          </cell>
          <cell r="F881">
            <v>1</v>
          </cell>
          <cell r="G881">
            <v>0</v>
          </cell>
          <cell r="I881" t="str">
            <v>II133</v>
          </cell>
          <cell r="L881">
            <v>32.5</v>
          </cell>
          <cell r="M881">
            <v>0.58399999999999996</v>
          </cell>
          <cell r="N881" t="str">
            <v>5W</v>
          </cell>
          <cell r="P881" t="str">
            <v>PONFCS</v>
          </cell>
          <cell r="Q881" t="str">
            <v>/  /</v>
          </cell>
        </row>
        <row r="882">
          <cell r="A882">
            <v>4569854</v>
          </cell>
          <cell r="B882">
            <v>44169</v>
          </cell>
          <cell r="C882" t="str">
            <v>PON</v>
          </cell>
          <cell r="D882">
            <v>637527068</v>
          </cell>
          <cell r="E882" t="str">
            <v>K21 End 1.B Move 500L Grey</v>
          </cell>
          <cell r="F882">
            <v>1</v>
          </cell>
          <cell r="G882">
            <v>0</v>
          </cell>
          <cell r="I882" t="str">
            <v>II133</v>
          </cell>
          <cell r="L882">
            <v>32</v>
          </cell>
          <cell r="M882">
            <v>0.54800000000000004</v>
          </cell>
          <cell r="N882" t="str">
            <v>5W</v>
          </cell>
          <cell r="P882" t="str">
            <v>PONFCS</v>
          </cell>
          <cell r="Q882" t="str">
            <v>/  /</v>
          </cell>
        </row>
        <row r="883">
          <cell r="A883">
            <v>3953727</v>
          </cell>
          <cell r="B883">
            <v>43790</v>
          </cell>
          <cell r="C883" t="str">
            <v>PON</v>
          </cell>
          <cell r="D883">
            <v>633078475</v>
          </cell>
          <cell r="E883" t="str">
            <v>CV C19S3 DscUlt 61CM FluBlk/Wh</v>
          </cell>
          <cell r="F883">
            <v>1</v>
          </cell>
          <cell r="G883">
            <v>0</v>
          </cell>
          <cell r="I883" t="str">
            <v>II141</v>
          </cell>
          <cell r="L883">
            <v>14.2</v>
          </cell>
          <cell r="M883">
            <v>0.22900000000000001</v>
          </cell>
          <cell r="N883" t="str">
            <v>5W</v>
          </cell>
          <cell r="P883" t="str">
            <v>PONCVL</v>
          </cell>
          <cell r="Q883" t="str">
            <v>/  /</v>
          </cell>
        </row>
        <row r="884">
          <cell r="A884">
            <v>4458745</v>
          </cell>
          <cell r="B884">
            <v>44112</v>
          </cell>
          <cell r="C884" t="str">
            <v>PON</v>
          </cell>
          <cell r="D884">
            <v>637006014</v>
          </cell>
          <cell r="E884" t="str">
            <v>F21 IZ MAX DISC 9.8 56 L</v>
          </cell>
          <cell r="F884">
            <v>1</v>
          </cell>
          <cell r="G884">
            <v>0</v>
          </cell>
          <cell r="I884" t="str">
            <v>II141</v>
          </cell>
          <cell r="L884">
            <v>13.1</v>
          </cell>
          <cell r="M884">
            <v>0.221</v>
          </cell>
          <cell r="N884" t="str">
            <v>5W</v>
          </cell>
          <cell r="P884" t="str">
            <v>PONFCS</v>
          </cell>
          <cell r="Q884" t="str">
            <v>/  /</v>
          </cell>
        </row>
        <row r="885">
          <cell r="A885">
            <v>4458746</v>
          </cell>
          <cell r="B885">
            <v>44112</v>
          </cell>
          <cell r="C885" t="str">
            <v>PON</v>
          </cell>
          <cell r="D885">
            <v>637006014</v>
          </cell>
          <cell r="E885" t="str">
            <v>F21 IZ MAX DISC 9.8 56 L</v>
          </cell>
          <cell r="F885">
            <v>1</v>
          </cell>
          <cell r="G885">
            <v>0</v>
          </cell>
          <cell r="I885" t="str">
            <v>II141</v>
          </cell>
          <cell r="L885">
            <v>13.1</v>
          </cell>
          <cell r="M885">
            <v>0.221</v>
          </cell>
          <cell r="N885" t="str">
            <v>5W</v>
          </cell>
          <cell r="P885" t="str">
            <v>PONFCS</v>
          </cell>
          <cell r="Q885" t="str">
            <v>/  /</v>
          </cell>
        </row>
        <row r="886">
          <cell r="A886">
            <v>4458735</v>
          </cell>
          <cell r="B886">
            <v>44112</v>
          </cell>
          <cell r="C886" t="str">
            <v>PON</v>
          </cell>
          <cell r="D886">
            <v>637006014</v>
          </cell>
          <cell r="E886" t="str">
            <v>F21 IZ MAX DISC 9.8 56 L</v>
          </cell>
          <cell r="F886">
            <v>1</v>
          </cell>
          <cell r="G886">
            <v>0</v>
          </cell>
          <cell r="I886" t="str">
            <v>II142</v>
          </cell>
          <cell r="L886">
            <v>13.1</v>
          </cell>
          <cell r="M886">
            <v>0.221</v>
          </cell>
          <cell r="N886" t="str">
            <v>5W</v>
          </cell>
          <cell r="P886" t="str">
            <v>PONFCS</v>
          </cell>
          <cell r="Q886" t="str">
            <v>/  /</v>
          </cell>
        </row>
        <row r="887">
          <cell r="A887">
            <v>4458736</v>
          </cell>
          <cell r="B887">
            <v>44112</v>
          </cell>
          <cell r="C887" t="str">
            <v>PON</v>
          </cell>
          <cell r="D887">
            <v>637006014</v>
          </cell>
          <cell r="E887" t="str">
            <v>F21 IZ MAX DISC 9.8 56 L</v>
          </cell>
          <cell r="F887">
            <v>1</v>
          </cell>
          <cell r="G887">
            <v>0</v>
          </cell>
          <cell r="I887" t="str">
            <v>II142</v>
          </cell>
          <cell r="L887">
            <v>13.1</v>
          </cell>
          <cell r="M887">
            <v>0.221</v>
          </cell>
          <cell r="N887" t="str">
            <v>5W</v>
          </cell>
          <cell r="P887" t="str">
            <v>PONFCS</v>
          </cell>
          <cell r="Q887" t="str">
            <v>/  /</v>
          </cell>
        </row>
        <row r="888">
          <cell r="A888">
            <v>4458737</v>
          </cell>
          <cell r="B888">
            <v>44112</v>
          </cell>
          <cell r="C888" t="str">
            <v>PON</v>
          </cell>
          <cell r="D888">
            <v>637006014</v>
          </cell>
          <cell r="E888" t="str">
            <v>F21 IZ MAX DISC 9.8 56 L</v>
          </cell>
          <cell r="F888">
            <v>1</v>
          </cell>
          <cell r="G888">
            <v>0</v>
          </cell>
          <cell r="I888" t="str">
            <v>II142</v>
          </cell>
          <cell r="L888">
            <v>13.1</v>
          </cell>
          <cell r="M888">
            <v>0.221</v>
          </cell>
          <cell r="N888" t="str">
            <v>5W</v>
          </cell>
          <cell r="P888" t="str">
            <v>PONFCS</v>
          </cell>
          <cell r="Q888" t="str">
            <v>/  /</v>
          </cell>
        </row>
        <row r="889">
          <cell r="A889">
            <v>4458738</v>
          </cell>
          <cell r="B889">
            <v>44112</v>
          </cell>
          <cell r="C889" t="str">
            <v>PON</v>
          </cell>
          <cell r="D889">
            <v>637006014</v>
          </cell>
          <cell r="E889" t="str">
            <v>F21 IZ MAX DISC 9.8 56 L</v>
          </cell>
          <cell r="F889">
            <v>1</v>
          </cell>
          <cell r="G889">
            <v>0</v>
          </cell>
          <cell r="I889" t="str">
            <v>II142</v>
          </cell>
          <cell r="L889">
            <v>13.1</v>
          </cell>
          <cell r="M889">
            <v>0.221</v>
          </cell>
          <cell r="N889" t="str">
            <v>5W</v>
          </cell>
          <cell r="P889" t="str">
            <v>PONFCS</v>
          </cell>
          <cell r="Q889" t="str">
            <v>/  /</v>
          </cell>
        </row>
        <row r="890">
          <cell r="A890">
            <v>4458739</v>
          </cell>
          <cell r="B890">
            <v>44112</v>
          </cell>
          <cell r="C890" t="str">
            <v>PON</v>
          </cell>
          <cell r="D890">
            <v>637006014</v>
          </cell>
          <cell r="E890" t="str">
            <v>F21 IZ MAX DISC 9.8 56 L</v>
          </cell>
          <cell r="F890">
            <v>1</v>
          </cell>
          <cell r="G890">
            <v>0</v>
          </cell>
          <cell r="I890" t="str">
            <v>II142</v>
          </cell>
          <cell r="L890">
            <v>13.1</v>
          </cell>
          <cell r="M890">
            <v>0.221</v>
          </cell>
          <cell r="N890" t="str">
            <v>5W</v>
          </cell>
          <cell r="P890" t="str">
            <v>PONFCS</v>
          </cell>
          <cell r="Q890" t="str">
            <v>/  /</v>
          </cell>
        </row>
        <row r="891">
          <cell r="A891">
            <v>4644102</v>
          </cell>
          <cell r="B891">
            <v>44225</v>
          </cell>
          <cell r="C891" t="str">
            <v>PON</v>
          </cell>
          <cell r="D891">
            <v>637526054</v>
          </cell>
          <cell r="E891" t="str">
            <v>K21 Endeavour 1.B Move 400 S</v>
          </cell>
          <cell r="F891">
            <v>1</v>
          </cell>
          <cell r="G891">
            <v>0</v>
          </cell>
          <cell r="I891" t="str">
            <v>II143</v>
          </cell>
          <cell r="L891">
            <v>31</v>
          </cell>
          <cell r="M891">
            <v>0.57299999999999995</v>
          </cell>
          <cell r="N891" t="str">
            <v>5W</v>
          </cell>
          <cell r="P891" t="str">
            <v>PONFCS</v>
          </cell>
          <cell r="Q891" t="str">
            <v>/  /</v>
          </cell>
        </row>
        <row r="892">
          <cell r="A892">
            <v>4644137</v>
          </cell>
          <cell r="B892">
            <v>44225</v>
          </cell>
          <cell r="C892" t="str">
            <v>PON</v>
          </cell>
          <cell r="D892">
            <v>637526787</v>
          </cell>
          <cell r="E892" t="str">
            <v>K20 Endeavour 1.B Move 50M GRY</v>
          </cell>
          <cell r="F892">
            <v>1</v>
          </cell>
          <cell r="G892">
            <v>0</v>
          </cell>
          <cell r="I892" t="str">
            <v>II143</v>
          </cell>
          <cell r="L892">
            <v>32.5</v>
          </cell>
          <cell r="M892">
            <v>0.58399999999999996</v>
          </cell>
          <cell r="N892" t="str">
            <v>5W</v>
          </cell>
          <cell r="P892" t="str">
            <v>PONFCS</v>
          </cell>
          <cell r="Q892" t="str">
            <v>/  /</v>
          </cell>
        </row>
        <row r="893">
          <cell r="A893">
            <v>4569908</v>
          </cell>
          <cell r="B893">
            <v>44169</v>
          </cell>
          <cell r="C893" t="str">
            <v>PON</v>
          </cell>
          <cell r="D893">
            <v>641527477</v>
          </cell>
          <cell r="E893" t="str">
            <v>K21 Img L 55 WA 500 Coaster</v>
          </cell>
          <cell r="F893">
            <v>1</v>
          </cell>
          <cell r="G893">
            <v>0</v>
          </cell>
          <cell r="I893" t="str">
            <v>II143</v>
          </cell>
          <cell r="L893">
            <v>34.5</v>
          </cell>
          <cell r="M893">
            <v>0.57299999999999995</v>
          </cell>
          <cell r="N893" t="str">
            <v>5W</v>
          </cell>
          <cell r="P893" t="str">
            <v>PONFCS</v>
          </cell>
          <cell r="Q893" t="str">
            <v>/  /</v>
          </cell>
        </row>
        <row r="894">
          <cell r="A894">
            <v>4569909</v>
          </cell>
          <cell r="B894">
            <v>44169</v>
          </cell>
          <cell r="C894" t="str">
            <v>PON</v>
          </cell>
          <cell r="D894">
            <v>641527477</v>
          </cell>
          <cell r="E894" t="str">
            <v>K21 Img L 55 WA 500 Coaster</v>
          </cell>
          <cell r="F894">
            <v>1</v>
          </cell>
          <cell r="G894">
            <v>0</v>
          </cell>
          <cell r="I894" t="str">
            <v>II143</v>
          </cell>
          <cell r="L894">
            <v>34.5</v>
          </cell>
          <cell r="M894">
            <v>0.57299999999999995</v>
          </cell>
          <cell r="N894" t="str">
            <v>5W</v>
          </cell>
          <cell r="P894" t="str">
            <v>PONFCS</v>
          </cell>
          <cell r="Q894" t="str">
            <v>/  /</v>
          </cell>
        </row>
        <row r="895">
          <cell r="A895">
            <v>4644122</v>
          </cell>
          <cell r="B895">
            <v>44225</v>
          </cell>
          <cell r="C895" t="str">
            <v>PON</v>
          </cell>
          <cell r="D895">
            <v>637526067</v>
          </cell>
          <cell r="E895" t="str">
            <v>K21 Endv 1.B Move M Grey</v>
          </cell>
          <cell r="F895">
            <v>1</v>
          </cell>
          <cell r="G895">
            <v>0</v>
          </cell>
          <cell r="I895" t="str">
            <v>II144</v>
          </cell>
          <cell r="L895">
            <v>32.5</v>
          </cell>
          <cell r="M895">
            <v>0.57299999999999995</v>
          </cell>
          <cell r="N895" t="str">
            <v>5W</v>
          </cell>
          <cell r="P895" t="str">
            <v>PONFCS</v>
          </cell>
          <cell r="Q895" t="str">
            <v>/  /</v>
          </cell>
        </row>
        <row r="896">
          <cell r="A896">
            <v>4644124</v>
          </cell>
          <cell r="B896">
            <v>44225</v>
          </cell>
          <cell r="C896" t="str">
            <v>PON</v>
          </cell>
          <cell r="D896">
            <v>637526067</v>
          </cell>
          <cell r="E896" t="str">
            <v>K21 Endv 1.B Move M Grey</v>
          </cell>
          <cell r="F896">
            <v>1</v>
          </cell>
          <cell r="G896">
            <v>0</v>
          </cell>
          <cell r="I896" t="str">
            <v>II144</v>
          </cell>
          <cell r="L896">
            <v>32.5</v>
          </cell>
          <cell r="M896">
            <v>0.57299999999999995</v>
          </cell>
          <cell r="N896" t="str">
            <v>5W</v>
          </cell>
          <cell r="P896" t="str">
            <v>PONFCS</v>
          </cell>
          <cell r="Q896" t="str">
            <v>/  /</v>
          </cell>
        </row>
        <row r="897">
          <cell r="A897">
            <v>4644125</v>
          </cell>
          <cell r="B897">
            <v>44225</v>
          </cell>
          <cell r="C897" t="str">
            <v>PON</v>
          </cell>
          <cell r="D897">
            <v>637526067</v>
          </cell>
          <cell r="E897" t="str">
            <v>K21 Endv 1.B Move M Grey</v>
          </cell>
          <cell r="F897">
            <v>1</v>
          </cell>
          <cell r="G897">
            <v>0</v>
          </cell>
          <cell r="I897" t="str">
            <v>II144</v>
          </cell>
          <cell r="L897">
            <v>32.5</v>
          </cell>
          <cell r="M897">
            <v>0.57299999999999995</v>
          </cell>
          <cell r="N897" t="str">
            <v>5W</v>
          </cell>
          <cell r="P897" t="str">
            <v>PONFCS</v>
          </cell>
          <cell r="Q897" t="str">
            <v>/  /</v>
          </cell>
        </row>
        <row r="898">
          <cell r="A898">
            <v>4644145</v>
          </cell>
          <cell r="B898">
            <v>44225</v>
          </cell>
          <cell r="C898" t="str">
            <v>PON</v>
          </cell>
          <cell r="D898">
            <v>637527021</v>
          </cell>
          <cell r="E898" t="str">
            <v>K20 Endeavour 3.B Move 50M DI</v>
          </cell>
          <cell r="F898">
            <v>1</v>
          </cell>
          <cell r="G898">
            <v>0</v>
          </cell>
          <cell r="I898" t="str">
            <v>II144</v>
          </cell>
          <cell r="L898">
            <v>33.4</v>
          </cell>
          <cell r="M898">
            <v>0.58099999999999996</v>
          </cell>
          <cell r="N898" t="str">
            <v>5W</v>
          </cell>
          <cell r="P898" t="str">
            <v>PONFCS</v>
          </cell>
          <cell r="Q898" t="str">
            <v>/  /</v>
          </cell>
        </row>
        <row r="899">
          <cell r="A899">
            <v>4644146</v>
          </cell>
          <cell r="B899">
            <v>44225</v>
          </cell>
          <cell r="C899" t="str">
            <v>PON</v>
          </cell>
          <cell r="D899">
            <v>637527021</v>
          </cell>
          <cell r="E899" t="str">
            <v>K20 Endeavour 3.B Move 50M DI</v>
          </cell>
          <cell r="F899">
            <v>1</v>
          </cell>
          <cell r="G899">
            <v>0</v>
          </cell>
          <cell r="I899" t="str">
            <v>II144</v>
          </cell>
          <cell r="L899">
            <v>33.4</v>
          </cell>
          <cell r="M899">
            <v>0.58099999999999996</v>
          </cell>
          <cell r="N899" t="str">
            <v>5W</v>
          </cell>
          <cell r="P899" t="str">
            <v>PONFCS</v>
          </cell>
          <cell r="Q899" t="str">
            <v>/  /</v>
          </cell>
        </row>
        <row r="900">
          <cell r="A900">
            <v>4458803</v>
          </cell>
          <cell r="B900">
            <v>44112</v>
          </cell>
          <cell r="C900" t="str">
            <v>PON</v>
          </cell>
          <cell r="D900">
            <v>637006023</v>
          </cell>
          <cell r="E900" t="str">
            <v>F20 IZ Max Disc 9.7 AXS 54 M</v>
          </cell>
          <cell r="F900">
            <v>1</v>
          </cell>
          <cell r="G900">
            <v>0</v>
          </cell>
          <cell r="I900" t="str">
            <v>II151</v>
          </cell>
          <cell r="L900">
            <v>13.6</v>
          </cell>
          <cell r="M900">
            <v>0.218</v>
          </cell>
          <cell r="N900" t="str">
            <v>5W</v>
          </cell>
          <cell r="P900" t="str">
            <v>PONFCS</v>
          </cell>
          <cell r="Q900" t="str">
            <v>/  /</v>
          </cell>
        </row>
        <row r="901">
          <cell r="A901">
            <v>4458804</v>
          </cell>
          <cell r="B901">
            <v>44112</v>
          </cell>
          <cell r="C901" t="str">
            <v>PON</v>
          </cell>
          <cell r="D901">
            <v>637006023</v>
          </cell>
          <cell r="E901" t="str">
            <v>F20 IZ Max Disc 9.7 AXS 54 M</v>
          </cell>
          <cell r="F901">
            <v>1</v>
          </cell>
          <cell r="G901">
            <v>0</v>
          </cell>
          <cell r="I901" t="str">
            <v>II151</v>
          </cell>
          <cell r="L901">
            <v>13.6</v>
          </cell>
          <cell r="M901">
            <v>0.218</v>
          </cell>
          <cell r="N901" t="str">
            <v>5W</v>
          </cell>
          <cell r="P901" t="str">
            <v>PONFCS</v>
          </cell>
          <cell r="Q901" t="str">
            <v>/  /</v>
          </cell>
        </row>
        <row r="902">
          <cell r="A902">
            <v>4458805</v>
          </cell>
          <cell r="B902">
            <v>44112</v>
          </cell>
          <cell r="C902" t="str">
            <v>PON</v>
          </cell>
          <cell r="D902">
            <v>637006023</v>
          </cell>
          <cell r="E902" t="str">
            <v>F20 IZ Max Disc 9.7 AXS 54 M</v>
          </cell>
          <cell r="F902">
            <v>1</v>
          </cell>
          <cell r="G902">
            <v>0</v>
          </cell>
          <cell r="I902" t="str">
            <v>II151</v>
          </cell>
          <cell r="L902">
            <v>13.6</v>
          </cell>
          <cell r="M902">
            <v>0.218</v>
          </cell>
          <cell r="N902" t="str">
            <v>5W</v>
          </cell>
          <cell r="P902" t="str">
            <v>PONFCS</v>
          </cell>
          <cell r="Q902" t="str">
            <v>/  /</v>
          </cell>
        </row>
        <row r="903">
          <cell r="A903">
            <v>4458806</v>
          </cell>
          <cell r="B903">
            <v>44112</v>
          </cell>
          <cell r="C903" t="str">
            <v>PON</v>
          </cell>
          <cell r="D903">
            <v>637006023</v>
          </cell>
          <cell r="E903" t="str">
            <v>F20 IZ Max Disc 9.7 AXS 54 M</v>
          </cell>
          <cell r="F903">
            <v>1</v>
          </cell>
          <cell r="G903">
            <v>0</v>
          </cell>
          <cell r="I903" t="str">
            <v>II151</v>
          </cell>
          <cell r="L903">
            <v>13.6</v>
          </cell>
          <cell r="M903">
            <v>0.218</v>
          </cell>
          <cell r="N903" t="str">
            <v>5W</v>
          </cell>
          <cell r="P903" t="str">
            <v>PONFCS</v>
          </cell>
          <cell r="Q903" t="str">
            <v>/  /</v>
          </cell>
        </row>
        <row r="904">
          <cell r="A904">
            <v>4458807</v>
          </cell>
          <cell r="B904">
            <v>44112</v>
          </cell>
          <cell r="C904" t="str">
            <v>PON</v>
          </cell>
          <cell r="D904">
            <v>637006023</v>
          </cell>
          <cell r="E904" t="str">
            <v>F20 IZ Max Disc 9.7 AXS 54 M</v>
          </cell>
          <cell r="F904">
            <v>1</v>
          </cell>
          <cell r="G904">
            <v>0</v>
          </cell>
          <cell r="I904" t="str">
            <v>II151</v>
          </cell>
          <cell r="L904">
            <v>13.6</v>
          </cell>
          <cell r="M904">
            <v>0.218</v>
          </cell>
          <cell r="N904" t="str">
            <v>5W</v>
          </cell>
          <cell r="P904" t="str">
            <v>PONFCS</v>
          </cell>
          <cell r="Q904" t="str">
            <v>/  /</v>
          </cell>
        </row>
        <row r="905">
          <cell r="A905">
            <v>4458808</v>
          </cell>
          <cell r="B905">
            <v>44112</v>
          </cell>
          <cell r="C905" t="str">
            <v>PON</v>
          </cell>
          <cell r="D905">
            <v>637006023</v>
          </cell>
          <cell r="E905" t="str">
            <v>F20 IZ Max Disc 9.7 AXS 54 M</v>
          </cell>
          <cell r="F905">
            <v>1</v>
          </cell>
          <cell r="G905">
            <v>0</v>
          </cell>
          <cell r="I905" t="str">
            <v>II151</v>
          </cell>
          <cell r="L905">
            <v>13.6</v>
          </cell>
          <cell r="M905">
            <v>0.218</v>
          </cell>
          <cell r="N905" t="str">
            <v>5W</v>
          </cell>
          <cell r="P905" t="str">
            <v>PONFCS</v>
          </cell>
          <cell r="Q905" t="str">
            <v>/  /</v>
          </cell>
        </row>
        <row r="906">
          <cell r="A906">
            <v>4644103</v>
          </cell>
          <cell r="B906">
            <v>44225</v>
          </cell>
          <cell r="C906" t="str">
            <v>PON</v>
          </cell>
          <cell r="D906">
            <v>637526054</v>
          </cell>
          <cell r="E906" t="str">
            <v>K21 Endeavour 1.B Move 400 S</v>
          </cell>
          <cell r="F906">
            <v>1</v>
          </cell>
          <cell r="G906">
            <v>0</v>
          </cell>
          <cell r="I906" t="str">
            <v>II153</v>
          </cell>
          <cell r="L906">
            <v>31</v>
          </cell>
          <cell r="M906">
            <v>0.57299999999999995</v>
          </cell>
          <cell r="N906" t="str">
            <v>5W</v>
          </cell>
          <cell r="P906" t="str">
            <v>PONFCS</v>
          </cell>
          <cell r="Q906" t="str">
            <v>/  /</v>
          </cell>
        </row>
        <row r="907">
          <cell r="A907">
            <v>4644104</v>
          </cell>
          <cell r="B907">
            <v>44225</v>
          </cell>
          <cell r="C907" t="str">
            <v>PON</v>
          </cell>
          <cell r="D907">
            <v>637526054</v>
          </cell>
          <cell r="E907" t="str">
            <v>K21 Endeavour 1.B Move 400 S</v>
          </cell>
          <cell r="F907">
            <v>1</v>
          </cell>
          <cell r="G907">
            <v>0</v>
          </cell>
          <cell r="I907" t="str">
            <v>II153</v>
          </cell>
          <cell r="L907">
            <v>31</v>
          </cell>
          <cell r="M907">
            <v>0.57299999999999995</v>
          </cell>
          <cell r="N907" t="str">
            <v>5W</v>
          </cell>
          <cell r="P907" t="str">
            <v>PONFCS</v>
          </cell>
          <cell r="Q907" t="str">
            <v>/  /</v>
          </cell>
        </row>
        <row r="908">
          <cell r="A908">
            <v>4644105</v>
          </cell>
          <cell r="B908">
            <v>44225</v>
          </cell>
          <cell r="C908" t="str">
            <v>PON</v>
          </cell>
          <cell r="D908">
            <v>637526054</v>
          </cell>
          <cell r="E908" t="str">
            <v>K21 Endeavour 1.B Move 400 S</v>
          </cell>
          <cell r="F908">
            <v>1</v>
          </cell>
          <cell r="G908">
            <v>0</v>
          </cell>
          <cell r="I908" t="str">
            <v>II153</v>
          </cell>
          <cell r="L908">
            <v>31</v>
          </cell>
          <cell r="M908">
            <v>0.57299999999999995</v>
          </cell>
          <cell r="N908" t="str">
            <v>5W</v>
          </cell>
          <cell r="P908" t="str">
            <v>PONFCS</v>
          </cell>
          <cell r="Q908" t="str">
            <v>/  /</v>
          </cell>
        </row>
        <row r="909">
          <cell r="A909">
            <v>4644129</v>
          </cell>
          <cell r="B909">
            <v>44225</v>
          </cell>
          <cell r="C909" t="str">
            <v>PON</v>
          </cell>
          <cell r="D909">
            <v>637526068</v>
          </cell>
          <cell r="E909" t="str">
            <v>K21 Endv 1.B Move 400 L Grey</v>
          </cell>
          <cell r="F909">
            <v>1</v>
          </cell>
          <cell r="G909">
            <v>0</v>
          </cell>
          <cell r="I909" t="str">
            <v>II153</v>
          </cell>
          <cell r="L909">
            <v>36</v>
          </cell>
          <cell r="M909">
            <v>0.58399999999999996</v>
          </cell>
          <cell r="N909" t="str">
            <v>5W</v>
          </cell>
          <cell r="P909" t="str">
            <v>PONFCS</v>
          </cell>
          <cell r="Q909" t="str">
            <v>/  /</v>
          </cell>
        </row>
        <row r="910">
          <cell r="A910">
            <v>4644130</v>
          </cell>
          <cell r="B910">
            <v>44225</v>
          </cell>
          <cell r="C910" t="str">
            <v>PON</v>
          </cell>
          <cell r="D910">
            <v>637526068</v>
          </cell>
          <cell r="E910" t="str">
            <v>K21 Endv 1.B Move 400 L Grey</v>
          </cell>
          <cell r="F910">
            <v>1</v>
          </cell>
          <cell r="G910">
            <v>0</v>
          </cell>
          <cell r="I910" t="str">
            <v>II153</v>
          </cell>
          <cell r="L910">
            <v>36</v>
          </cell>
          <cell r="M910">
            <v>0.58399999999999996</v>
          </cell>
          <cell r="N910" t="str">
            <v>5W</v>
          </cell>
          <cell r="P910" t="str">
            <v>PONFCS</v>
          </cell>
          <cell r="Q910" t="str">
            <v>/  /</v>
          </cell>
        </row>
        <row r="911">
          <cell r="A911">
            <v>3962932</v>
          </cell>
          <cell r="B911">
            <v>43795</v>
          </cell>
          <cell r="C911" t="str">
            <v>PON</v>
          </cell>
          <cell r="D911">
            <v>633618541</v>
          </cell>
          <cell r="E911" t="str">
            <v>FC EBikeF19 P/Sqre 6.9 54M Slv</v>
          </cell>
          <cell r="F911">
            <v>1</v>
          </cell>
          <cell r="G911">
            <v>0</v>
          </cell>
          <cell r="I911" t="str">
            <v>II154</v>
          </cell>
          <cell r="L911">
            <v>25.4</v>
          </cell>
          <cell r="M911">
            <v>0.58099999999999996</v>
          </cell>
          <cell r="N911" t="str">
            <v>5W</v>
          </cell>
          <cell r="P911" t="str">
            <v>PONFEB</v>
          </cell>
          <cell r="Q911" t="str">
            <v>/  /</v>
          </cell>
        </row>
        <row r="912">
          <cell r="A912">
            <v>4086216</v>
          </cell>
          <cell r="B912">
            <v>43795</v>
          </cell>
          <cell r="C912" t="str">
            <v>PON</v>
          </cell>
          <cell r="D912">
            <v>633618541</v>
          </cell>
          <cell r="E912" t="str">
            <v>FC EBikeF19 P/Sqre 6.9 54M Slv</v>
          </cell>
          <cell r="F912">
            <v>1</v>
          </cell>
          <cell r="G912">
            <v>0</v>
          </cell>
          <cell r="I912" t="str">
            <v>II154</v>
          </cell>
          <cell r="L912">
            <v>25.4</v>
          </cell>
          <cell r="M912">
            <v>0.58099999999999996</v>
          </cell>
          <cell r="N912" t="str">
            <v>5W</v>
          </cell>
          <cell r="P912" t="str">
            <v>PONFEB</v>
          </cell>
          <cell r="Q912" t="str">
            <v>/  /</v>
          </cell>
        </row>
        <row r="913">
          <cell r="A913">
            <v>4087634</v>
          </cell>
          <cell r="B913">
            <v>43795</v>
          </cell>
          <cell r="C913" t="str">
            <v>PON</v>
          </cell>
          <cell r="D913">
            <v>633618541</v>
          </cell>
          <cell r="E913" t="str">
            <v>FC EBikeF19 P/Sqre 6.9 54M Slv</v>
          </cell>
          <cell r="F913">
            <v>1</v>
          </cell>
          <cell r="G913">
            <v>0</v>
          </cell>
          <cell r="I913" t="str">
            <v>II154</v>
          </cell>
          <cell r="L913">
            <v>25.4</v>
          </cell>
          <cell r="M913">
            <v>0.58099999999999996</v>
          </cell>
          <cell r="N913" t="str">
            <v>5W</v>
          </cell>
          <cell r="P913" t="str">
            <v>PONFEB</v>
          </cell>
          <cell r="Q913" t="str">
            <v>/  /</v>
          </cell>
        </row>
        <row r="914">
          <cell r="A914">
            <v>4089434</v>
          </cell>
          <cell r="B914">
            <v>43795</v>
          </cell>
          <cell r="C914" t="str">
            <v>PON</v>
          </cell>
          <cell r="D914">
            <v>633618541</v>
          </cell>
          <cell r="E914" t="str">
            <v>FC EBikeF19 P/Sqre 6.9 54M Slv</v>
          </cell>
          <cell r="F914">
            <v>1</v>
          </cell>
          <cell r="G914">
            <v>0</v>
          </cell>
          <cell r="I914" t="str">
            <v>II154</v>
          </cell>
          <cell r="L914">
            <v>25.4</v>
          </cell>
          <cell r="M914">
            <v>0.58099999999999996</v>
          </cell>
          <cell r="N914" t="str">
            <v>5W</v>
          </cell>
          <cell r="P914" t="str">
            <v>PONFEB</v>
          </cell>
          <cell r="Q914" t="str">
            <v>/  /</v>
          </cell>
        </row>
        <row r="915">
          <cell r="A915">
            <v>3952960</v>
          </cell>
          <cell r="B915">
            <v>43790</v>
          </cell>
          <cell r="C915" t="str">
            <v>PON</v>
          </cell>
          <cell r="D915">
            <v>628078161</v>
          </cell>
          <cell r="E915" t="str">
            <v>CV C18 R5 Disc DA Di2 51 SM</v>
          </cell>
          <cell r="F915">
            <v>1</v>
          </cell>
          <cell r="G915">
            <v>0</v>
          </cell>
          <cell r="I915" t="str">
            <v>II161</v>
          </cell>
          <cell r="L915">
            <v>12.4</v>
          </cell>
          <cell r="M915">
            <v>0.23599999999999999</v>
          </cell>
          <cell r="N915" t="str">
            <v>5W</v>
          </cell>
          <cell r="P915" t="str">
            <v>PONCVL</v>
          </cell>
          <cell r="Q915" t="str">
            <v>/  /</v>
          </cell>
        </row>
        <row r="916">
          <cell r="A916">
            <v>4458809</v>
          </cell>
          <cell r="B916">
            <v>44112</v>
          </cell>
          <cell r="C916" t="str">
            <v>PON</v>
          </cell>
          <cell r="D916">
            <v>637006023</v>
          </cell>
          <cell r="E916" t="str">
            <v>F20 IZ Max Disc 9.7 AXS 54 M</v>
          </cell>
          <cell r="F916">
            <v>1</v>
          </cell>
          <cell r="G916">
            <v>0</v>
          </cell>
          <cell r="I916" t="str">
            <v>II161</v>
          </cell>
          <cell r="L916">
            <v>13.6</v>
          </cell>
          <cell r="M916">
            <v>0.218</v>
          </cell>
          <cell r="N916" t="str">
            <v>5W</v>
          </cell>
          <cell r="P916" t="str">
            <v>PONFCS</v>
          </cell>
          <cell r="Q916" t="str">
            <v>/  /</v>
          </cell>
        </row>
        <row r="917">
          <cell r="A917">
            <v>4458810</v>
          </cell>
          <cell r="B917">
            <v>44112</v>
          </cell>
          <cell r="C917" t="str">
            <v>PON</v>
          </cell>
          <cell r="D917">
            <v>637006023</v>
          </cell>
          <cell r="E917" t="str">
            <v>F20 IZ Max Disc 9.7 AXS 54 M</v>
          </cell>
          <cell r="F917">
            <v>1</v>
          </cell>
          <cell r="G917">
            <v>0</v>
          </cell>
          <cell r="I917" t="str">
            <v>II161</v>
          </cell>
          <cell r="L917">
            <v>13.6</v>
          </cell>
          <cell r="M917">
            <v>0.218</v>
          </cell>
          <cell r="N917" t="str">
            <v>5W</v>
          </cell>
          <cell r="P917" t="str">
            <v>PONFCS</v>
          </cell>
          <cell r="Q917" t="str">
            <v>/  /</v>
          </cell>
        </row>
        <row r="918">
          <cell r="A918">
            <v>4458811</v>
          </cell>
          <cell r="B918">
            <v>44112</v>
          </cell>
          <cell r="C918" t="str">
            <v>PON</v>
          </cell>
          <cell r="D918">
            <v>637006023</v>
          </cell>
          <cell r="E918" t="str">
            <v>F20 IZ Max Disc 9.7 AXS 54 M</v>
          </cell>
          <cell r="F918">
            <v>1</v>
          </cell>
          <cell r="G918">
            <v>0</v>
          </cell>
          <cell r="I918" t="str">
            <v>II161</v>
          </cell>
          <cell r="L918">
            <v>13.6</v>
          </cell>
          <cell r="M918">
            <v>0.218</v>
          </cell>
          <cell r="N918" t="str">
            <v>5W</v>
          </cell>
          <cell r="P918" t="str">
            <v>PONFCS</v>
          </cell>
          <cell r="Q918" t="str">
            <v>/  /</v>
          </cell>
        </row>
        <row r="919">
          <cell r="A919">
            <v>3855697</v>
          </cell>
          <cell r="B919">
            <v>43727</v>
          </cell>
          <cell r="C919" t="str">
            <v>PON</v>
          </cell>
          <cell r="D919">
            <v>637078297</v>
          </cell>
          <cell r="E919" t="str">
            <v>CV C20 PXSer DADi2 XLGry WhBlk</v>
          </cell>
          <cell r="F919">
            <v>1</v>
          </cell>
          <cell r="G919">
            <v>0</v>
          </cell>
          <cell r="I919" t="str">
            <v>II161</v>
          </cell>
          <cell r="L919">
            <v>16.7</v>
          </cell>
          <cell r="M919">
            <v>0.245</v>
          </cell>
          <cell r="N919" t="str">
            <v>5W</v>
          </cell>
          <cell r="P919" t="str">
            <v>PONCVL</v>
          </cell>
          <cell r="Q919" t="str">
            <v>/  /</v>
          </cell>
        </row>
        <row r="920">
          <cell r="A920">
            <v>3943776</v>
          </cell>
          <cell r="B920">
            <v>43784</v>
          </cell>
          <cell r="C920" t="str">
            <v>PON</v>
          </cell>
          <cell r="D920">
            <v>628078191</v>
          </cell>
          <cell r="E920" t="str">
            <v>C18 R5 DA 9100 51 SM</v>
          </cell>
          <cell r="F920">
            <v>1</v>
          </cell>
          <cell r="G920">
            <v>0</v>
          </cell>
          <cell r="I920" t="str">
            <v>II162</v>
          </cell>
          <cell r="L920">
            <v>11.6</v>
          </cell>
          <cell r="M920">
            <v>0.20200000000000001</v>
          </cell>
          <cell r="N920" t="str">
            <v>5W</v>
          </cell>
          <cell r="P920" t="str">
            <v>PONCVL</v>
          </cell>
          <cell r="Q920" t="str">
            <v>/  /</v>
          </cell>
        </row>
        <row r="921">
          <cell r="A921">
            <v>4087381</v>
          </cell>
          <cell r="B921">
            <v>43784</v>
          </cell>
          <cell r="C921" t="str">
            <v>PON</v>
          </cell>
          <cell r="D921">
            <v>628078191</v>
          </cell>
          <cell r="E921" t="str">
            <v>C18 R5 DA 9100 51 SM</v>
          </cell>
          <cell r="F921">
            <v>1</v>
          </cell>
          <cell r="G921">
            <v>0</v>
          </cell>
          <cell r="I921" t="str">
            <v>II162</v>
          </cell>
          <cell r="L921">
            <v>11.6</v>
          </cell>
          <cell r="M921">
            <v>0.20200000000000001</v>
          </cell>
          <cell r="N921" t="str">
            <v>5W</v>
          </cell>
          <cell r="P921" t="str">
            <v>PONCVL</v>
          </cell>
          <cell r="Q921" t="str">
            <v>/  /</v>
          </cell>
        </row>
        <row r="922">
          <cell r="A922">
            <v>4088683</v>
          </cell>
          <cell r="B922">
            <v>43784</v>
          </cell>
          <cell r="C922" t="str">
            <v>PON</v>
          </cell>
          <cell r="D922">
            <v>628078191</v>
          </cell>
          <cell r="E922" t="str">
            <v>C18 R5 DA 9100 51 SM</v>
          </cell>
          <cell r="F922">
            <v>1</v>
          </cell>
          <cell r="G922">
            <v>0</v>
          </cell>
          <cell r="I922" t="str">
            <v>II162</v>
          </cell>
          <cell r="L922">
            <v>11.6</v>
          </cell>
          <cell r="M922">
            <v>0.20200000000000001</v>
          </cell>
          <cell r="N922" t="str">
            <v>5W</v>
          </cell>
          <cell r="P922" t="str">
            <v>PONCVL</v>
          </cell>
          <cell r="Q922" t="str">
            <v>/  /</v>
          </cell>
        </row>
        <row r="923">
          <cell r="A923">
            <v>4459026</v>
          </cell>
          <cell r="B923">
            <v>44112</v>
          </cell>
          <cell r="C923" t="str">
            <v>PON</v>
          </cell>
          <cell r="D923">
            <v>641006253</v>
          </cell>
          <cell r="E923" t="str">
            <v>F21 PARALANE 8.8 56 L STONEBLU</v>
          </cell>
          <cell r="F923">
            <v>1</v>
          </cell>
          <cell r="G923">
            <v>0</v>
          </cell>
          <cell r="I923" t="str">
            <v>II162</v>
          </cell>
          <cell r="L923">
            <v>15.2</v>
          </cell>
          <cell r="M923">
            <v>0.23100000000000001</v>
          </cell>
          <cell r="N923" t="str">
            <v>5W</v>
          </cell>
          <cell r="P923" t="str">
            <v>PONFCS</v>
          </cell>
          <cell r="Q923" t="str">
            <v>/  /</v>
          </cell>
        </row>
        <row r="924">
          <cell r="A924">
            <v>3962931</v>
          </cell>
          <cell r="B924">
            <v>43795</v>
          </cell>
          <cell r="C924" t="str">
            <v>PON</v>
          </cell>
          <cell r="D924">
            <v>633618541</v>
          </cell>
          <cell r="E924" t="str">
            <v>FC EBikeF19 P/Sqre 6.9 54M Slv</v>
          </cell>
          <cell r="F924">
            <v>1</v>
          </cell>
          <cell r="G924">
            <v>0</v>
          </cell>
          <cell r="I924" t="str">
            <v>II163</v>
          </cell>
          <cell r="L924">
            <v>25.4</v>
          </cell>
          <cell r="M924">
            <v>0.58099999999999996</v>
          </cell>
          <cell r="N924" t="str">
            <v>5W</v>
          </cell>
          <cell r="P924" t="str">
            <v>PONFEB</v>
          </cell>
          <cell r="Q924" t="str">
            <v>/  /</v>
          </cell>
        </row>
        <row r="925">
          <cell r="A925">
            <v>4086215</v>
          </cell>
          <cell r="B925">
            <v>43795</v>
          </cell>
          <cell r="C925" t="str">
            <v>PON</v>
          </cell>
          <cell r="D925">
            <v>633618541</v>
          </cell>
          <cell r="E925" t="str">
            <v>FC EBikeF19 P/Sqre 6.9 54M Slv</v>
          </cell>
          <cell r="F925">
            <v>1</v>
          </cell>
          <cell r="G925">
            <v>0</v>
          </cell>
          <cell r="I925" t="str">
            <v>II163</v>
          </cell>
          <cell r="L925">
            <v>25.4</v>
          </cell>
          <cell r="M925">
            <v>0.58099999999999996</v>
          </cell>
          <cell r="N925" t="str">
            <v>5W</v>
          </cell>
          <cell r="P925" t="str">
            <v>PONFEB</v>
          </cell>
          <cell r="Q925" t="str">
            <v>/  /</v>
          </cell>
        </row>
        <row r="926">
          <cell r="A926">
            <v>4087633</v>
          </cell>
          <cell r="B926">
            <v>43795</v>
          </cell>
          <cell r="C926" t="str">
            <v>PON</v>
          </cell>
          <cell r="D926">
            <v>633618541</v>
          </cell>
          <cell r="E926" t="str">
            <v>FC EBikeF19 P/Sqre 6.9 54M Slv</v>
          </cell>
          <cell r="F926">
            <v>1</v>
          </cell>
          <cell r="G926">
            <v>0</v>
          </cell>
          <cell r="I926" t="str">
            <v>II163</v>
          </cell>
          <cell r="L926">
            <v>25.4</v>
          </cell>
          <cell r="M926">
            <v>0.58099999999999996</v>
          </cell>
          <cell r="N926" t="str">
            <v>5W</v>
          </cell>
          <cell r="P926" t="str">
            <v>PONFEB</v>
          </cell>
          <cell r="Q926" t="str">
            <v>/  /</v>
          </cell>
        </row>
        <row r="927">
          <cell r="A927">
            <v>4089433</v>
          </cell>
          <cell r="B927">
            <v>43795</v>
          </cell>
          <cell r="C927" t="str">
            <v>PON</v>
          </cell>
          <cell r="D927">
            <v>633618541</v>
          </cell>
          <cell r="E927" t="str">
            <v>FC EBikeF19 P/Sqre 6.9 54M Slv</v>
          </cell>
          <cell r="F927">
            <v>1</v>
          </cell>
          <cell r="G927">
            <v>0</v>
          </cell>
          <cell r="I927" t="str">
            <v>II163</v>
          </cell>
          <cell r="L927">
            <v>25.4</v>
          </cell>
          <cell r="M927">
            <v>0.58099999999999996</v>
          </cell>
          <cell r="N927" t="str">
            <v>5W</v>
          </cell>
          <cell r="P927" t="str">
            <v>PONFEB</v>
          </cell>
          <cell r="Q927" t="str">
            <v>/  /</v>
          </cell>
        </row>
        <row r="928">
          <cell r="A928">
            <v>4569910</v>
          </cell>
          <cell r="B928">
            <v>44169</v>
          </cell>
          <cell r="C928" t="str">
            <v>PON</v>
          </cell>
          <cell r="D928">
            <v>641527477</v>
          </cell>
          <cell r="E928" t="str">
            <v>K21 Img L 55 WA 500 Coaster</v>
          </cell>
          <cell r="F928">
            <v>1</v>
          </cell>
          <cell r="G928">
            <v>0</v>
          </cell>
          <cell r="I928" t="str">
            <v>II163</v>
          </cell>
          <cell r="L928">
            <v>34.5</v>
          </cell>
          <cell r="M928">
            <v>0.57299999999999995</v>
          </cell>
          <cell r="N928" t="str">
            <v>5W</v>
          </cell>
          <cell r="P928" t="str">
            <v>PONFCS</v>
          </cell>
          <cell r="Q928" t="str">
            <v>/  /</v>
          </cell>
        </row>
        <row r="929">
          <cell r="A929">
            <v>3978382</v>
          </cell>
          <cell r="B929">
            <v>43803</v>
          </cell>
          <cell r="C929" t="str">
            <v>PON</v>
          </cell>
          <cell r="D929" t="str">
            <v>A0823B</v>
          </cell>
          <cell r="E929" t="str">
            <v>GZ G16 Orange C8 HM 57 Men</v>
          </cell>
          <cell r="F929">
            <v>1</v>
          </cell>
          <cell r="G929">
            <v>0</v>
          </cell>
          <cell r="I929" t="str">
            <v>II164</v>
          </cell>
          <cell r="L929">
            <v>35.1</v>
          </cell>
          <cell r="M929">
            <v>0.63200000000000001</v>
          </cell>
          <cell r="N929" t="str">
            <v>5W</v>
          </cell>
          <cell r="P929" t="str">
            <v>PONGAZ</v>
          </cell>
          <cell r="Q929" t="str">
            <v>/  /</v>
          </cell>
        </row>
        <row r="930">
          <cell r="A930">
            <v>3978407</v>
          </cell>
          <cell r="B930">
            <v>43803</v>
          </cell>
          <cell r="C930" t="str">
            <v>PON</v>
          </cell>
          <cell r="D930" t="str">
            <v>SA5018</v>
          </cell>
          <cell r="E930" t="str">
            <v>GZ G17 Classic D57 R3T Show</v>
          </cell>
          <cell r="F930">
            <v>1</v>
          </cell>
          <cell r="G930">
            <v>0</v>
          </cell>
          <cell r="I930" t="str">
            <v>II164</v>
          </cell>
          <cell r="L930">
            <v>27.5</v>
          </cell>
          <cell r="M930">
            <v>0.65800000000000003</v>
          </cell>
          <cell r="N930" t="str">
            <v>5W</v>
          </cell>
          <cell r="P930" t="str">
            <v>PONGAZ</v>
          </cell>
          <cell r="Q930" t="str">
            <v>/  /</v>
          </cell>
        </row>
        <row r="931">
          <cell r="A931">
            <v>4037623</v>
          </cell>
          <cell r="B931">
            <v>43851</v>
          </cell>
          <cell r="C931" t="str">
            <v>PON</v>
          </cell>
          <cell r="D931">
            <v>613508113</v>
          </cell>
          <cell r="E931" t="str">
            <v>FC F13 FS IZ Team 1.0 54 MDDi2</v>
          </cell>
          <cell r="F931">
            <v>1</v>
          </cell>
          <cell r="G931">
            <v>0</v>
          </cell>
          <cell r="I931" t="str">
            <v>IJ012</v>
          </cell>
          <cell r="L931">
            <v>5.9</v>
          </cell>
          <cell r="M931">
            <v>0.20499999999999999</v>
          </cell>
          <cell r="N931" t="str">
            <v>5W</v>
          </cell>
          <cell r="P931" t="str">
            <v>PONFCS</v>
          </cell>
          <cell r="Q931" t="str">
            <v>/  /</v>
          </cell>
        </row>
        <row r="932">
          <cell r="A932">
            <v>4037649</v>
          </cell>
          <cell r="B932">
            <v>43851</v>
          </cell>
          <cell r="C932" t="str">
            <v>PON</v>
          </cell>
          <cell r="D932">
            <v>620508012</v>
          </cell>
          <cell r="E932" t="str">
            <v>FC F15 F/S Mares CX 3.0 54 MD</v>
          </cell>
          <cell r="F932">
            <v>1</v>
          </cell>
          <cell r="G932">
            <v>0</v>
          </cell>
          <cell r="I932" t="str">
            <v>IJ012</v>
          </cell>
          <cell r="L932">
            <v>6</v>
          </cell>
          <cell r="M932">
            <v>0.17399999999999999</v>
          </cell>
          <cell r="N932" t="str">
            <v>5W</v>
          </cell>
          <cell r="P932" t="str">
            <v>PONFCS</v>
          </cell>
          <cell r="Q932" t="str">
            <v>/  /</v>
          </cell>
        </row>
        <row r="933">
          <cell r="A933">
            <v>3921499</v>
          </cell>
          <cell r="B933">
            <v>43773</v>
          </cell>
          <cell r="C933" t="str">
            <v>PON</v>
          </cell>
          <cell r="D933">
            <v>620508081</v>
          </cell>
          <cell r="E933" t="str">
            <v>FC F17 IZ Chrono Sponsor F/S M</v>
          </cell>
          <cell r="F933">
            <v>1</v>
          </cell>
          <cell r="G933">
            <v>0</v>
          </cell>
          <cell r="I933" t="str">
            <v>IJ012</v>
          </cell>
          <cell r="L933">
            <v>8.5</v>
          </cell>
          <cell r="M933">
            <v>0.16300000000000001</v>
          </cell>
          <cell r="N933" t="str">
            <v>5W</v>
          </cell>
          <cell r="P933" t="str">
            <v>PONFCS</v>
          </cell>
          <cell r="Q933" t="str">
            <v>/  /</v>
          </cell>
        </row>
        <row r="934">
          <cell r="A934">
            <v>4081004</v>
          </cell>
          <cell r="B934">
            <v>43773</v>
          </cell>
          <cell r="C934" t="str">
            <v>PON</v>
          </cell>
          <cell r="D934">
            <v>620508081</v>
          </cell>
          <cell r="E934" t="str">
            <v>FC F17 IZ Chrono Sponsor F/S M</v>
          </cell>
          <cell r="F934">
            <v>1</v>
          </cell>
          <cell r="G934">
            <v>0</v>
          </cell>
          <cell r="I934" t="str">
            <v>IJ012</v>
          </cell>
          <cell r="L934">
            <v>8.5</v>
          </cell>
          <cell r="M934">
            <v>0.16300000000000001</v>
          </cell>
          <cell r="N934" t="str">
            <v>5W</v>
          </cell>
          <cell r="P934" t="str">
            <v>PONFCS</v>
          </cell>
          <cell r="Q934" t="str">
            <v>/  /</v>
          </cell>
        </row>
        <row r="935">
          <cell r="A935">
            <v>4575003</v>
          </cell>
          <cell r="B935">
            <v>44173</v>
          </cell>
          <cell r="C935" t="str">
            <v>PON</v>
          </cell>
          <cell r="D935">
            <v>637517351</v>
          </cell>
          <cell r="E935" t="str">
            <v>F21 PLANET2 5.7 TRM 48 BLK 500</v>
          </cell>
          <cell r="F935">
            <v>1</v>
          </cell>
          <cell r="G935">
            <v>0</v>
          </cell>
          <cell r="I935" t="str">
            <v>IJ014</v>
          </cell>
          <cell r="L935">
            <v>32.299999999999997</v>
          </cell>
          <cell r="M935">
            <v>0.57799999999999996</v>
          </cell>
          <cell r="N935" t="str">
            <v>5W</v>
          </cell>
          <cell r="P935" t="str">
            <v>PONFCS</v>
          </cell>
          <cell r="Q935" t="str">
            <v>/  /</v>
          </cell>
        </row>
        <row r="936">
          <cell r="A936">
            <v>4575027</v>
          </cell>
          <cell r="B936">
            <v>44173</v>
          </cell>
          <cell r="C936" t="str">
            <v>PON</v>
          </cell>
          <cell r="D936">
            <v>637518021</v>
          </cell>
          <cell r="E936" t="str">
            <v>F20 Thron2 6.8 44M Grey</v>
          </cell>
          <cell r="F936">
            <v>1</v>
          </cell>
          <cell r="G936">
            <v>0</v>
          </cell>
          <cell r="I936" t="str">
            <v>IJ014</v>
          </cell>
          <cell r="L936">
            <v>33</v>
          </cell>
          <cell r="M936">
            <v>0.58099999999999996</v>
          </cell>
          <cell r="N936" t="str">
            <v>5W</v>
          </cell>
          <cell r="P936" t="str">
            <v>PONFCS</v>
          </cell>
          <cell r="Q936" t="str">
            <v>/  /</v>
          </cell>
        </row>
        <row r="937">
          <cell r="A937">
            <v>3952952</v>
          </cell>
          <cell r="B937">
            <v>43790</v>
          </cell>
          <cell r="C937" t="str">
            <v>PON</v>
          </cell>
          <cell r="D937">
            <v>628073121</v>
          </cell>
          <cell r="E937" t="str">
            <v>CV C18 R5Disc FS 51 SM Blk/Grn</v>
          </cell>
          <cell r="F937">
            <v>1</v>
          </cell>
          <cell r="G937">
            <v>0</v>
          </cell>
          <cell r="I937" t="str">
            <v>IJ021</v>
          </cell>
          <cell r="L937">
            <v>5.4</v>
          </cell>
          <cell r="M937">
            <v>0.14299999999999999</v>
          </cell>
          <cell r="N937" t="str">
            <v>5W</v>
          </cell>
          <cell r="P937" t="str">
            <v>PONCVL</v>
          </cell>
          <cell r="Q937" t="str">
            <v>/  /</v>
          </cell>
        </row>
        <row r="938">
          <cell r="A938">
            <v>3953022</v>
          </cell>
          <cell r="B938">
            <v>43790</v>
          </cell>
          <cell r="C938" t="str">
            <v>PON</v>
          </cell>
          <cell r="D938">
            <v>633073105</v>
          </cell>
          <cell r="E938" t="str">
            <v>CV C19R5 DscF/S 61CMNvy/Rd/Oge</v>
          </cell>
          <cell r="F938">
            <v>1</v>
          </cell>
          <cell r="G938">
            <v>0</v>
          </cell>
          <cell r="I938" t="str">
            <v>IJ021</v>
          </cell>
          <cell r="L938">
            <v>5.8</v>
          </cell>
          <cell r="M938">
            <v>0.16600000000000001</v>
          </cell>
          <cell r="N938" t="str">
            <v>5W</v>
          </cell>
          <cell r="P938" t="str">
            <v>PONCVL</v>
          </cell>
          <cell r="Q938" t="str">
            <v>/  /</v>
          </cell>
        </row>
        <row r="939">
          <cell r="A939">
            <v>3940628</v>
          </cell>
          <cell r="B939">
            <v>43784</v>
          </cell>
          <cell r="C939" t="str">
            <v>PON</v>
          </cell>
          <cell r="D939">
            <v>633073602</v>
          </cell>
          <cell r="E939" t="str">
            <v>CV C19C3 DscF/S 54CMOlv/Oge/Rd</v>
          </cell>
          <cell r="F939">
            <v>1</v>
          </cell>
          <cell r="G939">
            <v>0</v>
          </cell>
          <cell r="I939" t="str">
            <v>IJ021</v>
          </cell>
          <cell r="L939">
            <v>5.4</v>
          </cell>
          <cell r="M939">
            <v>0.127</v>
          </cell>
          <cell r="N939" t="str">
            <v>5W</v>
          </cell>
          <cell r="P939" t="str">
            <v>PONCVL</v>
          </cell>
          <cell r="Q939" t="str">
            <v>/  /</v>
          </cell>
        </row>
        <row r="940">
          <cell r="A940">
            <v>3994363</v>
          </cell>
          <cell r="B940">
            <v>43811</v>
          </cell>
          <cell r="C940" t="str">
            <v>PON</v>
          </cell>
          <cell r="D940">
            <v>620508061</v>
          </cell>
          <cell r="E940" t="str">
            <v>FC F15 F/S Cayo 3.0 Disc 51 SM</v>
          </cell>
          <cell r="F940">
            <v>1</v>
          </cell>
          <cell r="G940">
            <v>0</v>
          </cell>
          <cell r="I940" t="str">
            <v>IJ022</v>
          </cell>
          <cell r="L940">
            <v>5.7</v>
          </cell>
          <cell r="M940">
            <v>0.17299999999999999</v>
          </cell>
          <cell r="N940" t="str">
            <v>5W</v>
          </cell>
          <cell r="P940" t="str">
            <v>PONFCS</v>
          </cell>
          <cell r="Q940" t="str">
            <v>/  /</v>
          </cell>
        </row>
        <row r="941">
          <cell r="A941">
            <v>3994369</v>
          </cell>
          <cell r="B941">
            <v>43811</v>
          </cell>
          <cell r="C941" t="str">
            <v>PON</v>
          </cell>
          <cell r="D941">
            <v>623508091</v>
          </cell>
          <cell r="E941" t="str">
            <v>Focus F16 F/S Cayo Disc 51 SM</v>
          </cell>
          <cell r="F941">
            <v>1</v>
          </cell>
          <cell r="G941">
            <v>0</v>
          </cell>
          <cell r="I941" t="str">
            <v>IJ022</v>
          </cell>
          <cell r="L941">
            <v>5.6</v>
          </cell>
          <cell r="M941">
            <v>0.153</v>
          </cell>
          <cell r="N941" t="str">
            <v>5W</v>
          </cell>
          <cell r="P941" t="str">
            <v>PONFCS</v>
          </cell>
          <cell r="Q941" t="str">
            <v>/  /</v>
          </cell>
        </row>
        <row r="942">
          <cell r="A942">
            <v>4087318</v>
          </cell>
          <cell r="B942">
            <v>43811</v>
          </cell>
          <cell r="C942" t="str">
            <v>PON</v>
          </cell>
          <cell r="D942">
            <v>623508091</v>
          </cell>
          <cell r="E942" t="str">
            <v>Focus F16 F/S Cayo Disc 51 SM</v>
          </cell>
          <cell r="F942">
            <v>1</v>
          </cell>
          <cell r="G942">
            <v>0</v>
          </cell>
          <cell r="I942" t="str">
            <v>IJ022</v>
          </cell>
          <cell r="L942">
            <v>5.6</v>
          </cell>
          <cell r="M942">
            <v>0.153</v>
          </cell>
          <cell r="N942" t="str">
            <v>5W</v>
          </cell>
          <cell r="P942" t="str">
            <v>PONFCS</v>
          </cell>
          <cell r="Q942" t="str">
            <v>/  /</v>
          </cell>
        </row>
        <row r="943">
          <cell r="A943">
            <v>4088608</v>
          </cell>
          <cell r="B943">
            <v>43811</v>
          </cell>
          <cell r="C943" t="str">
            <v>PON</v>
          </cell>
          <cell r="D943">
            <v>623508091</v>
          </cell>
          <cell r="E943" t="str">
            <v>Focus F16 F/S Cayo Disc 51 SM</v>
          </cell>
          <cell r="F943">
            <v>1</v>
          </cell>
          <cell r="G943">
            <v>0</v>
          </cell>
          <cell r="I943" t="str">
            <v>IJ022</v>
          </cell>
          <cell r="L943">
            <v>5.6</v>
          </cell>
          <cell r="M943">
            <v>0.153</v>
          </cell>
          <cell r="N943" t="str">
            <v>5W</v>
          </cell>
          <cell r="P943" t="str">
            <v>PONFCS</v>
          </cell>
          <cell r="Q943" t="str">
            <v>/  /</v>
          </cell>
        </row>
        <row r="944">
          <cell r="A944">
            <v>3922721</v>
          </cell>
          <cell r="B944">
            <v>43774</v>
          </cell>
          <cell r="C944" t="str">
            <v>PON</v>
          </cell>
          <cell r="D944">
            <v>628073062</v>
          </cell>
          <cell r="E944" t="str">
            <v>CV C18 R3 Disc F/S 54 MD Fluo</v>
          </cell>
          <cell r="F944">
            <v>1</v>
          </cell>
          <cell r="G944">
            <v>0</v>
          </cell>
          <cell r="I944" t="str">
            <v>IJ031</v>
          </cell>
          <cell r="L944">
            <v>5.7</v>
          </cell>
          <cell r="M944">
            <v>0.154</v>
          </cell>
          <cell r="N944" t="str">
            <v>5W</v>
          </cell>
          <cell r="P944" t="str">
            <v>PONCVL</v>
          </cell>
          <cell r="Q944" t="str">
            <v>/  /</v>
          </cell>
        </row>
        <row r="945">
          <cell r="A945">
            <v>4081101</v>
          </cell>
          <cell r="B945">
            <v>43787</v>
          </cell>
          <cell r="C945" t="str">
            <v>PON</v>
          </cell>
          <cell r="D945">
            <v>628073122</v>
          </cell>
          <cell r="E945" t="str">
            <v>CV C18 R5Disc FS 54 MD Blk/Grn</v>
          </cell>
          <cell r="F945">
            <v>1</v>
          </cell>
          <cell r="G945">
            <v>0</v>
          </cell>
          <cell r="I945" t="str">
            <v>IJ032</v>
          </cell>
          <cell r="L945">
            <v>5.4</v>
          </cell>
          <cell r="M945">
            <v>0.156</v>
          </cell>
          <cell r="N945" t="str">
            <v>5W</v>
          </cell>
          <cell r="P945" t="str">
            <v>PONCVL</v>
          </cell>
          <cell r="Q945" t="str">
            <v>/  /</v>
          </cell>
        </row>
        <row r="946">
          <cell r="A946">
            <v>3946368</v>
          </cell>
          <cell r="B946">
            <v>43787</v>
          </cell>
          <cell r="C946" t="str">
            <v>PON</v>
          </cell>
          <cell r="D946">
            <v>633073125</v>
          </cell>
          <cell r="E946" t="str">
            <v>CV C19R5 DscF/S 61CMEm/Grn/Flu</v>
          </cell>
          <cell r="F946">
            <v>1</v>
          </cell>
          <cell r="G946">
            <v>0</v>
          </cell>
          <cell r="I946" t="str">
            <v>IJ032</v>
          </cell>
          <cell r="L946">
            <v>5.7</v>
          </cell>
          <cell r="M946">
            <v>0.158</v>
          </cell>
          <cell r="N946" t="str">
            <v>5W</v>
          </cell>
          <cell r="P946" t="str">
            <v>PONCVL</v>
          </cell>
          <cell r="Q946" t="str">
            <v>/  /</v>
          </cell>
        </row>
        <row r="947">
          <cell r="A947">
            <v>3940212</v>
          </cell>
          <cell r="B947">
            <v>43783</v>
          </cell>
          <cell r="C947" t="str">
            <v>PON</v>
          </cell>
          <cell r="D947">
            <v>633073603</v>
          </cell>
          <cell r="E947" t="str">
            <v>CV C19C3 DscF/S 56CMOlv/Oge/Rd</v>
          </cell>
          <cell r="F947">
            <v>1</v>
          </cell>
          <cell r="G947">
            <v>0</v>
          </cell>
          <cell r="I947" t="str">
            <v>IJ041</v>
          </cell>
          <cell r="L947">
            <v>5.8</v>
          </cell>
          <cell r="M947">
            <v>0.155</v>
          </cell>
          <cell r="N947" t="str">
            <v>5W</v>
          </cell>
          <cell r="P947" t="str">
            <v>PONCVL</v>
          </cell>
          <cell r="Q947" t="str">
            <v>/  /</v>
          </cell>
        </row>
        <row r="948">
          <cell r="A948">
            <v>3940242</v>
          </cell>
          <cell r="B948">
            <v>43783</v>
          </cell>
          <cell r="C948" t="str">
            <v>PON</v>
          </cell>
          <cell r="D948" t="str">
            <v>FS623008061</v>
          </cell>
          <cell r="E948" t="str">
            <v>Focus F16 F/S IZ Max Ult 50 XS</v>
          </cell>
          <cell r="F948">
            <v>1</v>
          </cell>
          <cell r="G948">
            <v>0</v>
          </cell>
          <cell r="I948" t="str">
            <v>IJ041</v>
          </cell>
          <cell r="L948">
            <v>5.2</v>
          </cell>
          <cell r="M948">
            <v>0.14899999999999999</v>
          </cell>
          <cell r="N948" t="str">
            <v>5W</v>
          </cell>
          <cell r="P948" t="str">
            <v>PONFCS</v>
          </cell>
          <cell r="Q948" t="str">
            <v>/  /</v>
          </cell>
        </row>
        <row r="949">
          <cell r="A949">
            <v>3929620</v>
          </cell>
          <cell r="B949">
            <v>43777</v>
          </cell>
          <cell r="C949" t="str">
            <v>PON</v>
          </cell>
          <cell r="D949">
            <v>628073090</v>
          </cell>
          <cell r="E949" t="str">
            <v>CV C18 R5 F/S 48 XS Black/Fluo</v>
          </cell>
          <cell r="F949">
            <v>1</v>
          </cell>
          <cell r="G949">
            <v>0</v>
          </cell>
          <cell r="I949" t="str">
            <v>IJ042</v>
          </cell>
          <cell r="L949">
            <v>5</v>
          </cell>
          <cell r="M949">
            <v>0.11899999999999999</v>
          </cell>
          <cell r="N949" t="str">
            <v>5W</v>
          </cell>
          <cell r="P949" t="str">
            <v>PONCVL</v>
          </cell>
          <cell r="Q949" t="str">
            <v>/  /</v>
          </cell>
        </row>
        <row r="950">
          <cell r="A950">
            <v>3923926</v>
          </cell>
          <cell r="B950">
            <v>43775</v>
          </cell>
          <cell r="C950" t="str">
            <v>PON</v>
          </cell>
          <cell r="D950">
            <v>633073022</v>
          </cell>
          <cell r="E950" t="str">
            <v>CV C19R5 RimF/S 54CMEm/Grn/Flu</v>
          </cell>
          <cell r="F950">
            <v>1</v>
          </cell>
          <cell r="G950">
            <v>0</v>
          </cell>
          <cell r="I950" t="str">
            <v>IJ042</v>
          </cell>
          <cell r="L950">
            <v>5</v>
          </cell>
          <cell r="M950">
            <v>0.129</v>
          </cell>
          <cell r="N950" t="str">
            <v>5W</v>
          </cell>
          <cell r="P950" t="str">
            <v>PONCVL</v>
          </cell>
          <cell r="Q950" t="str">
            <v>/  /</v>
          </cell>
        </row>
        <row r="951">
          <cell r="A951">
            <v>4088503</v>
          </cell>
          <cell r="B951">
            <v>43787</v>
          </cell>
          <cell r="C951" t="str">
            <v>PON</v>
          </cell>
          <cell r="D951" t="str">
            <v>OCOS5DFS1X54</v>
          </cell>
          <cell r="E951" t="str">
            <v>S5 Frameset Blck Red/Wht Sz 54</v>
          </cell>
          <cell r="F951">
            <v>1</v>
          </cell>
          <cell r="G951">
            <v>0</v>
          </cell>
          <cell r="I951" t="str">
            <v>IJ042</v>
          </cell>
          <cell r="L951">
            <v>5.3</v>
          </cell>
          <cell r="M951">
            <v>0.14199999999999999</v>
          </cell>
          <cell r="N951" t="str">
            <v>5W</v>
          </cell>
          <cell r="P951" t="str">
            <v>PONCVL</v>
          </cell>
          <cell r="Q951" t="str">
            <v>/  /</v>
          </cell>
        </row>
        <row r="952">
          <cell r="A952">
            <v>4081144</v>
          </cell>
          <cell r="B952">
            <v>43766</v>
          </cell>
          <cell r="C952" t="str">
            <v>PON</v>
          </cell>
          <cell r="D952">
            <v>628508404</v>
          </cell>
          <cell r="E952" t="str">
            <v>Focus F18 Mares Rapha F/S 58XL</v>
          </cell>
          <cell r="F952">
            <v>1</v>
          </cell>
          <cell r="G952">
            <v>0</v>
          </cell>
          <cell r="I952" t="str">
            <v>IJ052</v>
          </cell>
          <cell r="L952">
            <v>6</v>
          </cell>
          <cell r="M952">
            <v>0.16500000000000001</v>
          </cell>
          <cell r="N952" t="str">
            <v>5W</v>
          </cell>
          <cell r="P952" t="str">
            <v>PONFCS</v>
          </cell>
          <cell r="Q952" t="str">
            <v>/  /</v>
          </cell>
        </row>
        <row r="953">
          <cell r="A953">
            <v>3923930</v>
          </cell>
          <cell r="B953">
            <v>43775</v>
          </cell>
          <cell r="C953" t="str">
            <v>PON</v>
          </cell>
          <cell r="D953">
            <v>633073460</v>
          </cell>
          <cell r="E953" t="str">
            <v>CV C19S3 RimF/S 48CMEm/Nvy/Grn</v>
          </cell>
          <cell r="F953">
            <v>1</v>
          </cell>
          <cell r="G953">
            <v>0</v>
          </cell>
          <cell r="I953" t="str">
            <v>IJ061</v>
          </cell>
          <cell r="L953">
            <v>6.7</v>
          </cell>
          <cell r="M953">
            <v>0.16700000000000001</v>
          </cell>
          <cell r="N953" t="str">
            <v>5W</v>
          </cell>
          <cell r="P953" t="str">
            <v>PONCVL</v>
          </cell>
          <cell r="Q953" t="str">
            <v>/  /</v>
          </cell>
        </row>
        <row r="954">
          <cell r="A954">
            <v>4088969</v>
          </cell>
          <cell r="B954">
            <v>43787</v>
          </cell>
          <cell r="C954" t="str">
            <v>PON</v>
          </cell>
          <cell r="D954">
            <v>633073462</v>
          </cell>
          <cell r="E954" t="str">
            <v>CV C19S3 RimF/S 54CMEm/Nvy/Grn</v>
          </cell>
          <cell r="F954">
            <v>1</v>
          </cell>
          <cell r="G954">
            <v>0</v>
          </cell>
          <cell r="I954" t="str">
            <v>IJ061</v>
          </cell>
          <cell r="J954">
            <v>1</v>
          </cell>
          <cell r="L954">
            <v>6.9</v>
          </cell>
          <cell r="M954">
            <v>0.16900000000000001</v>
          </cell>
          <cell r="N954" t="str">
            <v>5W</v>
          </cell>
          <cell r="P954" t="str">
            <v>PONCVL</v>
          </cell>
          <cell r="Q954" t="str">
            <v>/  /</v>
          </cell>
        </row>
        <row r="955">
          <cell r="A955">
            <v>3899147</v>
          </cell>
          <cell r="B955">
            <v>43752</v>
          </cell>
          <cell r="C955" t="str">
            <v>PON</v>
          </cell>
          <cell r="D955">
            <v>613508122</v>
          </cell>
          <cell r="E955" t="str">
            <v>FC F13 FS IZ Team 2.0 50 XSDI2</v>
          </cell>
          <cell r="F955">
            <v>1</v>
          </cell>
          <cell r="G955">
            <v>0</v>
          </cell>
          <cell r="I955" t="str">
            <v>IJ062</v>
          </cell>
          <cell r="L955">
            <v>6</v>
          </cell>
          <cell r="M955">
            <v>0.151</v>
          </cell>
          <cell r="N955" t="str">
            <v>5W</v>
          </cell>
          <cell r="P955" t="str">
            <v>PONFCS</v>
          </cell>
          <cell r="Q955" t="str">
            <v>/  /</v>
          </cell>
        </row>
        <row r="956">
          <cell r="A956">
            <v>4011381</v>
          </cell>
          <cell r="B956">
            <v>43822</v>
          </cell>
          <cell r="C956" t="str">
            <v>PON</v>
          </cell>
          <cell r="D956">
            <v>625508013</v>
          </cell>
          <cell r="E956" t="str">
            <v>FC F17 IZ Max AG2R F/S 54 MD</v>
          </cell>
          <cell r="F956">
            <v>1</v>
          </cell>
          <cell r="G956">
            <v>0</v>
          </cell>
          <cell r="I956" t="str">
            <v>IJ062</v>
          </cell>
          <cell r="L956">
            <v>6.1</v>
          </cell>
          <cell r="M956">
            <v>0.161</v>
          </cell>
          <cell r="N956" t="str">
            <v>5W</v>
          </cell>
          <cell r="P956" t="str">
            <v>PONFCS</v>
          </cell>
          <cell r="Q956" t="str">
            <v>/  /</v>
          </cell>
        </row>
        <row r="957">
          <cell r="A957">
            <v>4036373</v>
          </cell>
          <cell r="B957">
            <v>43851</v>
          </cell>
          <cell r="C957" t="str">
            <v>PON</v>
          </cell>
          <cell r="D957">
            <v>613076022</v>
          </cell>
          <cell r="E957" t="str">
            <v>Cervelo C13 S5 FS 51</v>
          </cell>
          <cell r="F957">
            <v>1</v>
          </cell>
          <cell r="G957">
            <v>0</v>
          </cell>
          <cell r="I957" t="str">
            <v>IJ071</v>
          </cell>
          <cell r="L957">
            <v>5.6</v>
          </cell>
          <cell r="M957">
            <v>0.13</v>
          </cell>
          <cell r="N957" t="str">
            <v>5W</v>
          </cell>
          <cell r="P957" t="str">
            <v>PONCVL</v>
          </cell>
          <cell r="Q957" t="str">
            <v>/  /</v>
          </cell>
        </row>
        <row r="958">
          <cell r="A958">
            <v>4080948</v>
          </cell>
          <cell r="B958">
            <v>43851</v>
          </cell>
          <cell r="C958" t="str">
            <v>PON</v>
          </cell>
          <cell r="D958">
            <v>613076022</v>
          </cell>
          <cell r="E958" t="str">
            <v>Cervelo C13 S5 FS 51</v>
          </cell>
          <cell r="F958">
            <v>1</v>
          </cell>
          <cell r="G958">
            <v>0</v>
          </cell>
          <cell r="I958" t="str">
            <v>IJ071</v>
          </cell>
          <cell r="L958">
            <v>5.6</v>
          </cell>
          <cell r="M958">
            <v>0.13</v>
          </cell>
          <cell r="N958" t="str">
            <v>5W</v>
          </cell>
          <cell r="P958" t="str">
            <v>PONCVL</v>
          </cell>
          <cell r="Q958" t="str">
            <v>/  /</v>
          </cell>
        </row>
        <row r="959">
          <cell r="A959">
            <v>4036375</v>
          </cell>
          <cell r="B959">
            <v>43851</v>
          </cell>
          <cell r="C959" t="str">
            <v>PON</v>
          </cell>
          <cell r="D959">
            <v>613076036</v>
          </cell>
          <cell r="E959" t="str">
            <v>Cervelo C13 S5 VWD FS 61</v>
          </cell>
          <cell r="F959">
            <v>1</v>
          </cell>
          <cell r="G959">
            <v>0</v>
          </cell>
          <cell r="I959" t="str">
            <v>IJ071</v>
          </cell>
          <cell r="L959">
            <v>5.8</v>
          </cell>
          <cell r="M959">
            <v>0.15</v>
          </cell>
          <cell r="N959" t="str">
            <v>5W</v>
          </cell>
          <cell r="P959" t="str">
            <v>PONCVL</v>
          </cell>
          <cell r="Q959" t="str">
            <v>/  /</v>
          </cell>
        </row>
        <row r="960">
          <cell r="A960">
            <v>4080949</v>
          </cell>
          <cell r="B960">
            <v>43851</v>
          </cell>
          <cell r="C960" t="str">
            <v>PON</v>
          </cell>
          <cell r="D960">
            <v>613076036</v>
          </cell>
          <cell r="E960" t="str">
            <v>Cervelo C13 S5 VWD FS 61</v>
          </cell>
          <cell r="F960">
            <v>1</v>
          </cell>
          <cell r="G960">
            <v>0</v>
          </cell>
          <cell r="I960" t="str">
            <v>IJ071</v>
          </cell>
          <cell r="L960">
            <v>5.8</v>
          </cell>
          <cell r="M960">
            <v>0.15</v>
          </cell>
          <cell r="N960" t="str">
            <v>5W</v>
          </cell>
          <cell r="P960" t="str">
            <v>PONCVL</v>
          </cell>
          <cell r="Q960" t="str">
            <v>/  /</v>
          </cell>
        </row>
        <row r="961">
          <cell r="A961">
            <v>4087522</v>
          </cell>
          <cell r="B961">
            <v>43787</v>
          </cell>
          <cell r="C961" t="str">
            <v>PON</v>
          </cell>
          <cell r="D961">
            <v>633073311</v>
          </cell>
          <cell r="E961" t="str">
            <v>CV C19 R3 Dsc F/S 51CM Blk /Wh</v>
          </cell>
          <cell r="F961">
            <v>1</v>
          </cell>
          <cell r="G961">
            <v>0</v>
          </cell>
          <cell r="I961" t="str">
            <v>IJ072</v>
          </cell>
          <cell r="L961">
            <v>3.5</v>
          </cell>
          <cell r="M961">
            <v>0.182</v>
          </cell>
          <cell r="N961" t="str">
            <v>5W</v>
          </cell>
          <cell r="P961" t="str">
            <v>PONCVL</v>
          </cell>
          <cell r="Q961" t="str">
            <v>/  /</v>
          </cell>
        </row>
        <row r="962">
          <cell r="A962">
            <v>4088948</v>
          </cell>
          <cell r="B962">
            <v>43787</v>
          </cell>
          <cell r="C962" t="str">
            <v>PON</v>
          </cell>
          <cell r="D962">
            <v>633073311</v>
          </cell>
          <cell r="E962" t="str">
            <v>CV C19 R3 Dsc F/S 51CM Blk /Wh</v>
          </cell>
          <cell r="F962">
            <v>1</v>
          </cell>
          <cell r="G962">
            <v>0</v>
          </cell>
          <cell r="I962" t="str">
            <v>IJ072</v>
          </cell>
          <cell r="L962">
            <v>3.5</v>
          </cell>
          <cell r="M962">
            <v>0.182</v>
          </cell>
          <cell r="N962" t="str">
            <v>5W</v>
          </cell>
          <cell r="P962" t="str">
            <v>PONCVL</v>
          </cell>
          <cell r="Q962" t="str">
            <v>/  /</v>
          </cell>
        </row>
        <row r="963">
          <cell r="A963">
            <v>4167074</v>
          </cell>
          <cell r="B963">
            <v>43900</v>
          </cell>
          <cell r="C963" t="str">
            <v>PON</v>
          </cell>
          <cell r="D963">
            <v>637073012</v>
          </cell>
          <cell r="E963" t="str">
            <v>C20 Aspero F/set DTeal LTeal48</v>
          </cell>
          <cell r="F963">
            <v>1</v>
          </cell>
          <cell r="G963">
            <v>0</v>
          </cell>
          <cell r="I963" t="str">
            <v>IJ072</v>
          </cell>
          <cell r="L963">
            <v>4</v>
          </cell>
          <cell r="M963">
            <v>0.17899999999999999</v>
          </cell>
          <cell r="N963" t="str">
            <v>5W</v>
          </cell>
          <cell r="P963" t="str">
            <v>PONCVL</v>
          </cell>
          <cell r="Q963" t="str">
            <v>/  /</v>
          </cell>
        </row>
        <row r="964">
          <cell r="A964">
            <v>3953666</v>
          </cell>
          <cell r="B964">
            <v>43790</v>
          </cell>
          <cell r="C964" t="str">
            <v>PON</v>
          </cell>
          <cell r="D964">
            <v>633073012</v>
          </cell>
          <cell r="E964" t="str">
            <v>CV C19 R5 Rim F/S 54CM Blk/Gph</v>
          </cell>
          <cell r="F964">
            <v>1</v>
          </cell>
          <cell r="G964">
            <v>0</v>
          </cell>
          <cell r="I964" t="str">
            <v>IJ081</v>
          </cell>
          <cell r="L964">
            <v>5</v>
          </cell>
          <cell r="M964">
            <v>0.13100000000000001</v>
          </cell>
          <cell r="N964" t="str">
            <v>5W</v>
          </cell>
          <cell r="P964" t="str">
            <v>PONCVL</v>
          </cell>
          <cell r="Q964" t="str">
            <v>/  /</v>
          </cell>
        </row>
        <row r="965">
          <cell r="A965">
            <v>3947283</v>
          </cell>
          <cell r="B965">
            <v>43788</v>
          </cell>
          <cell r="C965" t="str">
            <v>PON</v>
          </cell>
          <cell r="D965">
            <v>633073045</v>
          </cell>
          <cell r="E965" t="str">
            <v>CV C19R5 Rim F/S 61CMRd/Wh/Nvy</v>
          </cell>
          <cell r="F965">
            <v>1</v>
          </cell>
          <cell r="G965">
            <v>0</v>
          </cell>
          <cell r="I965" t="str">
            <v>IJ081</v>
          </cell>
          <cell r="L965">
            <v>5.5</v>
          </cell>
          <cell r="M965">
            <v>0.17199999999999999</v>
          </cell>
          <cell r="N965" t="str">
            <v>5W</v>
          </cell>
          <cell r="P965" t="str">
            <v>PONCVL</v>
          </cell>
          <cell r="Q965" t="str">
            <v>/  /</v>
          </cell>
        </row>
        <row r="966">
          <cell r="A966">
            <v>3947285</v>
          </cell>
          <cell r="B966">
            <v>43788</v>
          </cell>
          <cell r="C966" t="str">
            <v>PON</v>
          </cell>
          <cell r="D966">
            <v>633073065</v>
          </cell>
          <cell r="E966" t="str">
            <v>CV C19 R5 Rim F/S 61CM Blk/Cr</v>
          </cell>
          <cell r="F966">
            <v>1</v>
          </cell>
          <cell r="G966">
            <v>0</v>
          </cell>
          <cell r="I966" t="str">
            <v>IJ081</v>
          </cell>
          <cell r="L966">
            <v>5.5</v>
          </cell>
          <cell r="M966">
            <v>0.17199999999999999</v>
          </cell>
          <cell r="N966" t="str">
            <v>5W</v>
          </cell>
          <cell r="P966" t="str">
            <v>PONCVL</v>
          </cell>
          <cell r="Q966" t="str">
            <v>/  /</v>
          </cell>
        </row>
        <row r="967">
          <cell r="A967">
            <v>3947292</v>
          </cell>
          <cell r="B967">
            <v>43788</v>
          </cell>
          <cell r="C967" t="str">
            <v>PON</v>
          </cell>
          <cell r="D967">
            <v>633073130</v>
          </cell>
          <cell r="E967" t="str">
            <v>C19 R5 Ltd FS Dsc 48 XS Camo</v>
          </cell>
          <cell r="F967">
            <v>1</v>
          </cell>
          <cell r="G967">
            <v>0</v>
          </cell>
          <cell r="I967" t="str">
            <v>IJ081</v>
          </cell>
          <cell r="L967">
            <v>5.0999999999999996</v>
          </cell>
          <cell r="M967">
            <v>0.13800000000000001</v>
          </cell>
          <cell r="N967" t="str">
            <v>5W</v>
          </cell>
          <cell r="P967" t="str">
            <v>PONCVL</v>
          </cell>
          <cell r="Q967" t="str">
            <v>/  /</v>
          </cell>
        </row>
        <row r="968">
          <cell r="A968">
            <v>3953112</v>
          </cell>
          <cell r="B968">
            <v>43790</v>
          </cell>
          <cell r="C968" t="str">
            <v>PON</v>
          </cell>
          <cell r="D968">
            <v>628073094</v>
          </cell>
          <cell r="E968" t="str">
            <v>CV C18 R5 F/S 58 XL Black/Fluo</v>
          </cell>
          <cell r="F968">
            <v>1</v>
          </cell>
          <cell r="G968">
            <v>0</v>
          </cell>
          <cell r="I968" t="str">
            <v>IJ092</v>
          </cell>
          <cell r="L968">
            <v>5.2</v>
          </cell>
          <cell r="M968">
            <v>0.14799999999999999</v>
          </cell>
          <cell r="N968" t="str">
            <v>5W</v>
          </cell>
          <cell r="P968" t="str">
            <v>PONCVL</v>
          </cell>
          <cell r="Q968" t="str">
            <v>/  /</v>
          </cell>
        </row>
        <row r="969">
          <cell r="A969">
            <v>3952950</v>
          </cell>
          <cell r="B969">
            <v>43790</v>
          </cell>
          <cell r="C969" t="str">
            <v>PON</v>
          </cell>
          <cell r="D969">
            <v>628073104</v>
          </cell>
          <cell r="E969" t="str">
            <v>CV C18 R5 F/S 58 XL Blk/Green</v>
          </cell>
          <cell r="F969">
            <v>1</v>
          </cell>
          <cell r="G969">
            <v>0</v>
          </cell>
          <cell r="I969" t="str">
            <v>IJ092</v>
          </cell>
          <cell r="L969">
            <v>5.3</v>
          </cell>
          <cell r="M969">
            <v>0.14799999999999999</v>
          </cell>
          <cell r="N969" t="str">
            <v>5W</v>
          </cell>
          <cell r="P969" t="str">
            <v>PONCVL</v>
          </cell>
          <cell r="Q969" t="str">
            <v>/  /</v>
          </cell>
        </row>
        <row r="970">
          <cell r="A970">
            <v>3953108</v>
          </cell>
          <cell r="B970">
            <v>43790</v>
          </cell>
          <cell r="C970" t="str">
            <v>PON</v>
          </cell>
          <cell r="D970">
            <v>633073054</v>
          </cell>
          <cell r="E970" t="str">
            <v>CV C19 R5 Ltd FS 58 XL Camo</v>
          </cell>
          <cell r="F970">
            <v>1</v>
          </cell>
          <cell r="G970">
            <v>0</v>
          </cell>
          <cell r="I970" t="str">
            <v>IJ092</v>
          </cell>
          <cell r="L970">
            <v>5.3</v>
          </cell>
          <cell r="M970">
            <v>0.161</v>
          </cell>
          <cell r="N970" t="str">
            <v>5W</v>
          </cell>
          <cell r="P970" t="str">
            <v>PONCVL</v>
          </cell>
          <cell r="Q970" t="str">
            <v>/  /</v>
          </cell>
        </row>
        <row r="971">
          <cell r="A971">
            <v>3953680</v>
          </cell>
          <cell r="B971">
            <v>43790</v>
          </cell>
          <cell r="C971" t="str">
            <v>PON</v>
          </cell>
          <cell r="D971">
            <v>633073313</v>
          </cell>
          <cell r="E971" t="str">
            <v>CV C19 R3 Dsc F/S 56CM Blk/Wh</v>
          </cell>
          <cell r="F971">
            <v>1</v>
          </cell>
          <cell r="G971">
            <v>0</v>
          </cell>
          <cell r="I971" t="str">
            <v>IJ092</v>
          </cell>
          <cell r="L971">
            <v>3.6</v>
          </cell>
          <cell r="M971">
            <v>0.182</v>
          </cell>
          <cell r="N971" t="str">
            <v>5W</v>
          </cell>
          <cell r="P971" t="str">
            <v>PONCVL</v>
          </cell>
          <cell r="Q971" t="str">
            <v>/  /</v>
          </cell>
        </row>
        <row r="972">
          <cell r="A972">
            <v>4022076</v>
          </cell>
          <cell r="B972">
            <v>43838</v>
          </cell>
          <cell r="C972" t="str">
            <v>PON</v>
          </cell>
          <cell r="D972">
            <v>628509103</v>
          </cell>
          <cell r="E972" t="str">
            <v>FC F18 IZ Max Disc DI2 F/S 54M</v>
          </cell>
          <cell r="F972">
            <v>1</v>
          </cell>
          <cell r="G972">
            <v>0</v>
          </cell>
          <cell r="I972" t="str">
            <v>IJ101</v>
          </cell>
          <cell r="L972">
            <v>5.4</v>
          </cell>
          <cell r="M972">
            <v>0.17599999999999999</v>
          </cell>
          <cell r="N972" t="str">
            <v>5W</v>
          </cell>
          <cell r="P972" t="str">
            <v>PONFCS</v>
          </cell>
          <cell r="Q972" t="str">
            <v>/  /</v>
          </cell>
        </row>
        <row r="973">
          <cell r="A973">
            <v>4022078</v>
          </cell>
          <cell r="B973">
            <v>43838</v>
          </cell>
          <cell r="C973" t="str">
            <v>PON</v>
          </cell>
          <cell r="D973">
            <v>628509104</v>
          </cell>
          <cell r="E973" t="str">
            <v>FC F18 IZ Max Disc DI2 F/S 56L</v>
          </cell>
          <cell r="F973">
            <v>1</v>
          </cell>
          <cell r="G973">
            <v>0</v>
          </cell>
          <cell r="I973" t="str">
            <v>IJ101</v>
          </cell>
          <cell r="L973">
            <v>4.9000000000000004</v>
          </cell>
          <cell r="M973">
            <v>1.1519999999999999</v>
          </cell>
          <cell r="N973" t="str">
            <v>5W</v>
          </cell>
          <cell r="P973" t="str">
            <v>PONFCS</v>
          </cell>
          <cell r="Q973" t="str">
            <v>/  /</v>
          </cell>
        </row>
        <row r="974">
          <cell r="A974">
            <v>3946376</v>
          </cell>
          <cell r="B974">
            <v>43787</v>
          </cell>
          <cell r="C974" t="str">
            <v>PON</v>
          </cell>
          <cell r="D974">
            <v>633073586</v>
          </cell>
          <cell r="E974" t="str">
            <v>CV C19 R5 Dsc F/Set Sunweb61cm</v>
          </cell>
          <cell r="F974">
            <v>1</v>
          </cell>
          <cell r="G974">
            <v>0</v>
          </cell>
          <cell r="I974" t="str">
            <v>IJ101</v>
          </cell>
          <cell r="L974">
            <v>5.78</v>
          </cell>
          <cell r="M974">
            <v>0.16700000000000001</v>
          </cell>
          <cell r="N974" t="str">
            <v>5W</v>
          </cell>
          <cell r="P974" t="str">
            <v>PONCVL</v>
          </cell>
          <cell r="Q974" t="str">
            <v>/  /</v>
          </cell>
        </row>
        <row r="975">
          <cell r="A975">
            <v>3918743</v>
          </cell>
          <cell r="B975">
            <v>43770</v>
          </cell>
          <cell r="C975" t="str">
            <v>PON</v>
          </cell>
          <cell r="D975">
            <v>633073022</v>
          </cell>
          <cell r="E975" t="str">
            <v>CV C19R5 RimF/S 54CMEm/Grn/Flu</v>
          </cell>
          <cell r="F975">
            <v>1</v>
          </cell>
          <cell r="G975">
            <v>0</v>
          </cell>
          <cell r="I975" t="str">
            <v>IJ102</v>
          </cell>
          <cell r="L975">
            <v>5</v>
          </cell>
          <cell r="M975">
            <v>0.129</v>
          </cell>
          <cell r="N975" t="str">
            <v>5W</v>
          </cell>
          <cell r="P975" t="str">
            <v>PONCVL</v>
          </cell>
          <cell r="Q975" t="str">
            <v>/  /</v>
          </cell>
        </row>
        <row r="976">
          <cell r="A976">
            <v>3953668</v>
          </cell>
          <cell r="B976">
            <v>43790</v>
          </cell>
          <cell r="C976" t="str">
            <v>PON</v>
          </cell>
          <cell r="D976">
            <v>633073040</v>
          </cell>
          <cell r="E976" t="str">
            <v>CV C19R5 Rim F/S 48CMRd/Wh/Nvy</v>
          </cell>
          <cell r="F976">
            <v>1</v>
          </cell>
          <cell r="G976">
            <v>0</v>
          </cell>
          <cell r="I976" t="str">
            <v>IJ102</v>
          </cell>
          <cell r="L976">
            <v>4.8</v>
          </cell>
          <cell r="M976">
            <v>0.11899999999999999</v>
          </cell>
          <cell r="N976" t="str">
            <v>5W</v>
          </cell>
          <cell r="P976" t="str">
            <v>PONCVL</v>
          </cell>
          <cell r="Q976" t="str">
            <v>/  /</v>
          </cell>
        </row>
        <row r="977">
          <cell r="A977">
            <v>3953020</v>
          </cell>
          <cell r="B977">
            <v>43790</v>
          </cell>
          <cell r="C977" t="str">
            <v>PON</v>
          </cell>
          <cell r="D977">
            <v>633073100</v>
          </cell>
          <cell r="E977" t="str">
            <v>CV C19R5 DscF/S 48CMNvy/Rd/Oge</v>
          </cell>
          <cell r="F977">
            <v>1</v>
          </cell>
          <cell r="G977">
            <v>0</v>
          </cell>
          <cell r="I977" t="str">
            <v>IJ102</v>
          </cell>
          <cell r="L977">
            <v>5.0999999999999996</v>
          </cell>
          <cell r="M977">
            <v>0.13300000000000001</v>
          </cell>
          <cell r="N977" t="str">
            <v>5W</v>
          </cell>
          <cell r="P977" t="str">
            <v>PONCVL</v>
          </cell>
          <cell r="Q977" t="str">
            <v>/  /</v>
          </cell>
        </row>
        <row r="978">
          <cell r="A978">
            <v>3929614</v>
          </cell>
          <cell r="B978">
            <v>43777</v>
          </cell>
          <cell r="C978" t="str">
            <v>PON</v>
          </cell>
          <cell r="D978">
            <v>620508062</v>
          </cell>
          <cell r="E978" t="str">
            <v>FC F15 F/S Cayo 3.0 Disc 54 MD</v>
          </cell>
          <cell r="F978">
            <v>1</v>
          </cell>
          <cell r="G978">
            <v>0</v>
          </cell>
          <cell r="I978" t="str">
            <v>IJ111</v>
          </cell>
          <cell r="L978">
            <v>5.9</v>
          </cell>
          <cell r="M978">
            <v>0.17899999999999999</v>
          </cell>
          <cell r="N978" t="str">
            <v>5W</v>
          </cell>
          <cell r="P978" t="str">
            <v>PONFCS</v>
          </cell>
          <cell r="Q978" t="str">
            <v>/  /</v>
          </cell>
        </row>
        <row r="979">
          <cell r="A979">
            <v>4081002</v>
          </cell>
          <cell r="B979">
            <v>43777</v>
          </cell>
          <cell r="C979" t="str">
            <v>PON</v>
          </cell>
          <cell r="D979">
            <v>620508062</v>
          </cell>
          <cell r="E979" t="str">
            <v>FC F15 F/S Cayo 3.0 Disc 54 MD</v>
          </cell>
          <cell r="F979">
            <v>1</v>
          </cell>
          <cell r="G979">
            <v>0</v>
          </cell>
          <cell r="I979" t="str">
            <v>IJ111</v>
          </cell>
          <cell r="L979">
            <v>5.9</v>
          </cell>
          <cell r="M979">
            <v>0.17899999999999999</v>
          </cell>
          <cell r="N979" t="str">
            <v>5W</v>
          </cell>
          <cell r="P979" t="str">
            <v>PONFCS</v>
          </cell>
          <cell r="Q979" t="str">
            <v>/  /</v>
          </cell>
        </row>
        <row r="980">
          <cell r="A980">
            <v>3921504</v>
          </cell>
          <cell r="B980">
            <v>43773</v>
          </cell>
          <cell r="C980" t="str">
            <v>PON</v>
          </cell>
          <cell r="D980">
            <v>620508083</v>
          </cell>
          <cell r="E980" t="str">
            <v>FC F17 IZ Chrono Sponsor F/SXL</v>
          </cell>
          <cell r="F980">
            <v>1</v>
          </cell>
          <cell r="G980">
            <v>0</v>
          </cell>
          <cell r="I980" t="str">
            <v>IJ111</v>
          </cell>
          <cell r="L980">
            <v>8.5</v>
          </cell>
          <cell r="M980">
            <v>0.16700000000000001</v>
          </cell>
          <cell r="N980" t="str">
            <v>5W</v>
          </cell>
          <cell r="P980" t="str">
            <v>PONFCS</v>
          </cell>
          <cell r="Q980" t="str">
            <v>/  /</v>
          </cell>
        </row>
        <row r="981">
          <cell r="A981">
            <v>4081005</v>
          </cell>
          <cell r="B981">
            <v>43773</v>
          </cell>
          <cell r="C981" t="str">
            <v>PON</v>
          </cell>
          <cell r="D981">
            <v>620508083</v>
          </cell>
          <cell r="E981" t="str">
            <v>FC F17 IZ Chrono Sponsor F/SXL</v>
          </cell>
          <cell r="F981">
            <v>1</v>
          </cell>
          <cell r="G981">
            <v>0</v>
          </cell>
          <cell r="I981" t="str">
            <v>IJ111</v>
          </cell>
          <cell r="L981">
            <v>8.5</v>
          </cell>
          <cell r="M981">
            <v>0.16700000000000001</v>
          </cell>
          <cell r="N981" t="str">
            <v>5W</v>
          </cell>
          <cell r="P981" t="str">
            <v>PONFCS</v>
          </cell>
          <cell r="Q981" t="str">
            <v>/  /</v>
          </cell>
        </row>
        <row r="982">
          <cell r="A982">
            <v>3949953</v>
          </cell>
          <cell r="B982">
            <v>43789</v>
          </cell>
          <cell r="C982" t="str">
            <v>PON</v>
          </cell>
          <cell r="D982">
            <v>628073062</v>
          </cell>
          <cell r="E982" t="str">
            <v>CV C18 R3 Disc F/S 54 MD Fluo</v>
          </cell>
          <cell r="F982">
            <v>1</v>
          </cell>
          <cell r="G982">
            <v>0</v>
          </cell>
          <cell r="I982" t="str">
            <v>IJ112</v>
          </cell>
          <cell r="L982">
            <v>5.7</v>
          </cell>
          <cell r="M982">
            <v>0.154</v>
          </cell>
          <cell r="N982" t="str">
            <v>5W</v>
          </cell>
          <cell r="P982" t="str">
            <v>PONCVL</v>
          </cell>
          <cell r="Q982" t="str">
            <v>/  /</v>
          </cell>
        </row>
        <row r="983">
          <cell r="A983">
            <v>4081098</v>
          </cell>
          <cell r="B983">
            <v>43789</v>
          </cell>
          <cell r="C983" t="str">
            <v>PON</v>
          </cell>
          <cell r="D983">
            <v>628073101</v>
          </cell>
          <cell r="E983" t="str">
            <v>CV C18 R5 F/S 51 SM Blk/Green</v>
          </cell>
          <cell r="F983">
            <v>1</v>
          </cell>
          <cell r="G983">
            <v>0</v>
          </cell>
          <cell r="I983" t="str">
            <v>IJ112</v>
          </cell>
          <cell r="L983">
            <v>4.8</v>
          </cell>
          <cell r="M983">
            <v>0.121</v>
          </cell>
          <cell r="N983" t="str">
            <v>5W</v>
          </cell>
          <cell r="P983" t="str">
            <v>PONCVL</v>
          </cell>
          <cell r="Q983" t="str">
            <v>/  /</v>
          </cell>
        </row>
        <row r="984">
          <cell r="A984">
            <v>3950057</v>
          </cell>
          <cell r="B984">
            <v>43789</v>
          </cell>
          <cell r="C984" t="str">
            <v>PON</v>
          </cell>
          <cell r="D984">
            <v>633073454</v>
          </cell>
          <cell r="E984" t="str">
            <v>CV C19S3 RimF/S 58CMGph/Blk/Rd</v>
          </cell>
          <cell r="F984">
            <v>1</v>
          </cell>
          <cell r="G984">
            <v>0</v>
          </cell>
          <cell r="I984" t="str">
            <v>IJ112</v>
          </cell>
          <cell r="L984">
            <v>6.9</v>
          </cell>
          <cell r="M984">
            <v>0.16700000000000001</v>
          </cell>
          <cell r="N984" t="str">
            <v>5W</v>
          </cell>
          <cell r="P984" t="str">
            <v>PONCVL</v>
          </cell>
          <cell r="Q984" t="str">
            <v>/  /</v>
          </cell>
        </row>
        <row r="985">
          <cell r="A985">
            <v>4081385</v>
          </cell>
          <cell r="B985">
            <v>43789</v>
          </cell>
          <cell r="C985" t="str">
            <v>PON</v>
          </cell>
          <cell r="D985">
            <v>633073454</v>
          </cell>
          <cell r="E985" t="str">
            <v>CV C19S3 RimF/S 58CMGph/Blk/Rd</v>
          </cell>
          <cell r="F985">
            <v>1</v>
          </cell>
          <cell r="G985">
            <v>0</v>
          </cell>
          <cell r="I985" t="str">
            <v>IJ112</v>
          </cell>
          <cell r="L985">
            <v>6.9</v>
          </cell>
          <cell r="M985">
            <v>0.16700000000000001</v>
          </cell>
          <cell r="N985" t="str">
            <v>5W</v>
          </cell>
          <cell r="P985" t="str">
            <v>PONCVL</v>
          </cell>
          <cell r="Q985" t="str">
            <v>/  /</v>
          </cell>
        </row>
        <row r="986">
          <cell r="A986">
            <v>4575045</v>
          </cell>
          <cell r="B986">
            <v>44173</v>
          </cell>
          <cell r="C986" t="str">
            <v>PON</v>
          </cell>
          <cell r="D986">
            <v>637518141</v>
          </cell>
          <cell r="E986" t="str">
            <v>F20 Jam2 6.7 Nine 42M Black</v>
          </cell>
          <cell r="F986">
            <v>1</v>
          </cell>
          <cell r="G986">
            <v>0</v>
          </cell>
          <cell r="I986" t="str">
            <v>IJ114</v>
          </cell>
          <cell r="L986">
            <v>32.799999999999997</v>
          </cell>
          <cell r="M986">
            <v>0.58099999999999996</v>
          </cell>
          <cell r="N986" t="str">
            <v>5W</v>
          </cell>
          <cell r="P986" t="str">
            <v>PONFCS</v>
          </cell>
          <cell r="Q986" t="str">
            <v>/  /</v>
          </cell>
        </row>
        <row r="987">
          <cell r="A987">
            <v>4575046</v>
          </cell>
          <cell r="B987">
            <v>44173</v>
          </cell>
          <cell r="C987" t="str">
            <v>PON</v>
          </cell>
          <cell r="D987">
            <v>637518141</v>
          </cell>
          <cell r="E987" t="str">
            <v>F20 Jam2 6.7 Nine 42M Black</v>
          </cell>
          <cell r="F987">
            <v>1</v>
          </cell>
          <cell r="G987">
            <v>0</v>
          </cell>
          <cell r="I987" t="str">
            <v>IJ114</v>
          </cell>
          <cell r="L987">
            <v>32.799999999999997</v>
          </cell>
          <cell r="M987">
            <v>0.58099999999999996</v>
          </cell>
          <cell r="N987" t="str">
            <v>5W</v>
          </cell>
          <cell r="P987" t="str">
            <v>PONFCS</v>
          </cell>
          <cell r="Q987" t="str">
            <v>/  /</v>
          </cell>
        </row>
        <row r="988">
          <cell r="A988">
            <v>4041375</v>
          </cell>
          <cell r="B988">
            <v>43853</v>
          </cell>
          <cell r="C988" t="str">
            <v>PON</v>
          </cell>
          <cell r="D988">
            <v>633080204</v>
          </cell>
          <cell r="E988" t="str">
            <v>FC F19 Izalco MaxDisc 8 FS 56L</v>
          </cell>
          <cell r="F988">
            <v>1</v>
          </cell>
          <cell r="G988">
            <v>0</v>
          </cell>
          <cell r="I988" t="str">
            <v>IJ121</v>
          </cell>
          <cell r="L988">
            <v>5.3</v>
          </cell>
          <cell r="M988">
            <v>0.157</v>
          </cell>
          <cell r="N988" t="str">
            <v>5W</v>
          </cell>
          <cell r="P988" t="str">
            <v>PONFCS</v>
          </cell>
          <cell r="Q988" t="str">
            <v>/  /</v>
          </cell>
        </row>
        <row r="989">
          <cell r="A989">
            <v>4041376</v>
          </cell>
          <cell r="B989">
            <v>43853</v>
          </cell>
          <cell r="C989" t="str">
            <v>PON</v>
          </cell>
          <cell r="D989">
            <v>633080204</v>
          </cell>
          <cell r="E989" t="str">
            <v>FC F19 Izalco MaxDisc 8 FS 56L</v>
          </cell>
          <cell r="F989">
            <v>1</v>
          </cell>
          <cell r="G989">
            <v>0</v>
          </cell>
          <cell r="I989" t="str">
            <v>IJ121</v>
          </cell>
          <cell r="L989">
            <v>5.3</v>
          </cell>
          <cell r="M989">
            <v>0.157</v>
          </cell>
          <cell r="N989" t="str">
            <v>5W</v>
          </cell>
          <cell r="P989" t="str">
            <v>PONFCS</v>
          </cell>
          <cell r="Q989" t="str">
            <v>/  /</v>
          </cell>
        </row>
        <row r="990">
          <cell r="A990">
            <v>4041377</v>
          </cell>
          <cell r="B990">
            <v>43853</v>
          </cell>
          <cell r="C990" t="str">
            <v>PON</v>
          </cell>
          <cell r="D990">
            <v>633080204</v>
          </cell>
          <cell r="E990" t="str">
            <v>FC F19 Izalco MaxDisc 8 FS 56L</v>
          </cell>
          <cell r="F990">
            <v>1</v>
          </cell>
          <cell r="G990">
            <v>0</v>
          </cell>
          <cell r="I990" t="str">
            <v>IJ121</v>
          </cell>
          <cell r="L990">
            <v>5.3</v>
          </cell>
          <cell r="M990">
            <v>0.157</v>
          </cell>
          <cell r="N990" t="str">
            <v>5W</v>
          </cell>
          <cell r="P990" t="str">
            <v>PONFCS</v>
          </cell>
          <cell r="Q990" t="str">
            <v>/  /</v>
          </cell>
        </row>
        <row r="991">
          <cell r="A991">
            <v>3929666</v>
          </cell>
          <cell r="B991">
            <v>43777</v>
          </cell>
          <cell r="C991" t="str">
            <v>PON</v>
          </cell>
          <cell r="D991">
            <v>633073004</v>
          </cell>
          <cell r="E991" t="str">
            <v>CV C19R5 RimF/S 58CMNvy/Rd/Oge</v>
          </cell>
          <cell r="F991">
            <v>1</v>
          </cell>
          <cell r="G991">
            <v>0</v>
          </cell>
          <cell r="I991" t="str">
            <v>IJ122</v>
          </cell>
          <cell r="L991">
            <v>5.2</v>
          </cell>
          <cell r="M991">
            <v>0.14799999999999999</v>
          </cell>
          <cell r="N991" t="str">
            <v>5W</v>
          </cell>
          <cell r="P991" t="str">
            <v>PONCVL</v>
          </cell>
          <cell r="Q991" t="str">
            <v>/  /</v>
          </cell>
        </row>
        <row r="992">
          <cell r="A992">
            <v>3929668</v>
          </cell>
          <cell r="B992">
            <v>43777</v>
          </cell>
          <cell r="C992" t="str">
            <v>PON</v>
          </cell>
          <cell r="D992">
            <v>633073054</v>
          </cell>
          <cell r="E992" t="str">
            <v>CV C19 R5 Ltd FS 58 XL Camo</v>
          </cell>
          <cell r="F992">
            <v>1</v>
          </cell>
          <cell r="G992">
            <v>0</v>
          </cell>
          <cell r="I992" t="str">
            <v>IJ122</v>
          </cell>
          <cell r="L992">
            <v>5.3</v>
          </cell>
          <cell r="M992">
            <v>0.161</v>
          </cell>
          <cell r="N992" t="str">
            <v>5W</v>
          </cell>
          <cell r="P992" t="str">
            <v>PONCVL</v>
          </cell>
          <cell r="Q992" t="str">
            <v>/  /</v>
          </cell>
        </row>
        <row r="993">
          <cell r="A993">
            <v>3936826</v>
          </cell>
          <cell r="B993">
            <v>43782</v>
          </cell>
          <cell r="C993" t="str">
            <v>PON</v>
          </cell>
          <cell r="D993">
            <v>633073612</v>
          </cell>
          <cell r="E993" t="str">
            <v>CV C19C3 DscF/S 54CMBlk/Wh/Grn</v>
          </cell>
          <cell r="F993">
            <v>1</v>
          </cell>
          <cell r="G993">
            <v>0</v>
          </cell>
          <cell r="I993" t="str">
            <v>IJ122</v>
          </cell>
          <cell r="L993">
            <v>5.5</v>
          </cell>
          <cell r="M993">
            <v>0.14099999999999999</v>
          </cell>
          <cell r="N993" t="str">
            <v>5W</v>
          </cell>
          <cell r="P993" t="str">
            <v>PONCVL</v>
          </cell>
          <cell r="Q993" t="str">
            <v>/  /</v>
          </cell>
        </row>
        <row r="994">
          <cell r="A994">
            <v>4087536</v>
          </cell>
          <cell r="B994">
            <v>43782</v>
          </cell>
          <cell r="C994" t="str">
            <v>PON</v>
          </cell>
          <cell r="D994">
            <v>633073612</v>
          </cell>
          <cell r="E994" t="str">
            <v>CV C19C3 DscF/S 54CMBlk/Wh/Grn</v>
          </cell>
          <cell r="F994">
            <v>1</v>
          </cell>
          <cell r="G994">
            <v>0</v>
          </cell>
          <cell r="I994" t="str">
            <v>IJ122</v>
          </cell>
          <cell r="L994">
            <v>5.5</v>
          </cell>
          <cell r="M994">
            <v>0.14099999999999999</v>
          </cell>
          <cell r="N994" t="str">
            <v>5W</v>
          </cell>
          <cell r="P994" t="str">
            <v>PONCVL</v>
          </cell>
          <cell r="Q994" t="str">
            <v>/  /</v>
          </cell>
        </row>
        <row r="995">
          <cell r="A995">
            <v>4088972</v>
          </cell>
          <cell r="B995">
            <v>43782</v>
          </cell>
          <cell r="C995" t="str">
            <v>PON</v>
          </cell>
          <cell r="D995">
            <v>633073612</v>
          </cell>
          <cell r="E995" t="str">
            <v>CV C19C3 DscF/S 54CMBlk/Wh/Grn</v>
          </cell>
          <cell r="F995">
            <v>1</v>
          </cell>
          <cell r="G995">
            <v>0</v>
          </cell>
          <cell r="I995" t="str">
            <v>IJ122</v>
          </cell>
          <cell r="L995">
            <v>5.5</v>
          </cell>
          <cell r="M995">
            <v>0.14099999999999999</v>
          </cell>
          <cell r="N995" t="str">
            <v>5W</v>
          </cell>
          <cell r="P995" t="str">
            <v>PONCVL</v>
          </cell>
          <cell r="Q995" t="str">
            <v>/  /</v>
          </cell>
        </row>
        <row r="996">
          <cell r="A996">
            <v>4575047</v>
          </cell>
          <cell r="B996">
            <v>44173</v>
          </cell>
          <cell r="C996" t="str">
            <v>PON</v>
          </cell>
          <cell r="D996">
            <v>637518141</v>
          </cell>
          <cell r="E996" t="str">
            <v>F20 Jam2 6.7 Nine 42M Black</v>
          </cell>
          <cell r="F996">
            <v>1</v>
          </cell>
          <cell r="G996">
            <v>0</v>
          </cell>
          <cell r="I996" t="str">
            <v>IJ124</v>
          </cell>
          <cell r="L996">
            <v>32.799999999999997</v>
          </cell>
          <cell r="M996">
            <v>0.58099999999999996</v>
          </cell>
          <cell r="N996" t="str">
            <v>5W</v>
          </cell>
          <cell r="P996" t="str">
            <v>PONFCS</v>
          </cell>
          <cell r="Q996" t="str">
            <v>/  /</v>
          </cell>
        </row>
        <row r="997">
          <cell r="A997">
            <v>3921546</v>
          </cell>
          <cell r="B997">
            <v>43773</v>
          </cell>
          <cell r="C997" t="str">
            <v>PON</v>
          </cell>
          <cell r="D997">
            <v>628073111</v>
          </cell>
          <cell r="E997" t="str">
            <v>CV C18 R5Disc FS 51 SMBlk/Fluo</v>
          </cell>
          <cell r="F997">
            <v>1</v>
          </cell>
          <cell r="G997">
            <v>0</v>
          </cell>
          <cell r="I997" t="str">
            <v>IJ132</v>
          </cell>
          <cell r="L997">
            <v>5.2</v>
          </cell>
          <cell r="M997">
            <v>0.13300000000000001</v>
          </cell>
          <cell r="N997" t="str">
            <v>5W</v>
          </cell>
          <cell r="P997" t="str">
            <v>PONCVL</v>
          </cell>
          <cell r="Q997" t="str">
            <v>/  /</v>
          </cell>
        </row>
        <row r="998">
          <cell r="A998">
            <v>4088944</v>
          </cell>
          <cell r="B998">
            <v>43788</v>
          </cell>
          <cell r="C998" t="str">
            <v>PON</v>
          </cell>
          <cell r="D998">
            <v>633073122</v>
          </cell>
          <cell r="E998" t="str">
            <v>CV C19R5 DscF/S 54CMEm/Grn/Flu</v>
          </cell>
          <cell r="F998">
            <v>1</v>
          </cell>
          <cell r="G998">
            <v>0</v>
          </cell>
          <cell r="I998" t="str">
            <v>IJ132</v>
          </cell>
          <cell r="L998">
            <v>5.3</v>
          </cell>
          <cell r="M998">
            <v>0.154</v>
          </cell>
          <cell r="N998" t="str">
            <v>5W</v>
          </cell>
          <cell r="P998" t="str">
            <v>PONCVL</v>
          </cell>
          <cell r="Q998" t="str">
            <v>/  /</v>
          </cell>
        </row>
        <row r="999">
          <cell r="A999">
            <v>4575055</v>
          </cell>
          <cell r="B999">
            <v>44173</v>
          </cell>
          <cell r="C999" t="str">
            <v>PON</v>
          </cell>
          <cell r="D999">
            <v>637518400</v>
          </cell>
          <cell r="E999" t="str">
            <v>F21 Aventura2 6.9 Black S</v>
          </cell>
          <cell r="F999">
            <v>1</v>
          </cell>
          <cell r="G999">
            <v>0</v>
          </cell>
          <cell r="I999" t="str">
            <v>IJ134</v>
          </cell>
          <cell r="L999">
            <v>32.5</v>
          </cell>
          <cell r="M999">
            <v>0.55000000000000004</v>
          </cell>
          <cell r="N999" t="str">
            <v>5W</v>
          </cell>
          <cell r="P999" t="str">
            <v>PONFCS</v>
          </cell>
          <cell r="Q999" t="str">
            <v>/  /</v>
          </cell>
        </row>
        <row r="1000">
          <cell r="A1000">
            <v>4167076</v>
          </cell>
          <cell r="B1000">
            <v>43900</v>
          </cell>
          <cell r="C1000" t="str">
            <v>PON</v>
          </cell>
          <cell r="D1000">
            <v>637073000</v>
          </cell>
          <cell r="E1000" t="str">
            <v>C20 ASP Frame Olive Dune 48</v>
          </cell>
          <cell r="F1000">
            <v>1</v>
          </cell>
          <cell r="G1000">
            <v>0</v>
          </cell>
          <cell r="I1000" t="str">
            <v>IJ141</v>
          </cell>
          <cell r="L1000">
            <v>6.8</v>
          </cell>
          <cell r="M1000">
            <v>0.184</v>
          </cell>
          <cell r="N1000" t="str">
            <v>5W</v>
          </cell>
          <cell r="P1000" t="str">
            <v>PONCVL</v>
          </cell>
          <cell r="Q1000" t="str">
            <v>/  /</v>
          </cell>
        </row>
        <row r="1001">
          <cell r="A1001">
            <v>3946847</v>
          </cell>
          <cell r="B1001">
            <v>43787</v>
          </cell>
          <cell r="C1001" t="str">
            <v>PON</v>
          </cell>
          <cell r="D1001">
            <v>633073300</v>
          </cell>
          <cell r="E1001" t="str">
            <v>CV C20 R3 Dsc F/S 48XS Oge Blu</v>
          </cell>
          <cell r="F1001">
            <v>1</v>
          </cell>
          <cell r="G1001">
            <v>0</v>
          </cell>
          <cell r="I1001" t="str">
            <v>IJ142</v>
          </cell>
          <cell r="L1001">
            <v>3.7</v>
          </cell>
          <cell r="M1001">
            <v>0.182</v>
          </cell>
          <cell r="N1001" t="str">
            <v>5W</v>
          </cell>
          <cell r="P1001" t="str">
            <v>PONCVL</v>
          </cell>
          <cell r="Q1001" t="str">
            <v>/  /</v>
          </cell>
        </row>
        <row r="1002">
          <cell r="A1002">
            <v>3946854</v>
          </cell>
          <cell r="B1002">
            <v>43787</v>
          </cell>
          <cell r="C1002" t="str">
            <v>PON</v>
          </cell>
          <cell r="D1002">
            <v>633073303</v>
          </cell>
          <cell r="E1002" t="str">
            <v>CV C20 R3 Dsc F/S 56L Oge Blu</v>
          </cell>
          <cell r="F1002">
            <v>1</v>
          </cell>
          <cell r="G1002">
            <v>0</v>
          </cell>
          <cell r="I1002" t="str">
            <v>IJ142</v>
          </cell>
          <cell r="L1002">
            <v>3.8</v>
          </cell>
          <cell r="M1002">
            <v>0.182</v>
          </cell>
          <cell r="N1002" t="str">
            <v>5W</v>
          </cell>
          <cell r="P1002" t="str">
            <v>PONCVL</v>
          </cell>
          <cell r="Q1002" t="str">
            <v>/  /</v>
          </cell>
        </row>
        <row r="1003">
          <cell r="A1003">
            <v>4081363</v>
          </cell>
          <cell r="B1003">
            <v>43787</v>
          </cell>
          <cell r="C1003" t="str">
            <v>PON</v>
          </cell>
          <cell r="D1003">
            <v>633073303</v>
          </cell>
          <cell r="E1003" t="str">
            <v>CV C20 R3 Dsc F/S 56L Oge Blu</v>
          </cell>
          <cell r="F1003">
            <v>1</v>
          </cell>
          <cell r="G1003">
            <v>0</v>
          </cell>
          <cell r="I1003" t="str">
            <v>IJ142</v>
          </cell>
          <cell r="L1003">
            <v>3.8</v>
          </cell>
          <cell r="M1003">
            <v>0.182</v>
          </cell>
          <cell r="N1003" t="str">
            <v>5W</v>
          </cell>
          <cell r="P1003" t="str">
            <v>PONCVL</v>
          </cell>
          <cell r="Q1003" t="str">
            <v>/  /</v>
          </cell>
        </row>
        <row r="1004">
          <cell r="A1004">
            <v>3946856</v>
          </cell>
          <cell r="B1004">
            <v>43787</v>
          </cell>
          <cell r="C1004" t="str">
            <v>PON</v>
          </cell>
          <cell r="D1004">
            <v>633073304</v>
          </cell>
          <cell r="E1004" t="str">
            <v>CV C20 R3 Dsc F/S 58XL Oge Blu</v>
          </cell>
          <cell r="F1004">
            <v>1</v>
          </cell>
          <cell r="G1004">
            <v>0</v>
          </cell>
          <cell r="I1004" t="str">
            <v>IJ142</v>
          </cell>
          <cell r="L1004">
            <v>3.7</v>
          </cell>
          <cell r="M1004">
            <v>0.182</v>
          </cell>
          <cell r="N1004" t="str">
            <v>5W</v>
          </cell>
          <cell r="P1004" t="str">
            <v>PONCVL</v>
          </cell>
          <cell r="Q1004" t="str">
            <v>/  /</v>
          </cell>
        </row>
        <row r="1005">
          <cell r="A1005">
            <v>4081364</v>
          </cell>
          <cell r="B1005">
            <v>43787</v>
          </cell>
          <cell r="C1005" t="str">
            <v>PON</v>
          </cell>
          <cell r="D1005">
            <v>633073304</v>
          </cell>
          <cell r="E1005" t="str">
            <v>CV C20 R3 Dsc F/S 58XL Oge Blu</v>
          </cell>
          <cell r="F1005">
            <v>1</v>
          </cell>
          <cell r="G1005">
            <v>0</v>
          </cell>
          <cell r="I1005" t="str">
            <v>IJ142</v>
          </cell>
          <cell r="L1005">
            <v>3.7</v>
          </cell>
          <cell r="M1005">
            <v>0.182</v>
          </cell>
          <cell r="N1005" t="str">
            <v>5W</v>
          </cell>
          <cell r="P1005" t="str">
            <v>PONCVL</v>
          </cell>
          <cell r="Q1005" t="str">
            <v>/  /</v>
          </cell>
        </row>
        <row r="1006">
          <cell r="A1006">
            <v>3953670</v>
          </cell>
          <cell r="B1006">
            <v>43790</v>
          </cell>
          <cell r="C1006" t="str">
            <v>PON</v>
          </cell>
          <cell r="D1006">
            <v>633073100</v>
          </cell>
          <cell r="E1006" t="str">
            <v>CV C19R5 DscF/S 48CMNvy/Rd/Oge</v>
          </cell>
          <cell r="F1006">
            <v>1</v>
          </cell>
          <cell r="G1006">
            <v>0</v>
          </cell>
          <cell r="I1006" t="str">
            <v>IJ152</v>
          </cell>
          <cell r="L1006">
            <v>5.0999999999999996</v>
          </cell>
          <cell r="M1006">
            <v>0.13300000000000001</v>
          </cell>
          <cell r="N1006" t="str">
            <v>5W</v>
          </cell>
          <cell r="P1006" t="str">
            <v>PONCVL</v>
          </cell>
          <cell r="Q1006" t="str">
            <v>/  /</v>
          </cell>
        </row>
        <row r="1007">
          <cell r="A1007">
            <v>4087518</v>
          </cell>
          <cell r="B1007">
            <v>43788</v>
          </cell>
          <cell r="C1007" t="str">
            <v>PON</v>
          </cell>
          <cell r="D1007">
            <v>633073120</v>
          </cell>
          <cell r="E1007" t="str">
            <v>CV C19R5 DscF/S 48CMEm/Grn/Flu</v>
          </cell>
          <cell r="F1007">
            <v>1</v>
          </cell>
          <cell r="G1007">
            <v>0</v>
          </cell>
          <cell r="I1007" t="str">
            <v>IJ152</v>
          </cell>
          <cell r="L1007">
            <v>5.2</v>
          </cell>
          <cell r="M1007">
            <v>0.13200000000000001</v>
          </cell>
          <cell r="N1007" t="str">
            <v>5W</v>
          </cell>
          <cell r="P1007" t="str">
            <v>PONCVL</v>
          </cell>
          <cell r="Q1007" t="str">
            <v>/  /</v>
          </cell>
        </row>
        <row r="1008">
          <cell r="A1008">
            <v>4088943</v>
          </cell>
          <cell r="B1008">
            <v>43788</v>
          </cell>
          <cell r="C1008" t="str">
            <v>PON</v>
          </cell>
          <cell r="D1008">
            <v>633073120</v>
          </cell>
          <cell r="E1008" t="str">
            <v>CV C19R5 DscF/S 48CMEm/Grn/Flu</v>
          </cell>
          <cell r="F1008">
            <v>1</v>
          </cell>
          <cell r="G1008">
            <v>0</v>
          </cell>
          <cell r="I1008" t="str">
            <v>IJ152</v>
          </cell>
          <cell r="L1008">
            <v>5.2</v>
          </cell>
          <cell r="M1008">
            <v>0.13200000000000001</v>
          </cell>
          <cell r="N1008" t="str">
            <v>5W</v>
          </cell>
          <cell r="P1008" t="str">
            <v>PONCVL</v>
          </cell>
          <cell r="Q1008" t="str">
            <v>/  /</v>
          </cell>
        </row>
        <row r="1009">
          <cell r="A1009">
            <v>3948673</v>
          </cell>
          <cell r="B1009">
            <v>43788</v>
          </cell>
          <cell r="C1009" t="str">
            <v>PON</v>
          </cell>
          <cell r="D1009">
            <v>625508006</v>
          </cell>
          <cell r="E1009" t="str">
            <v>Focus F17 IZ Max F/S 61 XXL</v>
          </cell>
          <cell r="F1009">
            <v>1</v>
          </cell>
          <cell r="G1009">
            <v>0</v>
          </cell>
          <cell r="I1009" t="str">
            <v>IK011</v>
          </cell>
          <cell r="L1009">
            <v>6</v>
          </cell>
          <cell r="M1009">
            <v>0.185</v>
          </cell>
          <cell r="N1009" t="str">
            <v>5W</v>
          </cell>
          <cell r="P1009" t="str">
            <v>PONFCS</v>
          </cell>
          <cell r="Q1009" t="str">
            <v>/  /</v>
          </cell>
        </row>
        <row r="1010">
          <cell r="A1010">
            <v>4081052</v>
          </cell>
          <cell r="B1010">
            <v>43788</v>
          </cell>
          <cell r="C1010" t="str">
            <v>PON</v>
          </cell>
          <cell r="D1010">
            <v>625508006</v>
          </cell>
          <cell r="E1010" t="str">
            <v>Focus F17 IZ Max F/S 61 XXL</v>
          </cell>
          <cell r="F1010">
            <v>1</v>
          </cell>
          <cell r="G1010">
            <v>0</v>
          </cell>
          <cell r="I1010" t="str">
            <v>IK011</v>
          </cell>
          <cell r="L1010">
            <v>6</v>
          </cell>
          <cell r="M1010">
            <v>0.185</v>
          </cell>
          <cell r="N1010" t="str">
            <v>5W</v>
          </cell>
          <cell r="P1010" t="str">
            <v>PONFCS</v>
          </cell>
          <cell r="Q1010" t="str">
            <v>/  /</v>
          </cell>
        </row>
        <row r="1011">
          <cell r="A1011">
            <v>3911463</v>
          </cell>
          <cell r="B1011">
            <v>43766</v>
          </cell>
          <cell r="C1011" t="str">
            <v>PON</v>
          </cell>
          <cell r="D1011">
            <v>628508305</v>
          </cell>
          <cell r="E1011" t="str">
            <v>Focus F18 IZ Max DI2 F/S 58XL</v>
          </cell>
          <cell r="F1011">
            <v>1</v>
          </cell>
          <cell r="G1011">
            <v>0</v>
          </cell>
          <cell r="I1011" t="str">
            <v>IK011</v>
          </cell>
          <cell r="L1011">
            <v>5.8</v>
          </cell>
          <cell r="M1011">
            <v>0.18099999999999999</v>
          </cell>
          <cell r="N1011" t="str">
            <v>5W</v>
          </cell>
          <cell r="P1011" t="str">
            <v>PONFCS</v>
          </cell>
          <cell r="Q1011" t="str">
            <v>/  /</v>
          </cell>
        </row>
        <row r="1012">
          <cell r="A1012">
            <v>3995198</v>
          </cell>
          <cell r="B1012">
            <v>43811</v>
          </cell>
          <cell r="C1012" t="str">
            <v>PON</v>
          </cell>
          <cell r="D1012">
            <v>613508113</v>
          </cell>
          <cell r="E1012" t="str">
            <v>FC F13 FS IZ Team 1.0 54 MDDi2</v>
          </cell>
          <cell r="F1012">
            <v>1</v>
          </cell>
          <cell r="G1012">
            <v>0</v>
          </cell>
          <cell r="I1012" t="str">
            <v>IK012</v>
          </cell>
          <cell r="L1012">
            <v>5.9</v>
          </cell>
          <cell r="M1012">
            <v>0.20499999999999999</v>
          </cell>
          <cell r="N1012" t="str">
            <v>5W</v>
          </cell>
          <cell r="P1012" t="str">
            <v>PONFCS</v>
          </cell>
          <cell r="Q1012" t="str">
            <v>/  /</v>
          </cell>
        </row>
        <row r="1013">
          <cell r="A1013">
            <v>4080962</v>
          </cell>
          <cell r="B1013">
            <v>43851</v>
          </cell>
          <cell r="C1013" t="str">
            <v>PON</v>
          </cell>
          <cell r="D1013">
            <v>614508062</v>
          </cell>
          <cell r="E1013" t="str">
            <v>FC F14 FS IZ Team 1.0 52 SMDi2</v>
          </cell>
          <cell r="F1013">
            <v>1</v>
          </cell>
          <cell r="G1013">
            <v>0</v>
          </cell>
          <cell r="I1013" t="str">
            <v>IK012</v>
          </cell>
          <cell r="L1013">
            <v>5.5</v>
          </cell>
          <cell r="M1013">
            <v>0.17199999999999999</v>
          </cell>
          <cell r="N1013" t="str">
            <v>5W</v>
          </cell>
          <cell r="P1013" t="str">
            <v>PONFCS</v>
          </cell>
          <cell r="Q1013" t="str">
            <v>/  /</v>
          </cell>
        </row>
        <row r="1014">
          <cell r="A1014">
            <v>3947235</v>
          </cell>
          <cell r="B1014">
            <v>43788</v>
          </cell>
          <cell r="C1014" t="str">
            <v>PON</v>
          </cell>
          <cell r="D1014">
            <v>625508025</v>
          </cell>
          <cell r="E1014" t="str">
            <v>FC F17 IZ MaxDisc AG2R FS 58XL</v>
          </cell>
          <cell r="F1014">
            <v>1</v>
          </cell>
          <cell r="G1014">
            <v>0</v>
          </cell>
          <cell r="I1014" t="str">
            <v>IK012</v>
          </cell>
          <cell r="L1014">
            <v>6</v>
          </cell>
          <cell r="M1014">
            <v>0.17599999999999999</v>
          </cell>
          <cell r="N1014" t="str">
            <v>5W</v>
          </cell>
          <cell r="P1014" t="str">
            <v>PONFCS</v>
          </cell>
          <cell r="Q1014" t="str">
            <v>/  /</v>
          </cell>
        </row>
        <row r="1015">
          <cell r="A1015">
            <v>3947298</v>
          </cell>
          <cell r="B1015">
            <v>43788</v>
          </cell>
          <cell r="C1015" t="str">
            <v>PON</v>
          </cell>
          <cell r="D1015">
            <v>633073323</v>
          </cell>
          <cell r="E1015" t="str">
            <v>CV C19R3Dsc F/S 56CMOlv/Cr/Oge</v>
          </cell>
          <cell r="F1015">
            <v>1</v>
          </cell>
          <cell r="G1015">
            <v>0</v>
          </cell>
          <cell r="I1015" t="str">
            <v>IK012</v>
          </cell>
          <cell r="L1015">
            <v>5.5</v>
          </cell>
          <cell r="M1015">
            <v>0.153</v>
          </cell>
          <cell r="N1015" t="str">
            <v>5W</v>
          </cell>
          <cell r="P1015" t="str">
            <v>PONCVL</v>
          </cell>
          <cell r="Q1015" t="str">
            <v>/  /</v>
          </cell>
        </row>
        <row r="1016">
          <cell r="A1016">
            <v>4088125</v>
          </cell>
          <cell r="B1016">
            <v>43852</v>
          </cell>
          <cell r="C1016" t="str">
            <v>PON</v>
          </cell>
          <cell r="D1016">
            <v>633728538</v>
          </cell>
          <cell r="E1016" t="str">
            <v>FC EBF19 P/Sqre9.6 60XLB/Anthr</v>
          </cell>
          <cell r="F1016">
            <v>1</v>
          </cell>
          <cell r="G1016">
            <v>0</v>
          </cell>
          <cell r="I1016" t="str">
            <v>IK013</v>
          </cell>
          <cell r="L1016">
            <v>24</v>
          </cell>
          <cell r="M1016">
            <v>0.58099999999999996</v>
          </cell>
          <cell r="N1016" t="str">
            <v>5W</v>
          </cell>
          <cell r="P1016" t="str">
            <v>PONFEB</v>
          </cell>
          <cell r="Q1016" t="str">
            <v>/  /</v>
          </cell>
        </row>
        <row r="1017">
          <cell r="A1017">
            <v>4574073</v>
          </cell>
          <cell r="B1017">
            <v>44172</v>
          </cell>
          <cell r="C1017" t="str">
            <v>PON</v>
          </cell>
          <cell r="D1017">
            <v>637529082</v>
          </cell>
          <cell r="E1017" t="str">
            <v>K21 Endeavour 7.B Move L 53 Di</v>
          </cell>
          <cell r="F1017">
            <v>1</v>
          </cell>
          <cell r="G1017">
            <v>0</v>
          </cell>
          <cell r="I1017" t="str">
            <v>IK013</v>
          </cell>
          <cell r="L1017">
            <v>34.5</v>
          </cell>
          <cell r="M1017">
            <v>0.57299999999999995</v>
          </cell>
          <cell r="N1017" t="str">
            <v>5W</v>
          </cell>
          <cell r="P1017" t="str">
            <v>PONFCS</v>
          </cell>
          <cell r="Q1017" t="str">
            <v>/  /</v>
          </cell>
        </row>
        <row r="1018">
          <cell r="A1018">
            <v>4574074</v>
          </cell>
          <cell r="B1018">
            <v>44172</v>
          </cell>
          <cell r="C1018" t="str">
            <v>PON</v>
          </cell>
          <cell r="D1018">
            <v>637529082</v>
          </cell>
          <cell r="E1018" t="str">
            <v>K21 Endeavour 7.B Move L 53 Di</v>
          </cell>
          <cell r="F1018">
            <v>1</v>
          </cell>
          <cell r="G1018">
            <v>0</v>
          </cell>
          <cell r="I1018" t="str">
            <v>IK013</v>
          </cell>
          <cell r="L1018">
            <v>34.5</v>
          </cell>
          <cell r="M1018">
            <v>0.57299999999999995</v>
          </cell>
          <cell r="N1018" t="str">
            <v>5W</v>
          </cell>
          <cell r="P1018" t="str">
            <v>PONFCS</v>
          </cell>
          <cell r="Q1018" t="str">
            <v>/  /</v>
          </cell>
        </row>
        <row r="1019">
          <cell r="A1019">
            <v>4040325</v>
          </cell>
          <cell r="B1019">
            <v>43852</v>
          </cell>
          <cell r="C1019" t="str">
            <v>PON</v>
          </cell>
          <cell r="D1019">
            <v>633728538</v>
          </cell>
          <cell r="E1019" t="str">
            <v>FC EBF19 P/Sqre9.6 60XLB/Anthr</v>
          </cell>
          <cell r="F1019">
            <v>1</v>
          </cell>
          <cell r="G1019">
            <v>0</v>
          </cell>
          <cell r="I1019" t="str">
            <v>IK014</v>
          </cell>
          <cell r="L1019">
            <v>24</v>
          </cell>
          <cell r="M1019">
            <v>0.58099999999999996</v>
          </cell>
          <cell r="N1019" t="str">
            <v>5W</v>
          </cell>
          <cell r="P1019" t="str">
            <v>PONFEB</v>
          </cell>
          <cell r="Q1019" t="str">
            <v>/  /</v>
          </cell>
        </row>
        <row r="1020">
          <cell r="A1020">
            <v>3923900</v>
          </cell>
          <cell r="B1020">
            <v>43775</v>
          </cell>
          <cell r="C1020" t="str">
            <v>PON</v>
          </cell>
          <cell r="D1020">
            <v>625508141</v>
          </cell>
          <cell r="E1020" t="str">
            <v>Focus F17 Spine C F/S 44 MD</v>
          </cell>
          <cell r="F1020">
            <v>1</v>
          </cell>
          <cell r="G1020">
            <v>0</v>
          </cell>
          <cell r="I1020" t="str">
            <v>IK021</v>
          </cell>
          <cell r="L1020">
            <v>6.7</v>
          </cell>
          <cell r="M1020">
            <v>0.14199999999999999</v>
          </cell>
          <cell r="N1020" t="str">
            <v>5W</v>
          </cell>
          <cell r="P1020" t="str">
            <v>PONFCS</v>
          </cell>
          <cell r="Q1020" t="str">
            <v>/  /</v>
          </cell>
        </row>
        <row r="1021">
          <cell r="A1021">
            <v>3943750</v>
          </cell>
          <cell r="B1021">
            <v>43784</v>
          </cell>
          <cell r="C1021" t="str">
            <v>PON</v>
          </cell>
          <cell r="D1021">
            <v>625508142</v>
          </cell>
          <cell r="E1021" t="str">
            <v>Focus F17 Spine C F/S 48 LG</v>
          </cell>
          <cell r="F1021">
            <v>1</v>
          </cell>
          <cell r="G1021">
            <v>0</v>
          </cell>
          <cell r="I1021" t="str">
            <v>IK021</v>
          </cell>
          <cell r="L1021">
            <v>6.6</v>
          </cell>
          <cell r="M1021">
            <v>0.14699999999999999</v>
          </cell>
          <cell r="N1021" t="str">
            <v>5W</v>
          </cell>
          <cell r="P1021" t="str">
            <v>PONFCS</v>
          </cell>
          <cell r="Q1021" t="str">
            <v>/  /</v>
          </cell>
        </row>
        <row r="1022">
          <cell r="A1022">
            <v>3948679</v>
          </cell>
          <cell r="B1022">
            <v>43788</v>
          </cell>
          <cell r="C1022" t="str">
            <v>PON</v>
          </cell>
          <cell r="D1022">
            <v>625508143</v>
          </cell>
          <cell r="E1022" t="str">
            <v>Focus F17 Spine C F/S 52 XL</v>
          </cell>
          <cell r="F1022">
            <v>1</v>
          </cell>
          <cell r="G1022">
            <v>0</v>
          </cell>
          <cell r="I1022" t="str">
            <v>IK021</v>
          </cell>
          <cell r="L1022">
            <v>6.7</v>
          </cell>
          <cell r="M1022">
            <v>0.156</v>
          </cell>
          <cell r="N1022" t="str">
            <v>5W</v>
          </cell>
          <cell r="P1022" t="str">
            <v>PONFCS</v>
          </cell>
          <cell r="Q1022" t="str">
            <v>/  /</v>
          </cell>
        </row>
        <row r="1023">
          <cell r="A1023">
            <v>3995236</v>
          </cell>
          <cell r="B1023">
            <v>43811</v>
          </cell>
          <cell r="C1023" t="str">
            <v>PON</v>
          </cell>
          <cell r="D1023">
            <v>628509326</v>
          </cell>
          <cell r="E1023" t="str">
            <v>F18 Iz Max Mech F/S 61 XXL</v>
          </cell>
          <cell r="F1023">
            <v>1</v>
          </cell>
          <cell r="G1023">
            <v>0</v>
          </cell>
          <cell r="I1023" t="str">
            <v>IK021</v>
          </cell>
          <cell r="L1023">
            <v>5.8</v>
          </cell>
          <cell r="M1023">
            <v>0.188</v>
          </cell>
          <cell r="N1023" t="str">
            <v>5W</v>
          </cell>
          <cell r="P1023" t="str">
            <v>PONFCS</v>
          </cell>
          <cell r="Q1023" t="str">
            <v>/  /</v>
          </cell>
        </row>
        <row r="1024">
          <cell r="A1024">
            <v>4011387</v>
          </cell>
          <cell r="B1024">
            <v>43822</v>
          </cell>
          <cell r="C1024" t="str">
            <v>PON</v>
          </cell>
          <cell r="D1024">
            <v>628509336</v>
          </cell>
          <cell r="E1024" t="str">
            <v>F18 IZ Max Mech F/S 61 XXL</v>
          </cell>
          <cell r="F1024">
            <v>1</v>
          </cell>
          <cell r="G1024">
            <v>0</v>
          </cell>
          <cell r="I1024" t="str">
            <v>IK021</v>
          </cell>
          <cell r="L1024">
            <v>5.9</v>
          </cell>
          <cell r="M1024">
            <v>0.191</v>
          </cell>
          <cell r="N1024" t="str">
            <v>5W</v>
          </cell>
          <cell r="P1024" t="str">
            <v>PONFCS</v>
          </cell>
          <cell r="Q1024" t="str">
            <v>/  /</v>
          </cell>
        </row>
        <row r="1025">
          <cell r="A1025">
            <v>4011373</v>
          </cell>
          <cell r="B1025">
            <v>43822</v>
          </cell>
          <cell r="C1025" t="str">
            <v>PON</v>
          </cell>
          <cell r="D1025">
            <v>620508061</v>
          </cell>
          <cell r="E1025" t="str">
            <v>FC F15 F/S Cayo 3.0 Disc 51 SM</v>
          </cell>
          <cell r="F1025">
            <v>1</v>
          </cell>
          <cell r="G1025">
            <v>0</v>
          </cell>
          <cell r="I1025" t="str">
            <v>IK022</v>
          </cell>
          <cell r="L1025">
            <v>5.7</v>
          </cell>
          <cell r="M1025">
            <v>0.17299999999999999</v>
          </cell>
          <cell r="N1025" t="str">
            <v>5W</v>
          </cell>
          <cell r="P1025" t="str">
            <v>PONFCS</v>
          </cell>
          <cell r="Q1025" t="str">
            <v>/  /</v>
          </cell>
        </row>
        <row r="1026">
          <cell r="A1026">
            <v>3994385</v>
          </cell>
          <cell r="B1026">
            <v>43811</v>
          </cell>
          <cell r="C1026" t="str">
            <v>PON</v>
          </cell>
          <cell r="D1026">
            <v>625508044</v>
          </cell>
          <cell r="E1026" t="str">
            <v>Focus F17 Cayo Disc F/S 60 XL</v>
          </cell>
          <cell r="F1026">
            <v>1</v>
          </cell>
          <cell r="G1026">
            <v>0</v>
          </cell>
          <cell r="I1026" t="str">
            <v>IK022</v>
          </cell>
          <cell r="L1026">
            <v>7</v>
          </cell>
          <cell r="M1026">
            <v>0.184</v>
          </cell>
          <cell r="N1026" t="str">
            <v>5W</v>
          </cell>
          <cell r="P1026" t="str">
            <v>PONFCS</v>
          </cell>
          <cell r="Q1026" t="str">
            <v>/  /</v>
          </cell>
        </row>
        <row r="1027">
          <cell r="A1027">
            <v>4011385</v>
          </cell>
          <cell r="B1027">
            <v>43822</v>
          </cell>
          <cell r="C1027" t="str">
            <v>PON</v>
          </cell>
          <cell r="D1027">
            <v>628509104</v>
          </cell>
          <cell r="E1027" t="str">
            <v>FC F18 IZ Max Disc DI2 F/S 56L</v>
          </cell>
          <cell r="F1027">
            <v>1</v>
          </cell>
          <cell r="G1027">
            <v>0</v>
          </cell>
          <cell r="I1027" t="str">
            <v>IK022</v>
          </cell>
          <cell r="L1027">
            <v>4.9000000000000004</v>
          </cell>
          <cell r="M1027">
            <v>1.1519999999999999</v>
          </cell>
          <cell r="N1027" t="str">
            <v>5W</v>
          </cell>
          <cell r="P1027" t="str">
            <v>PONFCS</v>
          </cell>
          <cell r="Q1027" t="str">
            <v>/  /</v>
          </cell>
        </row>
        <row r="1028">
          <cell r="A1028">
            <v>4081149</v>
          </cell>
          <cell r="B1028">
            <v>43822</v>
          </cell>
          <cell r="C1028" t="str">
            <v>PON</v>
          </cell>
          <cell r="D1028">
            <v>628509104</v>
          </cell>
          <cell r="E1028" t="str">
            <v>FC F18 IZ Max Disc DI2 F/S 56L</v>
          </cell>
          <cell r="F1028">
            <v>1</v>
          </cell>
          <cell r="G1028">
            <v>0</v>
          </cell>
          <cell r="I1028" t="str">
            <v>IK022</v>
          </cell>
          <cell r="L1028">
            <v>4.9000000000000004</v>
          </cell>
          <cell r="M1028">
            <v>1.1519999999999999</v>
          </cell>
          <cell r="N1028" t="str">
            <v>5W</v>
          </cell>
          <cell r="P1028" t="str">
            <v>PONFCS</v>
          </cell>
          <cell r="Q1028" t="str">
            <v>/  /</v>
          </cell>
        </row>
        <row r="1029">
          <cell r="A1029">
            <v>4644126</v>
          </cell>
          <cell r="B1029">
            <v>44225</v>
          </cell>
          <cell r="C1029" t="str">
            <v>PON</v>
          </cell>
          <cell r="D1029">
            <v>637526067</v>
          </cell>
          <cell r="E1029" t="str">
            <v>K21 Endv 1.B Move M Grey</v>
          </cell>
          <cell r="F1029">
            <v>1</v>
          </cell>
          <cell r="G1029">
            <v>0</v>
          </cell>
          <cell r="I1029" t="str">
            <v>IK023</v>
          </cell>
          <cell r="L1029">
            <v>32.5</v>
          </cell>
          <cell r="M1029">
            <v>0.57299999999999995</v>
          </cell>
          <cell r="N1029" t="str">
            <v>5W</v>
          </cell>
          <cell r="P1029" t="str">
            <v>PONFCS</v>
          </cell>
          <cell r="Q1029" t="str">
            <v>/  /</v>
          </cell>
        </row>
        <row r="1030">
          <cell r="A1030">
            <v>4644131</v>
          </cell>
          <cell r="B1030">
            <v>44225</v>
          </cell>
          <cell r="C1030" t="str">
            <v>PON</v>
          </cell>
          <cell r="D1030">
            <v>637526068</v>
          </cell>
          <cell r="E1030" t="str">
            <v>K21 Endv 1.B Move 400 L Grey</v>
          </cell>
          <cell r="F1030">
            <v>1</v>
          </cell>
          <cell r="G1030">
            <v>0</v>
          </cell>
          <cell r="I1030" t="str">
            <v>IK023</v>
          </cell>
          <cell r="L1030">
            <v>36</v>
          </cell>
          <cell r="M1030">
            <v>0.58399999999999996</v>
          </cell>
          <cell r="N1030" t="str">
            <v>5W</v>
          </cell>
          <cell r="P1030" t="str">
            <v>PONFCS</v>
          </cell>
          <cell r="Q1030" t="str">
            <v>/  /</v>
          </cell>
        </row>
        <row r="1031">
          <cell r="A1031">
            <v>4644158</v>
          </cell>
          <cell r="B1031">
            <v>44225</v>
          </cell>
          <cell r="C1031" t="str">
            <v>PON</v>
          </cell>
          <cell r="D1031">
            <v>637527054</v>
          </cell>
          <cell r="E1031" t="str">
            <v>K21 Endeavour 1.B Move 500 S</v>
          </cell>
          <cell r="F1031">
            <v>1</v>
          </cell>
          <cell r="G1031">
            <v>0</v>
          </cell>
          <cell r="I1031" t="str">
            <v>IK023</v>
          </cell>
          <cell r="L1031">
            <v>31</v>
          </cell>
          <cell r="M1031">
            <v>0.57299999999999995</v>
          </cell>
          <cell r="N1031" t="str">
            <v>5W</v>
          </cell>
          <cell r="P1031" t="str">
            <v>PONFCS</v>
          </cell>
          <cell r="Q1031" t="str">
            <v>/  /</v>
          </cell>
        </row>
        <row r="1032">
          <cell r="A1032">
            <v>4644172</v>
          </cell>
          <cell r="B1032">
            <v>44225</v>
          </cell>
          <cell r="C1032" t="str">
            <v>PON</v>
          </cell>
          <cell r="D1032">
            <v>641526686</v>
          </cell>
          <cell r="E1032" t="str">
            <v>K21 Agattu 1.B Move S 45 Co400</v>
          </cell>
          <cell r="F1032">
            <v>1</v>
          </cell>
          <cell r="G1032">
            <v>0</v>
          </cell>
          <cell r="I1032" t="str">
            <v>IK023</v>
          </cell>
          <cell r="L1032">
            <v>32</v>
          </cell>
          <cell r="M1032">
            <v>0.57299999999999995</v>
          </cell>
          <cell r="N1032" t="str">
            <v>5W</v>
          </cell>
          <cell r="P1032" t="str">
            <v>PONFCS</v>
          </cell>
          <cell r="Q1032" t="str">
            <v>/  /</v>
          </cell>
        </row>
        <row r="1033">
          <cell r="A1033">
            <v>4644173</v>
          </cell>
          <cell r="B1033">
            <v>44225</v>
          </cell>
          <cell r="C1033" t="str">
            <v>PON</v>
          </cell>
          <cell r="D1033">
            <v>641526686</v>
          </cell>
          <cell r="E1033" t="str">
            <v>K21 Agattu 1.B Move S 45 Co400</v>
          </cell>
          <cell r="F1033">
            <v>1</v>
          </cell>
          <cell r="G1033">
            <v>0</v>
          </cell>
          <cell r="I1033" t="str">
            <v>IK023</v>
          </cell>
          <cell r="L1033">
            <v>32</v>
          </cell>
          <cell r="M1033">
            <v>0.57299999999999995</v>
          </cell>
          <cell r="N1033" t="str">
            <v>5W</v>
          </cell>
          <cell r="P1033" t="str">
            <v>PONFCS</v>
          </cell>
          <cell r="Q1033" t="str">
            <v>/  /</v>
          </cell>
        </row>
        <row r="1034">
          <cell r="A1034">
            <v>4644118</v>
          </cell>
          <cell r="B1034">
            <v>44225</v>
          </cell>
          <cell r="C1034" t="str">
            <v>PON</v>
          </cell>
          <cell r="D1034">
            <v>637526067</v>
          </cell>
          <cell r="E1034" t="str">
            <v>K21 Endv 1.B Move M Grey</v>
          </cell>
          <cell r="F1034">
            <v>1</v>
          </cell>
          <cell r="G1034">
            <v>0</v>
          </cell>
          <cell r="I1034" t="str">
            <v>IK024</v>
          </cell>
          <cell r="L1034">
            <v>32.5</v>
          </cell>
          <cell r="M1034">
            <v>0.57299999999999995</v>
          </cell>
          <cell r="N1034" t="str">
            <v>5W</v>
          </cell>
          <cell r="P1034" t="str">
            <v>PONFCS</v>
          </cell>
          <cell r="Q1034" t="str">
            <v>/  /</v>
          </cell>
        </row>
        <row r="1035">
          <cell r="A1035">
            <v>4644119</v>
          </cell>
          <cell r="B1035">
            <v>44225</v>
          </cell>
          <cell r="C1035" t="str">
            <v>PON</v>
          </cell>
          <cell r="D1035">
            <v>637526067</v>
          </cell>
          <cell r="E1035" t="str">
            <v>K21 Endv 1.B Move M Grey</v>
          </cell>
          <cell r="F1035">
            <v>1</v>
          </cell>
          <cell r="G1035">
            <v>0</v>
          </cell>
          <cell r="I1035" t="str">
            <v>IK024</v>
          </cell>
          <cell r="L1035">
            <v>32.5</v>
          </cell>
          <cell r="M1035">
            <v>0.57299999999999995</v>
          </cell>
          <cell r="N1035" t="str">
            <v>5W</v>
          </cell>
          <cell r="P1035" t="str">
            <v>PONFCS</v>
          </cell>
          <cell r="Q1035" t="str">
            <v>/  /</v>
          </cell>
        </row>
        <row r="1036">
          <cell r="A1036">
            <v>4644168</v>
          </cell>
          <cell r="B1036">
            <v>44225</v>
          </cell>
          <cell r="C1036" t="str">
            <v>PON</v>
          </cell>
          <cell r="D1036">
            <v>641526686</v>
          </cell>
          <cell r="E1036" t="str">
            <v>K21 Agattu 1.B Move S 45 Co400</v>
          </cell>
          <cell r="F1036">
            <v>1</v>
          </cell>
          <cell r="G1036">
            <v>0</v>
          </cell>
          <cell r="I1036" t="str">
            <v>IK024</v>
          </cell>
          <cell r="L1036">
            <v>32</v>
          </cell>
          <cell r="M1036">
            <v>0.57299999999999995</v>
          </cell>
          <cell r="N1036" t="str">
            <v>5W</v>
          </cell>
          <cell r="P1036" t="str">
            <v>PONFCS</v>
          </cell>
          <cell r="Q1036" t="str">
            <v>/  /</v>
          </cell>
        </row>
        <row r="1037">
          <cell r="A1037">
            <v>4644169</v>
          </cell>
          <cell r="B1037">
            <v>44225</v>
          </cell>
          <cell r="C1037" t="str">
            <v>PON</v>
          </cell>
          <cell r="D1037">
            <v>641526686</v>
          </cell>
          <cell r="E1037" t="str">
            <v>K21 Agattu 1.B Move S 45 Co400</v>
          </cell>
          <cell r="F1037">
            <v>1</v>
          </cell>
          <cell r="G1037">
            <v>0</v>
          </cell>
          <cell r="I1037" t="str">
            <v>IK024</v>
          </cell>
          <cell r="L1037">
            <v>32</v>
          </cell>
          <cell r="M1037">
            <v>0.57299999999999995</v>
          </cell>
          <cell r="N1037" t="str">
            <v>5W</v>
          </cell>
          <cell r="P1037" t="str">
            <v>PONFCS</v>
          </cell>
          <cell r="Q1037" t="str">
            <v>/  /</v>
          </cell>
        </row>
        <row r="1038">
          <cell r="A1038">
            <v>4644170</v>
          </cell>
          <cell r="B1038">
            <v>44225</v>
          </cell>
          <cell r="C1038" t="str">
            <v>PON</v>
          </cell>
          <cell r="D1038">
            <v>641526686</v>
          </cell>
          <cell r="E1038" t="str">
            <v>K21 Agattu 1.B Move S 45 Co400</v>
          </cell>
          <cell r="F1038">
            <v>1</v>
          </cell>
          <cell r="G1038">
            <v>0</v>
          </cell>
          <cell r="I1038" t="str">
            <v>IK024</v>
          </cell>
          <cell r="L1038">
            <v>32</v>
          </cell>
          <cell r="M1038">
            <v>0.57299999999999995</v>
          </cell>
          <cell r="N1038" t="str">
            <v>5W</v>
          </cell>
          <cell r="P1038" t="str">
            <v>PONFCS</v>
          </cell>
          <cell r="Q1038" t="str">
            <v>/  /</v>
          </cell>
        </row>
        <row r="1039">
          <cell r="A1039">
            <v>3940054</v>
          </cell>
          <cell r="B1039">
            <v>43783</v>
          </cell>
          <cell r="C1039" t="str">
            <v>PON</v>
          </cell>
          <cell r="D1039">
            <v>623508032</v>
          </cell>
          <cell r="E1039" t="str">
            <v>FC F16 F/S IZ Max Disc 52 SM</v>
          </cell>
          <cell r="F1039">
            <v>1</v>
          </cell>
          <cell r="G1039">
            <v>0</v>
          </cell>
          <cell r="I1039" t="str">
            <v>IK031</v>
          </cell>
          <cell r="L1039">
            <v>5.4</v>
          </cell>
          <cell r="M1039">
            <v>0.17599999999999999</v>
          </cell>
          <cell r="N1039" t="str">
            <v>5W</v>
          </cell>
          <cell r="P1039" t="str">
            <v>PONFCS</v>
          </cell>
          <cell r="Q1039" t="str">
            <v>/  /</v>
          </cell>
        </row>
        <row r="1040">
          <cell r="A1040">
            <v>4338881</v>
          </cell>
          <cell r="B1040">
            <v>44041</v>
          </cell>
          <cell r="C1040" t="str">
            <v>PON</v>
          </cell>
          <cell r="D1040">
            <v>633073301</v>
          </cell>
          <cell r="E1040" t="str">
            <v>CV C20 R3 Dsc F/S 51S Oge Blu</v>
          </cell>
          <cell r="F1040">
            <v>1</v>
          </cell>
          <cell r="G1040">
            <v>0</v>
          </cell>
          <cell r="I1040" t="str">
            <v>IK032</v>
          </cell>
          <cell r="L1040">
            <v>3.7</v>
          </cell>
          <cell r="M1040">
            <v>0.182</v>
          </cell>
          <cell r="N1040" t="str">
            <v>5W</v>
          </cell>
          <cell r="P1040" t="str">
            <v>PONCVL</v>
          </cell>
          <cell r="Q1040" t="str">
            <v>/  /</v>
          </cell>
        </row>
        <row r="1041">
          <cell r="A1041">
            <v>4029799</v>
          </cell>
          <cell r="B1041">
            <v>43845</v>
          </cell>
          <cell r="C1041" t="str">
            <v>PON</v>
          </cell>
          <cell r="D1041">
            <v>633618501</v>
          </cell>
          <cell r="E1041" t="str">
            <v>FC F20 Paralane Square 9.9 54M</v>
          </cell>
          <cell r="F1041">
            <v>1</v>
          </cell>
          <cell r="G1041">
            <v>0</v>
          </cell>
          <cell r="I1041" t="str">
            <v>IK033</v>
          </cell>
          <cell r="L1041">
            <v>22.7</v>
          </cell>
          <cell r="M1041">
            <v>0.55500000000000005</v>
          </cell>
          <cell r="N1041" t="str">
            <v>5W</v>
          </cell>
          <cell r="P1041" t="str">
            <v>PONFCS</v>
          </cell>
          <cell r="Q1041" t="str">
            <v>/  /</v>
          </cell>
        </row>
        <row r="1042">
          <cell r="A1042">
            <v>4644085</v>
          </cell>
          <cell r="B1042">
            <v>44225</v>
          </cell>
          <cell r="C1042" t="str">
            <v>PON</v>
          </cell>
          <cell r="D1042">
            <v>637526050</v>
          </cell>
          <cell r="E1042" t="str">
            <v>K21 ENDV 1.B MOVE 400 S 45</v>
          </cell>
          <cell r="F1042">
            <v>1</v>
          </cell>
          <cell r="G1042">
            <v>0</v>
          </cell>
          <cell r="I1042" t="str">
            <v>IK033</v>
          </cell>
          <cell r="L1042">
            <v>31.2</v>
          </cell>
          <cell r="M1042">
            <v>0.57799999999999996</v>
          </cell>
          <cell r="N1042" t="str">
            <v>5W</v>
          </cell>
          <cell r="P1042" t="str">
            <v>PONFCS</v>
          </cell>
          <cell r="Q1042" t="str">
            <v>/  /</v>
          </cell>
        </row>
        <row r="1043">
          <cell r="A1043">
            <v>4644114</v>
          </cell>
          <cell r="B1043">
            <v>44225</v>
          </cell>
          <cell r="C1043" t="str">
            <v>PON</v>
          </cell>
          <cell r="D1043">
            <v>637526067</v>
          </cell>
          <cell r="E1043" t="str">
            <v>K21 Endv 1.B Move M Grey</v>
          </cell>
          <cell r="F1043">
            <v>1</v>
          </cell>
          <cell r="G1043">
            <v>0</v>
          </cell>
          <cell r="I1043" t="str">
            <v>IK033</v>
          </cell>
          <cell r="L1043">
            <v>32.5</v>
          </cell>
          <cell r="M1043">
            <v>0.57299999999999995</v>
          </cell>
          <cell r="N1043" t="str">
            <v>5W</v>
          </cell>
          <cell r="P1043" t="str">
            <v>PONFCS</v>
          </cell>
          <cell r="Q1043" t="str">
            <v>/  /</v>
          </cell>
        </row>
        <row r="1044">
          <cell r="A1044">
            <v>4644115</v>
          </cell>
          <cell r="B1044">
            <v>44225</v>
          </cell>
          <cell r="C1044" t="str">
            <v>PON</v>
          </cell>
          <cell r="D1044">
            <v>637526067</v>
          </cell>
          <cell r="E1044" t="str">
            <v>K21 Endv 1.B Move M Grey</v>
          </cell>
          <cell r="F1044">
            <v>1</v>
          </cell>
          <cell r="G1044">
            <v>0</v>
          </cell>
          <cell r="I1044" t="str">
            <v>IK033</v>
          </cell>
          <cell r="L1044">
            <v>32.5</v>
          </cell>
          <cell r="M1044">
            <v>0.57299999999999995</v>
          </cell>
          <cell r="N1044" t="str">
            <v>5W</v>
          </cell>
          <cell r="P1044" t="str">
            <v>PONFCS</v>
          </cell>
          <cell r="Q1044" t="str">
            <v>/  /</v>
          </cell>
        </row>
        <row r="1045">
          <cell r="A1045">
            <v>4644086</v>
          </cell>
          <cell r="B1045">
            <v>44225</v>
          </cell>
          <cell r="C1045" t="str">
            <v>PON</v>
          </cell>
          <cell r="D1045">
            <v>637526050</v>
          </cell>
          <cell r="E1045" t="str">
            <v>K21 ENDV 1.B MOVE 400 S 45</v>
          </cell>
          <cell r="F1045">
            <v>1</v>
          </cell>
          <cell r="G1045">
            <v>0</v>
          </cell>
          <cell r="I1045" t="str">
            <v>IK034</v>
          </cell>
          <cell r="L1045">
            <v>31.2</v>
          </cell>
          <cell r="M1045">
            <v>0.57799999999999996</v>
          </cell>
          <cell r="N1045" t="str">
            <v>5W</v>
          </cell>
          <cell r="P1045" t="str">
            <v>PONFCS</v>
          </cell>
          <cell r="Q1045" t="str">
            <v>/  /</v>
          </cell>
        </row>
        <row r="1046">
          <cell r="A1046">
            <v>4644087</v>
          </cell>
          <cell r="B1046">
            <v>44225</v>
          </cell>
          <cell r="C1046" t="str">
            <v>PON</v>
          </cell>
          <cell r="D1046">
            <v>637526050</v>
          </cell>
          <cell r="E1046" t="str">
            <v>K21 ENDV 1.B MOVE 400 S 45</v>
          </cell>
          <cell r="F1046">
            <v>1</v>
          </cell>
          <cell r="G1046">
            <v>0</v>
          </cell>
          <cell r="I1046" t="str">
            <v>IK034</v>
          </cell>
          <cell r="L1046">
            <v>31.2</v>
          </cell>
          <cell r="M1046">
            <v>0.57799999999999996</v>
          </cell>
          <cell r="N1046" t="str">
            <v>5W</v>
          </cell>
          <cell r="P1046" t="str">
            <v>PONFCS</v>
          </cell>
          <cell r="Q1046" t="str">
            <v>/  /</v>
          </cell>
        </row>
        <row r="1047">
          <cell r="A1047">
            <v>4039771</v>
          </cell>
          <cell r="B1047">
            <v>43852</v>
          </cell>
          <cell r="C1047" t="str">
            <v>PON</v>
          </cell>
          <cell r="D1047">
            <v>613508082</v>
          </cell>
          <cell r="E1047" t="str">
            <v>FC F13 FS Raven 1.0 LG 54 29R</v>
          </cell>
          <cell r="F1047">
            <v>1</v>
          </cell>
          <cell r="G1047">
            <v>0</v>
          </cell>
          <cell r="I1047" t="str">
            <v>IK041</v>
          </cell>
          <cell r="L1047">
            <v>5.8</v>
          </cell>
          <cell r="M1047">
            <v>0.19400000000000001</v>
          </cell>
          <cell r="N1047" t="str">
            <v>5W</v>
          </cell>
          <cell r="P1047" t="str">
            <v>PONFCS</v>
          </cell>
          <cell r="Q1047" t="str">
            <v>/  /</v>
          </cell>
        </row>
        <row r="1048">
          <cell r="A1048">
            <v>3971842</v>
          </cell>
          <cell r="B1048">
            <v>43802</v>
          </cell>
          <cell r="C1048" t="str">
            <v>PON</v>
          </cell>
          <cell r="D1048">
            <v>614508151</v>
          </cell>
          <cell r="E1048" t="str">
            <v>FC F14 F/S Raven 1.0 29R SM 42</v>
          </cell>
          <cell r="F1048">
            <v>1</v>
          </cell>
          <cell r="G1048">
            <v>0</v>
          </cell>
          <cell r="I1048" t="str">
            <v>IK041</v>
          </cell>
          <cell r="L1048">
            <v>5.6</v>
          </cell>
          <cell r="M1048">
            <v>0.17</v>
          </cell>
          <cell r="N1048" t="str">
            <v>5W</v>
          </cell>
          <cell r="P1048" t="str">
            <v>PONFCS</v>
          </cell>
          <cell r="Q1048" t="str">
            <v>/  /</v>
          </cell>
        </row>
        <row r="1049">
          <cell r="A1049">
            <v>4037653</v>
          </cell>
          <cell r="B1049">
            <v>43851</v>
          </cell>
          <cell r="C1049" t="str">
            <v>PON</v>
          </cell>
          <cell r="D1049">
            <v>620508015</v>
          </cell>
          <cell r="E1049" t="str">
            <v>FC F15 F/S Mares CX 3.0 60 XXL</v>
          </cell>
          <cell r="F1049">
            <v>1</v>
          </cell>
          <cell r="G1049">
            <v>0</v>
          </cell>
          <cell r="I1049" t="str">
            <v>IK041</v>
          </cell>
          <cell r="L1049">
            <v>6.3</v>
          </cell>
          <cell r="M1049">
            <v>0.19</v>
          </cell>
          <cell r="N1049" t="str">
            <v>5W</v>
          </cell>
          <cell r="P1049" t="str">
            <v>PONFCS</v>
          </cell>
          <cell r="Q1049" t="str">
            <v>/  /</v>
          </cell>
        </row>
        <row r="1050">
          <cell r="A1050">
            <v>3947233</v>
          </cell>
          <cell r="B1050">
            <v>43788</v>
          </cell>
          <cell r="C1050" t="str">
            <v>PON</v>
          </cell>
          <cell r="D1050">
            <v>625508006</v>
          </cell>
          <cell r="E1050" t="str">
            <v>Focus F17 IZ Max F/S 61 XXL</v>
          </cell>
          <cell r="F1050">
            <v>1</v>
          </cell>
          <cell r="G1050">
            <v>0</v>
          </cell>
          <cell r="I1050" t="str">
            <v>IK041</v>
          </cell>
          <cell r="L1050">
            <v>6</v>
          </cell>
          <cell r="M1050">
            <v>0.185</v>
          </cell>
          <cell r="N1050" t="str">
            <v>5W</v>
          </cell>
          <cell r="P1050" t="str">
            <v>PONFCS</v>
          </cell>
          <cell r="Q1050" t="str">
            <v>/  /</v>
          </cell>
        </row>
        <row r="1051">
          <cell r="A1051">
            <v>4087335</v>
          </cell>
          <cell r="B1051">
            <v>43788</v>
          </cell>
          <cell r="C1051" t="str">
            <v>PON</v>
          </cell>
          <cell r="D1051">
            <v>625508006</v>
          </cell>
          <cell r="E1051" t="str">
            <v>Focus F17 IZ Max F/S 61 XXL</v>
          </cell>
          <cell r="F1051">
            <v>1</v>
          </cell>
          <cell r="G1051">
            <v>0</v>
          </cell>
          <cell r="I1051" t="str">
            <v>IK041</v>
          </cell>
          <cell r="L1051">
            <v>6</v>
          </cell>
          <cell r="M1051">
            <v>0.185</v>
          </cell>
          <cell r="N1051" t="str">
            <v>5W</v>
          </cell>
          <cell r="P1051" t="str">
            <v>PONFCS</v>
          </cell>
          <cell r="Q1051" t="str">
            <v>/  /</v>
          </cell>
        </row>
        <row r="1052">
          <cell r="A1052">
            <v>4088636</v>
          </cell>
          <cell r="B1052">
            <v>43788</v>
          </cell>
          <cell r="C1052" t="str">
            <v>PON</v>
          </cell>
          <cell r="D1052">
            <v>625508006</v>
          </cell>
          <cell r="E1052" t="str">
            <v>Focus F17 IZ Max F/S 61 XXL</v>
          </cell>
          <cell r="F1052">
            <v>1</v>
          </cell>
          <cell r="G1052">
            <v>0</v>
          </cell>
          <cell r="I1052" t="str">
            <v>IK041</v>
          </cell>
          <cell r="L1052">
            <v>6</v>
          </cell>
          <cell r="M1052">
            <v>0.185</v>
          </cell>
          <cell r="N1052" t="str">
            <v>5W</v>
          </cell>
          <cell r="P1052" t="str">
            <v>PONFCS</v>
          </cell>
          <cell r="Q1052" t="str">
            <v>/  /</v>
          </cell>
        </row>
        <row r="1053">
          <cell r="A1053">
            <v>4644083</v>
          </cell>
          <cell r="B1053">
            <v>44225</v>
          </cell>
          <cell r="C1053" t="str">
            <v>PON</v>
          </cell>
          <cell r="D1053">
            <v>637518108</v>
          </cell>
          <cell r="E1053" t="str">
            <v>F20 JAM2 6.8 NINE 49XL BK BSCH</v>
          </cell>
          <cell r="F1053">
            <v>1</v>
          </cell>
          <cell r="G1053">
            <v>0</v>
          </cell>
          <cell r="I1053" t="str">
            <v>IK043</v>
          </cell>
          <cell r="L1053">
            <v>32.9</v>
          </cell>
          <cell r="M1053">
            <v>0.58099999999999996</v>
          </cell>
          <cell r="N1053" t="str">
            <v>5W</v>
          </cell>
          <cell r="P1053" t="str">
            <v>PONFCS</v>
          </cell>
          <cell r="Q1053" t="str">
            <v>/  /</v>
          </cell>
        </row>
        <row r="1054">
          <cell r="A1054">
            <v>4644090</v>
          </cell>
          <cell r="B1054">
            <v>44225</v>
          </cell>
          <cell r="C1054" t="str">
            <v>PON</v>
          </cell>
          <cell r="D1054">
            <v>637526050</v>
          </cell>
          <cell r="E1054" t="str">
            <v>K21 ENDV 1.B MOVE 400 S 45</v>
          </cell>
          <cell r="F1054">
            <v>1</v>
          </cell>
          <cell r="G1054">
            <v>0</v>
          </cell>
          <cell r="I1054" t="str">
            <v>IK043</v>
          </cell>
          <cell r="L1054">
            <v>31.2</v>
          </cell>
          <cell r="M1054">
            <v>0.57799999999999996</v>
          </cell>
          <cell r="N1054" t="str">
            <v>5W</v>
          </cell>
          <cell r="P1054" t="str">
            <v>PONFCS</v>
          </cell>
          <cell r="Q1054" t="str">
            <v>/  /</v>
          </cell>
        </row>
        <row r="1055">
          <cell r="A1055">
            <v>4644174</v>
          </cell>
          <cell r="B1055">
            <v>44225</v>
          </cell>
          <cell r="C1055" t="str">
            <v>PON</v>
          </cell>
          <cell r="D1055">
            <v>641526686</v>
          </cell>
          <cell r="E1055" t="str">
            <v>K21 Agattu 1.B Move S 45 Co400</v>
          </cell>
          <cell r="F1055">
            <v>1</v>
          </cell>
          <cell r="G1055">
            <v>0</v>
          </cell>
          <cell r="I1055" t="str">
            <v>IK043</v>
          </cell>
          <cell r="L1055">
            <v>32</v>
          </cell>
          <cell r="M1055">
            <v>0.57299999999999995</v>
          </cell>
          <cell r="N1055" t="str">
            <v>5W</v>
          </cell>
          <cell r="P1055" t="str">
            <v>PONFCS</v>
          </cell>
          <cell r="Q1055" t="str">
            <v>/  /</v>
          </cell>
        </row>
        <row r="1056">
          <cell r="A1056">
            <v>4644198</v>
          </cell>
          <cell r="B1056">
            <v>44225</v>
          </cell>
          <cell r="C1056" t="str">
            <v>PON</v>
          </cell>
          <cell r="D1056">
            <v>641526688</v>
          </cell>
          <cell r="E1056" t="str">
            <v>K21 AGATTU 1.B MOVE L 55 CO400</v>
          </cell>
          <cell r="F1056">
            <v>1</v>
          </cell>
          <cell r="G1056">
            <v>0</v>
          </cell>
          <cell r="I1056" t="str">
            <v>IK043</v>
          </cell>
          <cell r="L1056">
            <v>33</v>
          </cell>
          <cell r="M1056">
            <v>0.58799999999999997</v>
          </cell>
          <cell r="N1056" t="str">
            <v>5W</v>
          </cell>
          <cell r="P1056" t="str">
            <v>PONFCS</v>
          </cell>
          <cell r="Q1056" t="str">
            <v>/  /</v>
          </cell>
        </row>
        <row r="1057">
          <cell r="A1057">
            <v>4644199</v>
          </cell>
          <cell r="B1057">
            <v>44225</v>
          </cell>
          <cell r="C1057" t="str">
            <v>PON</v>
          </cell>
          <cell r="D1057">
            <v>641526688</v>
          </cell>
          <cell r="E1057" t="str">
            <v>K21 AGATTU 1.B MOVE L 55 CO400</v>
          </cell>
          <cell r="F1057">
            <v>1</v>
          </cell>
          <cell r="G1057">
            <v>0</v>
          </cell>
          <cell r="I1057" t="str">
            <v>IK043</v>
          </cell>
          <cell r="L1057">
            <v>33</v>
          </cell>
          <cell r="M1057">
            <v>0.58799999999999997</v>
          </cell>
          <cell r="N1057" t="str">
            <v>5W</v>
          </cell>
          <cell r="P1057" t="str">
            <v>PONFCS</v>
          </cell>
          <cell r="Q1057" t="str">
            <v>/  /</v>
          </cell>
        </row>
        <row r="1058">
          <cell r="A1058">
            <v>4574081</v>
          </cell>
          <cell r="B1058">
            <v>44172</v>
          </cell>
          <cell r="C1058" t="str">
            <v>PON</v>
          </cell>
          <cell r="D1058">
            <v>641518012</v>
          </cell>
          <cell r="E1058" t="str">
            <v>F21 JAM2 6.9 NINE L44 625WH</v>
          </cell>
          <cell r="F1058">
            <v>1</v>
          </cell>
          <cell r="G1058">
            <v>0</v>
          </cell>
          <cell r="I1058" t="str">
            <v>IK044</v>
          </cell>
          <cell r="L1058">
            <v>34.1</v>
          </cell>
          <cell r="M1058">
            <v>0.58599999999999997</v>
          </cell>
          <cell r="N1058" t="str">
            <v>5W</v>
          </cell>
          <cell r="P1058" t="str">
            <v>PONFCS</v>
          </cell>
          <cell r="Q1058" t="str">
            <v>/  /</v>
          </cell>
        </row>
        <row r="1059">
          <cell r="A1059">
            <v>3908685</v>
          </cell>
          <cell r="B1059">
            <v>43763</v>
          </cell>
          <cell r="C1059" t="str">
            <v>PON</v>
          </cell>
          <cell r="D1059">
            <v>628508305</v>
          </cell>
          <cell r="E1059" t="str">
            <v>Focus F18 IZ Max DI2 F/S 58XL</v>
          </cell>
          <cell r="F1059">
            <v>1</v>
          </cell>
          <cell r="G1059">
            <v>0</v>
          </cell>
          <cell r="I1059" t="str">
            <v>IK051</v>
          </cell>
          <cell r="L1059">
            <v>5.8</v>
          </cell>
          <cell r="M1059">
            <v>0.18099999999999999</v>
          </cell>
          <cell r="N1059" t="str">
            <v>5W</v>
          </cell>
          <cell r="P1059" t="str">
            <v>PONFCS</v>
          </cell>
          <cell r="Q1059" t="str">
            <v>/  /</v>
          </cell>
        </row>
        <row r="1060">
          <cell r="A1060">
            <v>4086051</v>
          </cell>
          <cell r="B1060">
            <v>43763</v>
          </cell>
          <cell r="C1060" t="str">
            <v>PON</v>
          </cell>
          <cell r="D1060">
            <v>628508305</v>
          </cell>
          <cell r="E1060" t="str">
            <v>Focus F18 IZ Max DI2 F/S 58XL</v>
          </cell>
          <cell r="F1060">
            <v>1</v>
          </cell>
          <cell r="G1060">
            <v>0</v>
          </cell>
          <cell r="I1060" t="str">
            <v>IK051</v>
          </cell>
          <cell r="L1060">
            <v>5.8</v>
          </cell>
          <cell r="M1060">
            <v>0.18099999999999999</v>
          </cell>
          <cell r="N1060" t="str">
            <v>5W</v>
          </cell>
          <cell r="P1060" t="str">
            <v>PONFCS</v>
          </cell>
          <cell r="Q1060" t="str">
            <v>/  /</v>
          </cell>
        </row>
        <row r="1061">
          <cell r="A1061">
            <v>4022864</v>
          </cell>
          <cell r="B1061">
            <v>43839</v>
          </cell>
          <cell r="C1061" t="str">
            <v>PON</v>
          </cell>
          <cell r="D1061">
            <v>628509315</v>
          </cell>
          <cell r="E1061" t="str">
            <v>F18 IZ Max 58XL White Blue Red</v>
          </cell>
          <cell r="F1061">
            <v>1</v>
          </cell>
          <cell r="G1061">
            <v>0</v>
          </cell>
          <cell r="I1061" t="str">
            <v>IK051</v>
          </cell>
          <cell r="L1061">
            <v>5.3</v>
          </cell>
          <cell r="M1061">
            <v>0.16800000000000001</v>
          </cell>
          <cell r="N1061" t="str">
            <v>5W</v>
          </cell>
          <cell r="P1061" t="str">
            <v>PONFCS</v>
          </cell>
          <cell r="Q1061" t="str">
            <v>/  /</v>
          </cell>
        </row>
        <row r="1062">
          <cell r="A1062">
            <v>4573998</v>
          </cell>
          <cell r="B1062">
            <v>44172</v>
          </cell>
          <cell r="C1062" t="str">
            <v>PON</v>
          </cell>
          <cell r="D1062">
            <v>637518116</v>
          </cell>
          <cell r="E1062" t="str">
            <v>F20 JAM2 6.8 NINE 42M BLUE BCH</v>
          </cell>
          <cell r="F1062">
            <v>1</v>
          </cell>
          <cell r="G1062">
            <v>0</v>
          </cell>
          <cell r="I1062" t="str">
            <v>IK053</v>
          </cell>
          <cell r="L1062">
            <v>32.700000000000003</v>
          </cell>
          <cell r="M1062">
            <v>0.57799999999999996</v>
          </cell>
          <cell r="N1062" t="str">
            <v>5W</v>
          </cell>
          <cell r="P1062" t="str">
            <v>PONFCS</v>
          </cell>
          <cell r="Q1062" t="str">
            <v>/  /</v>
          </cell>
        </row>
        <row r="1063">
          <cell r="A1063">
            <v>4573999</v>
          </cell>
          <cell r="B1063">
            <v>44172</v>
          </cell>
          <cell r="C1063" t="str">
            <v>PON</v>
          </cell>
          <cell r="D1063">
            <v>637518116</v>
          </cell>
          <cell r="E1063" t="str">
            <v>F20 JAM2 6.8 NINE 42M BLUE BCH</v>
          </cell>
          <cell r="F1063">
            <v>1</v>
          </cell>
          <cell r="G1063">
            <v>0</v>
          </cell>
          <cell r="I1063" t="str">
            <v>IK053</v>
          </cell>
          <cell r="L1063">
            <v>32.700000000000003</v>
          </cell>
          <cell r="M1063">
            <v>0.57799999999999996</v>
          </cell>
          <cell r="N1063" t="str">
            <v>5W</v>
          </cell>
          <cell r="P1063" t="str">
            <v>PONFCS</v>
          </cell>
          <cell r="Q1063" t="str">
            <v>/  /</v>
          </cell>
        </row>
        <row r="1064">
          <cell r="A1064">
            <v>4006703</v>
          </cell>
          <cell r="B1064">
            <v>43817</v>
          </cell>
          <cell r="C1064" t="str">
            <v>PON</v>
          </cell>
          <cell r="D1064" t="str">
            <v>A2948</v>
          </cell>
          <cell r="E1064" t="str">
            <v>GZ G17 Orange CX HMB 57 Men</v>
          </cell>
          <cell r="F1064">
            <v>1</v>
          </cell>
          <cell r="G1064">
            <v>0</v>
          </cell>
          <cell r="I1064" t="str">
            <v>IK053</v>
          </cell>
          <cell r="L1064">
            <v>31</v>
          </cell>
          <cell r="M1064">
            <v>0.57599999999999996</v>
          </cell>
          <cell r="N1064" t="str">
            <v>5W</v>
          </cell>
          <cell r="P1064" t="str">
            <v>PONGAZ</v>
          </cell>
          <cell r="Q1064" t="str">
            <v>/  /</v>
          </cell>
        </row>
        <row r="1065">
          <cell r="A1065">
            <v>4006717</v>
          </cell>
          <cell r="B1065">
            <v>43817</v>
          </cell>
          <cell r="C1065" t="str">
            <v>PON</v>
          </cell>
          <cell r="D1065" t="str">
            <v>A5974</v>
          </cell>
          <cell r="E1065" t="str">
            <v>GZ G19 Vento C7 HMB 57 Men Blk</v>
          </cell>
          <cell r="F1065">
            <v>1</v>
          </cell>
          <cell r="G1065">
            <v>0</v>
          </cell>
          <cell r="I1065" t="str">
            <v>IK053</v>
          </cell>
          <cell r="L1065">
            <v>31.7</v>
          </cell>
          <cell r="M1065">
            <v>0.61499999999999999</v>
          </cell>
          <cell r="N1065" t="str">
            <v>5W</v>
          </cell>
          <cell r="P1065" t="str">
            <v>PONGAZ</v>
          </cell>
          <cell r="Q1065" t="str">
            <v>/  /</v>
          </cell>
        </row>
        <row r="1066">
          <cell r="A1066">
            <v>4575051</v>
          </cell>
          <cell r="B1066">
            <v>44173</v>
          </cell>
          <cell r="C1066" t="str">
            <v>PON</v>
          </cell>
          <cell r="D1066">
            <v>637518141</v>
          </cell>
          <cell r="E1066" t="str">
            <v>F20 Jam2 6.7 Nine 42M Black</v>
          </cell>
          <cell r="F1066">
            <v>1</v>
          </cell>
          <cell r="G1066">
            <v>0</v>
          </cell>
          <cell r="I1066" t="str">
            <v>IK054</v>
          </cell>
          <cell r="L1066">
            <v>32.799999999999997</v>
          </cell>
          <cell r="M1066">
            <v>0.58099999999999996</v>
          </cell>
          <cell r="N1066" t="str">
            <v>5W</v>
          </cell>
          <cell r="P1066" t="str">
            <v>PONFCS</v>
          </cell>
          <cell r="Q1066" t="str">
            <v>/  /</v>
          </cell>
        </row>
        <row r="1067">
          <cell r="A1067">
            <v>4644154</v>
          </cell>
          <cell r="B1067">
            <v>44225</v>
          </cell>
          <cell r="C1067" t="str">
            <v>PON</v>
          </cell>
          <cell r="D1067">
            <v>637527054</v>
          </cell>
          <cell r="E1067" t="str">
            <v>K21 Endeavour 1.B Move 500 S</v>
          </cell>
          <cell r="F1067">
            <v>1</v>
          </cell>
          <cell r="G1067">
            <v>0</v>
          </cell>
          <cell r="I1067" t="str">
            <v>IK054</v>
          </cell>
          <cell r="L1067">
            <v>31</v>
          </cell>
          <cell r="M1067">
            <v>0.57299999999999995</v>
          </cell>
          <cell r="N1067" t="str">
            <v>5W</v>
          </cell>
          <cell r="P1067" t="str">
            <v>PONFCS</v>
          </cell>
          <cell r="Q1067" t="str">
            <v>/  /</v>
          </cell>
        </row>
        <row r="1068">
          <cell r="A1068">
            <v>4574071</v>
          </cell>
          <cell r="B1068">
            <v>44172</v>
          </cell>
          <cell r="C1068" t="str">
            <v>PON</v>
          </cell>
          <cell r="D1068">
            <v>637529082</v>
          </cell>
          <cell r="E1068" t="str">
            <v>K21 Endeavour 7.B Move L 53 Di</v>
          </cell>
          <cell r="F1068">
            <v>1</v>
          </cell>
          <cell r="G1068">
            <v>0</v>
          </cell>
          <cell r="I1068" t="str">
            <v>IK054</v>
          </cell>
          <cell r="L1068">
            <v>34.5</v>
          </cell>
          <cell r="M1068">
            <v>0.57299999999999995</v>
          </cell>
          <cell r="N1068" t="str">
            <v>5W</v>
          </cell>
          <cell r="P1068" t="str">
            <v>PONFCS</v>
          </cell>
          <cell r="Q1068" t="str">
            <v>/  /</v>
          </cell>
        </row>
        <row r="1069">
          <cell r="A1069">
            <v>4037587</v>
          </cell>
          <cell r="B1069">
            <v>43851</v>
          </cell>
          <cell r="C1069" t="str">
            <v>PON</v>
          </cell>
          <cell r="D1069">
            <v>612007905</v>
          </cell>
          <cell r="E1069" t="str">
            <v>FC F12 FS* Raven 29 1.0 SM42</v>
          </cell>
          <cell r="F1069">
            <v>1</v>
          </cell>
          <cell r="G1069">
            <v>0</v>
          </cell>
          <cell r="I1069" t="str">
            <v>IK061</v>
          </cell>
          <cell r="L1069">
            <v>5.4</v>
          </cell>
          <cell r="M1069">
            <v>0.19</v>
          </cell>
          <cell r="N1069" t="str">
            <v>5W</v>
          </cell>
          <cell r="P1069" t="str">
            <v>PONFCS</v>
          </cell>
          <cell r="Q1069" t="str">
            <v>/  /</v>
          </cell>
        </row>
        <row r="1070">
          <cell r="A1070">
            <v>4080947</v>
          </cell>
          <cell r="B1070">
            <v>43851</v>
          </cell>
          <cell r="C1070" t="str">
            <v>PON</v>
          </cell>
          <cell r="D1070">
            <v>612007905</v>
          </cell>
          <cell r="E1070" t="str">
            <v>FC F12 FS* Raven 29 1.0 SM42</v>
          </cell>
          <cell r="F1070">
            <v>1</v>
          </cell>
          <cell r="G1070">
            <v>0</v>
          </cell>
          <cell r="I1070" t="str">
            <v>IK061</v>
          </cell>
          <cell r="L1070">
            <v>5.4</v>
          </cell>
          <cell r="M1070">
            <v>0.19</v>
          </cell>
          <cell r="N1070" t="str">
            <v>5W</v>
          </cell>
          <cell r="P1070" t="str">
            <v>PONFCS</v>
          </cell>
          <cell r="Q1070" t="str">
            <v>/  /</v>
          </cell>
        </row>
        <row r="1071">
          <cell r="A1071">
            <v>3948661</v>
          </cell>
          <cell r="B1071">
            <v>43788</v>
          </cell>
          <cell r="C1071" t="str">
            <v>PON</v>
          </cell>
          <cell r="D1071">
            <v>623508036</v>
          </cell>
          <cell r="E1071" t="str">
            <v>FC F16 F/S IZ Max Disc 61 XXL</v>
          </cell>
          <cell r="F1071">
            <v>1</v>
          </cell>
          <cell r="G1071">
            <v>0</v>
          </cell>
          <cell r="I1071" t="str">
            <v>IK061</v>
          </cell>
          <cell r="L1071">
            <v>6.4</v>
          </cell>
          <cell r="M1071">
            <v>0.17299999999999999</v>
          </cell>
          <cell r="N1071" t="str">
            <v>5W</v>
          </cell>
          <cell r="P1071" t="str">
            <v>PONFCS</v>
          </cell>
          <cell r="Q1071" t="str">
            <v>/  /</v>
          </cell>
        </row>
        <row r="1072">
          <cell r="A1072">
            <v>4087391</v>
          </cell>
          <cell r="B1072">
            <v>43763</v>
          </cell>
          <cell r="C1072" t="str">
            <v>PON</v>
          </cell>
          <cell r="D1072">
            <v>628508305</v>
          </cell>
          <cell r="E1072" t="str">
            <v>Focus F18 IZ Max DI2 F/S 58XL</v>
          </cell>
          <cell r="F1072">
            <v>1</v>
          </cell>
          <cell r="G1072">
            <v>0</v>
          </cell>
          <cell r="I1072" t="str">
            <v>IK061</v>
          </cell>
          <cell r="L1072">
            <v>5.8</v>
          </cell>
          <cell r="M1072">
            <v>0.18099999999999999</v>
          </cell>
          <cell r="N1072" t="str">
            <v>5W</v>
          </cell>
          <cell r="P1072" t="str">
            <v>PONFCS</v>
          </cell>
          <cell r="Q1072" t="str">
            <v>/  /</v>
          </cell>
        </row>
        <row r="1073">
          <cell r="A1073">
            <v>4088696</v>
          </cell>
          <cell r="B1073">
            <v>43763</v>
          </cell>
          <cell r="C1073" t="str">
            <v>PON</v>
          </cell>
          <cell r="D1073">
            <v>628508305</v>
          </cell>
          <cell r="E1073" t="str">
            <v>Focus F18 IZ Max DI2 F/S 58XL</v>
          </cell>
          <cell r="F1073">
            <v>1</v>
          </cell>
          <cell r="G1073">
            <v>0</v>
          </cell>
          <cell r="I1073" t="str">
            <v>IK061</v>
          </cell>
          <cell r="L1073">
            <v>5.8</v>
          </cell>
          <cell r="M1073">
            <v>0.18099999999999999</v>
          </cell>
          <cell r="N1073" t="str">
            <v>5W</v>
          </cell>
          <cell r="P1073" t="str">
            <v>PONFCS</v>
          </cell>
          <cell r="Q1073" t="str">
            <v>/  /</v>
          </cell>
        </row>
        <row r="1074">
          <cell r="A1074">
            <v>4644096</v>
          </cell>
          <cell r="B1074">
            <v>44225</v>
          </cell>
          <cell r="C1074" t="str">
            <v>PON</v>
          </cell>
          <cell r="D1074">
            <v>637526054</v>
          </cell>
          <cell r="E1074" t="str">
            <v>K21 Endeavour 1.B Move 400 S</v>
          </cell>
          <cell r="F1074">
            <v>1</v>
          </cell>
          <cell r="G1074">
            <v>0</v>
          </cell>
          <cell r="I1074" t="str">
            <v>IK063</v>
          </cell>
          <cell r="L1074">
            <v>31</v>
          </cell>
          <cell r="M1074">
            <v>0.57299999999999995</v>
          </cell>
          <cell r="N1074" t="str">
            <v>5W</v>
          </cell>
          <cell r="P1074" t="str">
            <v>PONFCS</v>
          </cell>
          <cell r="Q1074" t="str">
            <v>/  /</v>
          </cell>
        </row>
        <row r="1075">
          <cell r="A1075">
            <v>4644097</v>
          </cell>
          <cell r="B1075">
            <v>44225</v>
          </cell>
          <cell r="C1075" t="str">
            <v>PON</v>
          </cell>
          <cell r="D1075">
            <v>637526054</v>
          </cell>
          <cell r="E1075" t="str">
            <v>K21 Endeavour 1.B Move 400 S</v>
          </cell>
          <cell r="F1075">
            <v>1</v>
          </cell>
          <cell r="G1075">
            <v>0</v>
          </cell>
          <cell r="I1075" t="str">
            <v>IK063</v>
          </cell>
          <cell r="L1075">
            <v>31</v>
          </cell>
          <cell r="M1075">
            <v>0.57299999999999995</v>
          </cell>
          <cell r="N1075" t="str">
            <v>5W</v>
          </cell>
          <cell r="P1075" t="str">
            <v>PONFCS</v>
          </cell>
          <cell r="Q1075" t="str">
            <v>/  /</v>
          </cell>
        </row>
        <row r="1076">
          <cell r="A1076">
            <v>4644098</v>
          </cell>
          <cell r="B1076">
            <v>44225</v>
          </cell>
          <cell r="C1076" t="str">
            <v>PON</v>
          </cell>
          <cell r="D1076">
            <v>637526054</v>
          </cell>
          <cell r="E1076" t="str">
            <v>K21 Endeavour 1.B Move 400 S</v>
          </cell>
          <cell r="F1076">
            <v>1</v>
          </cell>
          <cell r="G1076">
            <v>0</v>
          </cell>
          <cell r="I1076" t="str">
            <v>IK063</v>
          </cell>
          <cell r="L1076">
            <v>31</v>
          </cell>
          <cell r="M1076">
            <v>0.57299999999999995</v>
          </cell>
          <cell r="N1076" t="str">
            <v>5W</v>
          </cell>
          <cell r="P1076" t="str">
            <v>PONFCS</v>
          </cell>
          <cell r="Q1076" t="str">
            <v>/  /</v>
          </cell>
        </row>
        <row r="1077">
          <cell r="A1077">
            <v>4644116</v>
          </cell>
          <cell r="B1077">
            <v>44225</v>
          </cell>
          <cell r="C1077" t="str">
            <v>PON</v>
          </cell>
          <cell r="D1077">
            <v>637526067</v>
          </cell>
          <cell r="E1077" t="str">
            <v>K21 Endv 1.B Move M Grey</v>
          </cell>
          <cell r="F1077">
            <v>1</v>
          </cell>
          <cell r="G1077">
            <v>0</v>
          </cell>
          <cell r="I1077" t="str">
            <v>IK064</v>
          </cell>
          <cell r="L1077">
            <v>32.5</v>
          </cell>
          <cell r="M1077">
            <v>0.57299999999999995</v>
          </cell>
          <cell r="N1077" t="str">
            <v>5W</v>
          </cell>
          <cell r="P1077" t="str">
            <v>PONFCS</v>
          </cell>
          <cell r="Q1077" t="str">
            <v>/  /</v>
          </cell>
        </row>
        <row r="1078">
          <cell r="A1078">
            <v>4644117</v>
          </cell>
          <cell r="B1078">
            <v>44225</v>
          </cell>
          <cell r="C1078" t="str">
            <v>PON</v>
          </cell>
          <cell r="D1078">
            <v>637526067</v>
          </cell>
          <cell r="E1078" t="str">
            <v>K21 Endv 1.B Move M Grey</v>
          </cell>
          <cell r="F1078">
            <v>1</v>
          </cell>
          <cell r="G1078">
            <v>0</v>
          </cell>
          <cell r="I1078" t="str">
            <v>IK064</v>
          </cell>
          <cell r="L1078">
            <v>32.5</v>
          </cell>
          <cell r="M1078">
            <v>0.57299999999999995</v>
          </cell>
          <cell r="N1078" t="str">
            <v>5W</v>
          </cell>
          <cell r="P1078" t="str">
            <v>PONFCS</v>
          </cell>
          <cell r="Q1078" t="str">
            <v>/  /</v>
          </cell>
        </row>
        <row r="1079">
          <cell r="A1079">
            <v>4644181</v>
          </cell>
          <cell r="B1079">
            <v>44225</v>
          </cell>
          <cell r="C1079" t="str">
            <v>PON</v>
          </cell>
          <cell r="D1079">
            <v>641526687</v>
          </cell>
          <cell r="E1079" t="str">
            <v>K21 Agattu 1.B Move M 50 Co 40</v>
          </cell>
          <cell r="F1079">
            <v>1</v>
          </cell>
          <cell r="G1079">
            <v>0</v>
          </cell>
          <cell r="I1079" t="str">
            <v>IK064</v>
          </cell>
          <cell r="L1079">
            <v>32</v>
          </cell>
          <cell r="M1079">
            <v>0.58399999999999996</v>
          </cell>
          <cell r="N1079" t="str">
            <v>5W</v>
          </cell>
          <cell r="P1079" t="str">
            <v>PONFCS</v>
          </cell>
          <cell r="Q1079" t="str">
            <v>/  /</v>
          </cell>
        </row>
        <row r="1080">
          <cell r="A1080">
            <v>4644182</v>
          </cell>
          <cell r="B1080">
            <v>44225</v>
          </cell>
          <cell r="C1080" t="str">
            <v>PON</v>
          </cell>
          <cell r="D1080">
            <v>641526687</v>
          </cell>
          <cell r="E1080" t="str">
            <v>K21 Agattu 1.B Move M 50 Co 40</v>
          </cell>
          <cell r="F1080">
            <v>1</v>
          </cell>
          <cell r="G1080">
            <v>0</v>
          </cell>
          <cell r="I1080" t="str">
            <v>IK064</v>
          </cell>
          <cell r="L1080">
            <v>32</v>
          </cell>
          <cell r="M1080">
            <v>0.58399999999999996</v>
          </cell>
          <cell r="N1080" t="str">
            <v>5W</v>
          </cell>
          <cell r="P1080" t="str">
            <v>PONFCS</v>
          </cell>
          <cell r="Q1080" t="str">
            <v>/  /</v>
          </cell>
        </row>
        <row r="1081">
          <cell r="A1081">
            <v>4644183</v>
          </cell>
          <cell r="B1081">
            <v>44225</v>
          </cell>
          <cell r="C1081" t="str">
            <v>PON</v>
          </cell>
          <cell r="D1081">
            <v>641526687</v>
          </cell>
          <cell r="E1081" t="str">
            <v>K21 Agattu 1.B Move M 50 Co 40</v>
          </cell>
          <cell r="F1081">
            <v>1</v>
          </cell>
          <cell r="G1081">
            <v>0</v>
          </cell>
          <cell r="I1081" t="str">
            <v>IK064</v>
          </cell>
          <cell r="L1081">
            <v>32</v>
          </cell>
          <cell r="M1081">
            <v>0.58399999999999996</v>
          </cell>
          <cell r="N1081" t="str">
            <v>5W</v>
          </cell>
          <cell r="P1081" t="str">
            <v>PONFCS</v>
          </cell>
          <cell r="Q1081" t="str">
            <v>/  /</v>
          </cell>
        </row>
        <row r="1082">
          <cell r="A1082">
            <v>3947239</v>
          </cell>
          <cell r="B1082">
            <v>43788</v>
          </cell>
          <cell r="C1082" t="str">
            <v>PON</v>
          </cell>
          <cell r="D1082">
            <v>625508140</v>
          </cell>
          <cell r="E1082" t="str">
            <v>Focus F17 Spine C F/S 42 SM</v>
          </cell>
          <cell r="F1082">
            <v>1</v>
          </cell>
          <cell r="G1082">
            <v>0</v>
          </cell>
          <cell r="I1082" t="str">
            <v>IK071</v>
          </cell>
          <cell r="L1082">
            <v>6.3</v>
          </cell>
          <cell r="M1082">
            <v>0.13300000000000001</v>
          </cell>
          <cell r="N1082" t="str">
            <v>5W</v>
          </cell>
          <cell r="P1082" t="str">
            <v>PONFCS</v>
          </cell>
          <cell r="Q1082" t="str">
            <v>/  /</v>
          </cell>
        </row>
        <row r="1083">
          <cell r="A1083">
            <v>4081055</v>
          </cell>
          <cell r="B1083">
            <v>43788</v>
          </cell>
          <cell r="C1083" t="str">
            <v>PON</v>
          </cell>
          <cell r="D1083">
            <v>625508140</v>
          </cell>
          <cell r="E1083" t="str">
            <v>Focus F17 Spine C F/S 42 SM</v>
          </cell>
          <cell r="F1083">
            <v>1</v>
          </cell>
          <cell r="G1083">
            <v>0</v>
          </cell>
          <cell r="I1083" t="str">
            <v>IK071</v>
          </cell>
          <cell r="L1083">
            <v>6.3</v>
          </cell>
          <cell r="M1083">
            <v>0.13300000000000001</v>
          </cell>
          <cell r="N1083" t="str">
            <v>5W</v>
          </cell>
          <cell r="P1083" t="str">
            <v>PONFCS</v>
          </cell>
          <cell r="Q1083" t="str">
            <v>/  /</v>
          </cell>
        </row>
        <row r="1084">
          <cell r="A1084">
            <v>3948677</v>
          </cell>
          <cell r="B1084">
            <v>43788</v>
          </cell>
          <cell r="C1084" t="str">
            <v>PON</v>
          </cell>
          <cell r="D1084">
            <v>625508142</v>
          </cell>
          <cell r="E1084" t="str">
            <v>Focus F17 Spine C F/S 48 LG</v>
          </cell>
          <cell r="F1084">
            <v>1</v>
          </cell>
          <cell r="G1084">
            <v>0</v>
          </cell>
          <cell r="I1084" t="str">
            <v>IK071</v>
          </cell>
          <cell r="L1084">
            <v>6.6</v>
          </cell>
          <cell r="M1084">
            <v>0.14699999999999999</v>
          </cell>
          <cell r="N1084" t="str">
            <v>5W</v>
          </cell>
          <cell r="P1084" t="str">
            <v>PONFCS</v>
          </cell>
          <cell r="Q1084" t="str">
            <v>/  /</v>
          </cell>
        </row>
        <row r="1085">
          <cell r="A1085">
            <v>4087338</v>
          </cell>
          <cell r="B1085">
            <v>43788</v>
          </cell>
          <cell r="C1085" t="str">
            <v>PON</v>
          </cell>
          <cell r="D1085">
            <v>625508142</v>
          </cell>
          <cell r="E1085" t="str">
            <v>Focus F17 Spine C F/S 48 LG</v>
          </cell>
          <cell r="F1085">
            <v>1</v>
          </cell>
          <cell r="G1085">
            <v>0</v>
          </cell>
          <cell r="I1085" t="str">
            <v>IK071</v>
          </cell>
          <cell r="L1085">
            <v>6.6</v>
          </cell>
          <cell r="M1085">
            <v>0.14699999999999999</v>
          </cell>
          <cell r="N1085" t="str">
            <v>5W</v>
          </cell>
          <cell r="P1085" t="str">
            <v>PONFCS</v>
          </cell>
          <cell r="Q1085" t="str">
            <v>/  /</v>
          </cell>
        </row>
        <row r="1086">
          <cell r="A1086">
            <v>4088641</v>
          </cell>
          <cell r="B1086">
            <v>43788</v>
          </cell>
          <cell r="C1086" t="str">
            <v>PON</v>
          </cell>
          <cell r="D1086">
            <v>625508142</v>
          </cell>
          <cell r="E1086" t="str">
            <v>Focus F17 Spine C F/S 48 LG</v>
          </cell>
          <cell r="F1086">
            <v>1</v>
          </cell>
          <cell r="G1086">
            <v>0</v>
          </cell>
          <cell r="I1086" t="str">
            <v>IK071</v>
          </cell>
          <cell r="L1086">
            <v>6.6</v>
          </cell>
          <cell r="M1086">
            <v>0.14699999999999999</v>
          </cell>
          <cell r="N1086" t="str">
            <v>5W</v>
          </cell>
          <cell r="P1086" t="str">
            <v>PONFCS</v>
          </cell>
          <cell r="Q1086" t="str">
            <v>/  /</v>
          </cell>
        </row>
        <row r="1087">
          <cell r="A1087">
            <v>4615285</v>
          </cell>
          <cell r="B1087">
            <v>44203</v>
          </cell>
          <cell r="C1087" t="str">
            <v>PON</v>
          </cell>
          <cell r="D1087">
            <v>637080101</v>
          </cell>
          <cell r="E1087" t="str">
            <v>FC MY20IZAL 700x50 XS Red Tint</v>
          </cell>
          <cell r="F1087">
            <v>1</v>
          </cell>
          <cell r="G1087">
            <v>0</v>
          </cell>
          <cell r="I1087" t="str">
            <v>IK071</v>
          </cell>
          <cell r="L1087">
            <v>5.7</v>
          </cell>
          <cell r="M1087">
            <v>0.14199999999999999</v>
          </cell>
          <cell r="N1087" t="str">
            <v>5W</v>
          </cell>
          <cell r="P1087" t="str">
            <v>PONFCS</v>
          </cell>
          <cell r="Q1087" t="str">
            <v>/  /</v>
          </cell>
        </row>
        <row r="1088">
          <cell r="A1088">
            <v>4574023</v>
          </cell>
          <cell r="B1088">
            <v>44172</v>
          </cell>
          <cell r="C1088" t="str">
            <v>PON</v>
          </cell>
          <cell r="D1088">
            <v>637526055</v>
          </cell>
          <cell r="E1088" t="str">
            <v>K21 Endeavour 1.B Move 400 M50</v>
          </cell>
          <cell r="F1088">
            <v>1</v>
          </cell>
          <cell r="G1088">
            <v>0</v>
          </cell>
          <cell r="I1088" t="str">
            <v>IK073</v>
          </cell>
          <cell r="L1088">
            <v>32</v>
          </cell>
          <cell r="M1088">
            <v>0.57299999999999995</v>
          </cell>
          <cell r="N1088" t="str">
            <v>5W</v>
          </cell>
          <cell r="P1088" t="str">
            <v>PONFCS</v>
          </cell>
          <cell r="Q1088" t="str">
            <v>/  /</v>
          </cell>
        </row>
        <row r="1089">
          <cell r="A1089">
            <v>4574057</v>
          </cell>
          <cell r="B1089">
            <v>44172</v>
          </cell>
          <cell r="C1089" t="str">
            <v>PON</v>
          </cell>
          <cell r="D1089">
            <v>637527068</v>
          </cell>
          <cell r="E1089" t="str">
            <v>K21 End 1.B Move 500L Grey</v>
          </cell>
          <cell r="F1089">
            <v>1</v>
          </cell>
          <cell r="G1089">
            <v>0</v>
          </cell>
          <cell r="I1089" t="str">
            <v>IK073</v>
          </cell>
          <cell r="L1089">
            <v>32</v>
          </cell>
          <cell r="M1089">
            <v>0.54800000000000004</v>
          </cell>
          <cell r="N1089" t="str">
            <v>5W</v>
          </cell>
          <cell r="P1089" t="str">
            <v>PONFCS</v>
          </cell>
          <cell r="Q1089" t="str">
            <v>/  /</v>
          </cell>
        </row>
        <row r="1090">
          <cell r="A1090">
            <v>4574058</v>
          </cell>
          <cell r="B1090">
            <v>44172</v>
          </cell>
          <cell r="C1090" t="str">
            <v>PON</v>
          </cell>
          <cell r="D1090">
            <v>637527068</v>
          </cell>
          <cell r="E1090" t="str">
            <v>K21 End 1.B Move 500L Grey</v>
          </cell>
          <cell r="F1090">
            <v>1</v>
          </cell>
          <cell r="G1090">
            <v>0</v>
          </cell>
          <cell r="I1090" t="str">
            <v>IK073</v>
          </cell>
          <cell r="L1090">
            <v>32</v>
          </cell>
          <cell r="M1090">
            <v>0.54800000000000004</v>
          </cell>
          <cell r="N1090" t="str">
            <v>5W</v>
          </cell>
          <cell r="P1090" t="str">
            <v>PONFCS</v>
          </cell>
          <cell r="Q1090" t="str">
            <v>/  /</v>
          </cell>
        </row>
        <row r="1091">
          <cell r="A1091">
            <v>4574076</v>
          </cell>
          <cell r="B1091">
            <v>44172</v>
          </cell>
          <cell r="C1091" t="str">
            <v>PON</v>
          </cell>
          <cell r="D1091">
            <v>637529085</v>
          </cell>
          <cell r="E1091" t="str">
            <v>K21 Endeavour 7.B Move S 43 Tr</v>
          </cell>
          <cell r="F1091">
            <v>1</v>
          </cell>
          <cell r="G1091">
            <v>0</v>
          </cell>
          <cell r="I1091" t="str">
            <v>IK073</v>
          </cell>
          <cell r="L1091">
            <v>34.5</v>
          </cell>
          <cell r="M1091">
            <v>0.57299999999999995</v>
          </cell>
          <cell r="N1091" t="str">
            <v>5W</v>
          </cell>
          <cell r="P1091" t="str">
            <v>PONFCS</v>
          </cell>
          <cell r="Q1091" t="str">
            <v>/  /</v>
          </cell>
        </row>
        <row r="1092">
          <cell r="A1092">
            <v>4574077</v>
          </cell>
          <cell r="B1092">
            <v>44172</v>
          </cell>
          <cell r="C1092" t="str">
            <v>PON</v>
          </cell>
          <cell r="D1092">
            <v>637529085</v>
          </cell>
          <cell r="E1092" t="str">
            <v>K21 Endeavour 7.B Move S 43 Tr</v>
          </cell>
          <cell r="F1092">
            <v>1</v>
          </cell>
          <cell r="G1092">
            <v>0</v>
          </cell>
          <cell r="I1092" t="str">
            <v>IK073</v>
          </cell>
          <cell r="L1092">
            <v>34.5</v>
          </cell>
          <cell r="M1092">
            <v>0.57299999999999995</v>
          </cell>
          <cell r="N1092" t="str">
            <v>5W</v>
          </cell>
          <cell r="P1092" t="str">
            <v>PONFCS</v>
          </cell>
          <cell r="Q1092" t="str">
            <v>/  /</v>
          </cell>
        </row>
        <row r="1093">
          <cell r="A1093">
            <v>4037637</v>
          </cell>
          <cell r="B1093">
            <v>43851</v>
          </cell>
          <cell r="C1093" t="str">
            <v>PON</v>
          </cell>
          <cell r="D1093">
            <v>614508066</v>
          </cell>
          <cell r="E1093" t="str">
            <v>FC F14 FS IZTeam 1.0 60 XXLDi2</v>
          </cell>
          <cell r="F1093">
            <v>1</v>
          </cell>
          <cell r="G1093">
            <v>0</v>
          </cell>
          <cell r="I1093" t="str">
            <v>IK081</v>
          </cell>
          <cell r="L1093">
            <v>3.8</v>
          </cell>
          <cell r="M1093">
            <v>0.16600000000000001</v>
          </cell>
          <cell r="N1093" t="str">
            <v>5W</v>
          </cell>
          <cell r="P1093" t="str">
            <v>PONFCS</v>
          </cell>
          <cell r="Q1093" t="str">
            <v>/  /</v>
          </cell>
        </row>
        <row r="1094">
          <cell r="A1094">
            <v>4080965</v>
          </cell>
          <cell r="B1094">
            <v>43851</v>
          </cell>
          <cell r="C1094" t="str">
            <v>PON</v>
          </cell>
          <cell r="D1094">
            <v>614508066</v>
          </cell>
          <cell r="E1094" t="str">
            <v>FC F14 FS IZTeam 1.0 60 XXLDi2</v>
          </cell>
          <cell r="F1094">
            <v>1</v>
          </cell>
          <cell r="G1094">
            <v>0</v>
          </cell>
          <cell r="I1094" t="str">
            <v>IK081</v>
          </cell>
          <cell r="L1094">
            <v>3.8</v>
          </cell>
          <cell r="M1094">
            <v>0.16600000000000001</v>
          </cell>
          <cell r="N1094" t="str">
            <v>5W</v>
          </cell>
          <cell r="P1094" t="str">
            <v>PONFCS</v>
          </cell>
          <cell r="Q1094" t="str">
            <v>/  /</v>
          </cell>
        </row>
        <row r="1095">
          <cell r="A1095">
            <v>4037645</v>
          </cell>
          <cell r="B1095">
            <v>43851</v>
          </cell>
          <cell r="C1095" t="str">
            <v>PON</v>
          </cell>
          <cell r="D1095">
            <v>614508351</v>
          </cell>
          <cell r="E1095" t="str">
            <v>FC F14 FS Mare CX 2.0 54 MDDi2</v>
          </cell>
          <cell r="F1095">
            <v>1</v>
          </cell>
          <cell r="G1095">
            <v>0</v>
          </cell>
          <cell r="I1095" t="str">
            <v>IK081</v>
          </cell>
          <cell r="L1095">
            <v>7</v>
          </cell>
          <cell r="M1095">
            <v>0.16800000000000001</v>
          </cell>
          <cell r="N1095" t="str">
            <v>5W</v>
          </cell>
          <cell r="P1095" t="str">
            <v>PONFCS</v>
          </cell>
          <cell r="Q1095" t="str">
            <v>/  /</v>
          </cell>
        </row>
        <row r="1096">
          <cell r="A1096">
            <v>4086678</v>
          </cell>
          <cell r="B1096">
            <v>43788</v>
          </cell>
          <cell r="C1096" t="str">
            <v>PON</v>
          </cell>
          <cell r="D1096">
            <v>625508005</v>
          </cell>
          <cell r="E1096" t="str">
            <v>Focus F17 IZ Max F/S 58 XL</v>
          </cell>
          <cell r="F1096">
            <v>1</v>
          </cell>
          <cell r="G1096">
            <v>0</v>
          </cell>
          <cell r="I1096" t="str">
            <v>IK081</v>
          </cell>
          <cell r="L1096">
            <v>6</v>
          </cell>
          <cell r="M1096">
            <v>0.17199999999999999</v>
          </cell>
          <cell r="N1096" t="str">
            <v>5W</v>
          </cell>
          <cell r="P1096" t="str">
            <v>PONFCS</v>
          </cell>
          <cell r="Q1096" t="str">
            <v>/  /</v>
          </cell>
        </row>
        <row r="1097">
          <cell r="A1097">
            <v>4086929</v>
          </cell>
          <cell r="B1097">
            <v>43788</v>
          </cell>
          <cell r="C1097" t="str">
            <v>PON</v>
          </cell>
          <cell r="D1097">
            <v>625508005</v>
          </cell>
          <cell r="E1097" t="str">
            <v>Focus F17 IZ Max F/S 58 XL</v>
          </cell>
          <cell r="F1097">
            <v>1</v>
          </cell>
          <cell r="G1097">
            <v>0</v>
          </cell>
          <cell r="I1097" t="str">
            <v>IK081</v>
          </cell>
          <cell r="L1097">
            <v>6</v>
          </cell>
          <cell r="M1097">
            <v>0.17199999999999999</v>
          </cell>
          <cell r="N1097" t="str">
            <v>5W</v>
          </cell>
          <cell r="P1097" t="str">
            <v>PONFCS</v>
          </cell>
          <cell r="Q1097" t="str">
            <v>/  /</v>
          </cell>
        </row>
        <row r="1098">
          <cell r="A1098">
            <v>4086930</v>
          </cell>
          <cell r="B1098">
            <v>43788</v>
          </cell>
          <cell r="C1098" t="str">
            <v>PON</v>
          </cell>
          <cell r="D1098">
            <v>625508005</v>
          </cell>
          <cell r="E1098" t="str">
            <v>Focus F17 IZ Max F/S 58 XL</v>
          </cell>
          <cell r="F1098">
            <v>1</v>
          </cell>
          <cell r="G1098">
            <v>0</v>
          </cell>
          <cell r="I1098" t="str">
            <v>IK081</v>
          </cell>
          <cell r="L1098">
            <v>6</v>
          </cell>
          <cell r="M1098">
            <v>0.17199999999999999</v>
          </cell>
          <cell r="N1098" t="str">
            <v>5W</v>
          </cell>
          <cell r="P1098" t="str">
            <v>PONFCS</v>
          </cell>
          <cell r="Q1098" t="str">
            <v>/  /</v>
          </cell>
        </row>
        <row r="1099">
          <cell r="A1099">
            <v>4574060</v>
          </cell>
          <cell r="B1099">
            <v>44172</v>
          </cell>
          <cell r="C1099" t="str">
            <v>PON</v>
          </cell>
          <cell r="D1099">
            <v>637527088</v>
          </cell>
          <cell r="E1099" t="str">
            <v>K21 End 500 L 55 Green</v>
          </cell>
          <cell r="F1099">
            <v>1</v>
          </cell>
          <cell r="G1099">
            <v>0</v>
          </cell>
          <cell r="I1099" t="str">
            <v>IK083</v>
          </cell>
          <cell r="L1099">
            <v>32</v>
          </cell>
          <cell r="M1099">
            <v>0.58599999999999997</v>
          </cell>
          <cell r="N1099" t="str">
            <v>5W</v>
          </cell>
          <cell r="P1099" t="str">
            <v>PONFCS</v>
          </cell>
          <cell r="Q1099" t="str">
            <v>/  /</v>
          </cell>
        </row>
        <row r="1100">
          <cell r="A1100">
            <v>4574061</v>
          </cell>
          <cell r="B1100">
            <v>44172</v>
          </cell>
          <cell r="C1100" t="str">
            <v>PON</v>
          </cell>
          <cell r="D1100">
            <v>637527088</v>
          </cell>
          <cell r="E1100" t="str">
            <v>K21 End 500 L 55 Green</v>
          </cell>
          <cell r="F1100">
            <v>1</v>
          </cell>
          <cell r="G1100">
            <v>0</v>
          </cell>
          <cell r="I1100" t="str">
            <v>IK083</v>
          </cell>
          <cell r="L1100">
            <v>32</v>
          </cell>
          <cell r="M1100">
            <v>0.58599999999999997</v>
          </cell>
          <cell r="N1100" t="str">
            <v>5W</v>
          </cell>
          <cell r="P1100" t="str">
            <v>PONFCS</v>
          </cell>
          <cell r="Q1100" t="str">
            <v>/  /</v>
          </cell>
        </row>
        <row r="1101">
          <cell r="A1101">
            <v>4574067</v>
          </cell>
          <cell r="B1101">
            <v>44172</v>
          </cell>
          <cell r="C1101" t="str">
            <v>PON</v>
          </cell>
          <cell r="D1101">
            <v>637529071</v>
          </cell>
          <cell r="E1101" t="str">
            <v>K20 End 7.B Advance 48M DI</v>
          </cell>
          <cell r="F1101">
            <v>1</v>
          </cell>
          <cell r="G1101">
            <v>0</v>
          </cell>
          <cell r="I1101" t="str">
            <v>IK083</v>
          </cell>
          <cell r="L1101">
            <v>35</v>
          </cell>
          <cell r="M1101">
            <v>0.58399999999999996</v>
          </cell>
          <cell r="N1101" t="str">
            <v>5W</v>
          </cell>
          <cell r="P1101" t="str">
            <v>PONFCS</v>
          </cell>
          <cell r="Q1101" t="str">
            <v>/  /</v>
          </cell>
        </row>
        <row r="1102">
          <cell r="A1102">
            <v>4574068</v>
          </cell>
          <cell r="B1102">
            <v>44172</v>
          </cell>
          <cell r="C1102" t="str">
            <v>PON</v>
          </cell>
          <cell r="D1102">
            <v>637529071</v>
          </cell>
          <cell r="E1102" t="str">
            <v>K20 End 7.B Advance 48M DI</v>
          </cell>
          <cell r="F1102">
            <v>1</v>
          </cell>
          <cell r="G1102">
            <v>0</v>
          </cell>
          <cell r="I1102" t="str">
            <v>IK083</v>
          </cell>
          <cell r="L1102">
            <v>35</v>
          </cell>
          <cell r="M1102">
            <v>0.58399999999999996</v>
          </cell>
          <cell r="N1102" t="str">
            <v>5W</v>
          </cell>
          <cell r="P1102" t="str">
            <v>PONFCS</v>
          </cell>
          <cell r="Q1102" t="str">
            <v>/  /</v>
          </cell>
        </row>
        <row r="1103">
          <cell r="A1103">
            <v>4574069</v>
          </cell>
          <cell r="B1103">
            <v>44172</v>
          </cell>
          <cell r="C1103" t="str">
            <v>PON</v>
          </cell>
          <cell r="D1103">
            <v>637529071</v>
          </cell>
          <cell r="E1103" t="str">
            <v>K20 End 7.B Advance 48M DI</v>
          </cell>
          <cell r="F1103">
            <v>1</v>
          </cell>
          <cell r="G1103">
            <v>0</v>
          </cell>
          <cell r="I1103" t="str">
            <v>IK083</v>
          </cell>
          <cell r="L1103">
            <v>35</v>
          </cell>
          <cell r="M1103">
            <v>0.58399999999999996</v>
          </cell>
          <cell r="N1103" t="str">
            <v>5W</v>
          </cell>
          <cell r="P1103" t="str">
            <v>PONFCS</v>
          </cell>
          <cell r="Q1103" t="str">
            <v>/  /</v>
          </cell>
        </row>
        <row r="1104">
          <cell r="A1104">
            <v>4086246</v>
          </cell>
          <cell r="B1104">
            <v>43852</v>
          </cell>
          <cell r="C1104" t="str">
            <v>PON</v>
          </cell>
          <cell r="D1104">
            <v>633728536</v>
          </cell>
          <cell r="E1104" t="str">
            <v>FC EBF19 P/Sqre9.6 54MBlkAnth</v>
          </cell>
          <cell r="F1104">
            <v>1</v>
          </cell>
          <cell r="G1104">
            <v>0</v>
          </cell>
          <cell r="I1104" t="str">
            <v>IK084</v>
          </cell>
          <cell r="L1104">
            <v>24.1</v>
          </cell>
          <cell r="M1104">
            <v>0.53200000000000003</v>
          </cell>
          <cell r="N1104" t="str">
            <v>5W</v>
          </cell>
          <cell r="P1104" t="str">
            <v>PONFEB</v>
          </cell>
          <cell r="Q1104" t="str">
            <v>/  /</v>
          </cell>
        </row>
        <row r="1105">
          <cell r="A1105">
            <v>4087689</v>
          </cell>
          <cell r="B1105">
            <v>43852</v>
          </cell>
          <cell r="C1105" t="str">
            <v>PON</v>
          </cell>
          <cell r="D1105">
            <v>633728536</v>
          </cell>
          <cell r="E1105" t="str">
            <v>FC EBF19 P/Sqre9.6 54MBlkAnth</v>
          </cell>
          <cell r="F1105">
            <v>1</v>
          </cell>
          <cell r="G1105">
            <v>0</v>
          </cell>
          <cell r="I1105" t="str">
            <v>IK084</v>
          </cell>
          <cell r="L1105">
            <v>24.1</v>
          </cell>
          <cell r="M1105">
            <v>0.53200000000000003</v>
          </cell>
          <cell r="N1105" t="str">
            <v>5W</v>
          </cell>
          <cell r="P1105" t="str">
            <v>PONFEB</v>
          </cell>
          <cell r="Q1105" t="str">
            <v>/  /</v>
          </cell>
        </row>
        <row r="1106">
          <cell r="A1106">
            <v>4089488</v>
          </cell>
          <cell r="B1106">
            <v>43852</v>
          </cell>
          <cell r="C1106" t="str">
            <v>PON</v>
          </cell>
          <cell r="D1106">
            <v>633728536</v>
          </cell>
          <cell r="E1106" t="str">
            <v>FC EBF19 P/Sqre9.6 54MBlkAnth</v>
          </cell>
          <cell r="F1106">
            <v>1</v>
          </cell>
          <cell r="G1106">
            <v>0</v>
          </cell>
          <cell r="I1106" t="str">
            <v>IK084</v>
          </cell>
          <cell r="L1106">
            <v>24.1</v>
          </cell>
          <cell r="M1106">
            <v>0.53200000000000003</v>
          </cell>
          <cell r="N1106" t="str">
            <v>5W</v>
          </cell>
          <cell r="P1106" t="str">
            <v>PONFEB</v>
          </cell>
          <cell r="Q1106" t="str">
            <v>/  /</v>
          </cell>
        </row>
        <row r="1107">
          <cell r="A1107">
            <v>4167046</v>
          </cell>
          <cell r="B1107">
            <v>43913</v>
          </cell>
          <cell r="C1107" t="str">
            <v>PON</v>
          </cell>
          <cell r="D1107">
            <v>637618562</v>
          </cell>
          <cell r="E1107" t="str">
            <v>F20 Paralane Sqr 9.6 GC L</v>
          </cell>
          <cell r="F1107">
            <v>1</v>
          </cell>
          <cell r="G1107">
            <v>0</v>
          </cell>
          <cell r="I1107" t="str">
            <v>IK084</v>
          </cell>
          <cell r="L1107">
            <v>23.7</v>
          </cell>
          <cell r="M1107">
            <v>0.60299999999999998</v>
          </cell>
          <cell r="N1107" t="str">
            <v>5W</v>
          </cell>
          <cell r="P1107" t="str">
            <v>PONFCS</v>
          </cell>
          <cell r="Q1107" t="str">
            <v>/  /</v>
          </cell>
        </row>
        <row r="1108">
          <cell r="A1108">
            <v>3882517</v>
          </cell>
          <cell r="B1108">
            <v>43742</v>
          </cell>
          <cell r="C1108" t="str">
            <v>PON</v>
          </cell>
          <cell r="D1108" t="str">
            <v>F14FSRAVEN5LG</v>
          </cell>
          <cell r="E1108" t="str">
            <v>Focus F14 F/S Raven 29R 5.0 LG</v>
          </cell>
          <cell r="F1108">
            <v>1</v>
          </cell>
          <cell r="G1108">
            <v>0</v>
          </cell>
          <cell r="I1108" t="str">
            <v>IK091</v>
          </cell>
          <cell r="L1108">
            <v>3</v>
          </cell>
          <cell r="M1108">
            <v>0.11899999999999999</v>
          </cell>
          <cell r="N1108" t="str">
            <v>5W</v>
          </cell>
          <cell r="P1108" t="str">
            <v>PONFCS</v>
          </cell>
          <cell r="Q1108" t="str">
            <v>/  /</v>
          </cell>
        </row>
        <row r="1109">
          <cell r="A1109">
            <v>3882529</v>
          </cell>
          <cell r="B1109">
            <v>43742</v>
          </cell>
          <cell r="C1109" t="str">
            <v>PON</v>
          </cell>
          <cell r="D1109" t="str">
            <v>FS612016770</v>
          </cell>
          <cell r="E1109" t="str">
            <v>Focus F12 Planet TR2 SM 42 FS</v>
          </cell>
          <cell r="F1109">
            <v>1</v>
          </cell>
          <cell r="G1109">
            <v>0</v>
          </cell>
          <cell r="I1109" t="str">
            <v>IK091</v>
          </cell>
          <cell r="L1109">
            <v>4</v>
          </cell>
          <cell r="M1109">
            <v>0.114</v>
          </cell>
          <cell r="N1109" t="str">
            <v>5W</v>
          </cell>
          <cell r="P1109" t="str">
            <v>PONFCS</v>
          </cell>
          <cell r="Q1109" t="str">
            <v>/  /</v>
          </cell>
        </row>
        <row r="1110">
          <cell r="A1110">
            <v>3882519</v>
          </cell>
          <cell r="B1110">
            <v>43742</v>
          </cell>
          <cell r="C1110" t="str">
            <v>PON</v>
          </cell>
          <cell r="D1110" t="str">
            <v>FS613008431</v>
          </cell>
          <cell r="E1110" t="str">
            <v>F13 Mares CX 1.0 F/S 54cm</v>
          </cell>
          <cell r="F1110">
            <v>1</v>
          </cell>
          <cell r="G1110">
            <v>0</v>
          </cell>
          <cell r="I1110" t="str">
            <v>IK091</v>
          </cell>
          <cell r="L1110">
            <v>4</v>
          </cell>
          <cell r="M1110">
            <v>0.113</v>
          </cell>
          <cell r="N1110" t="str">
            <v>5W</v>
          </cell>
          <cell r="P1110" t="str">
            <v>PONFCS</v>
          </cell>
          <cell r="Q1110" t="str">
            <v>/  /</v>
          </cell>
        </row>
        <row r="1111">
          <cell r="A1111">
            <v>3882521</v>
          </cell>
          <cell r="B1111">
            <v>43742</v>
          </cell>
          <cell r="C1111" t="str">
            <v>PON</v>
          </cell>
          <cell r="D1111" t="str">
            <v>FS613008473</v>
          </cell>
          <cell r="E1111" t="str">
            <v>Focus F13 F/S Mares CX 4.0 58</v>
          </cell>
          <cell r="F1111">
            <v>1</v>
          </cell>
          <cell r="G1111">
            <v>0</v>
          </cell>
          <cell r="I1111" t="str">
            <v>IK091</v>
          </cell>
          <cell r="L1111">
            <v>5</v>
          </cell>
          <cell r="M1111">
            <v>0.11899999999999999</v>
          </cell>
          <cell r="N1111" t="str">
            <v>5W</v>
          </cell>
          <cell r="P1111" t="str">
            <v>PONFCS</v>
          </cell>
          <cell r="Q1111" t="str">
            <v>/  /</v>
          </cell>
        </row>
        <row r="1112">
          <cell r="A1112">
            <v>3882523</v>
          </cell>
          <cell r="B1112">
            <v>43742</v>
          </cell>
          <cell r="C1112" t="str">
            <v>PON</v>
          </cell>
          <cell r="D1112" t="str">
            <v>FS620008041</v>
          </cell>
          <cell r="E1112" t="str">
            <v>Focus F15 F/S IZ Max 3.0 50</v>
          </cell>
          <cell r="F1112">
            <v>1</v>
          </cell>
          <cell r="G1112">
            <v>0</v>
          </cell>
          <cell r="I1112" t="str">
            <v>IK091</v>
          </cell>
          <cell r="L1112">
            <v>3</v>
          </cell>
          <cell r="M1112">
            <v>0.11700000000000001</v>
          </cell>
          <cell r="N1112" t="str">
            <v>5W</v>
          </cell>
          <cell r="P1112" t="str">
            <v>PONFCS</v>
          </cell>
          <cell r="Q1112" t="str">
            <v>/  /</v>
          </cell>
        </row>
        <row r="1113">
          <cell r="A1113">
            <v>3979147</v>
          </cell>
          <cell r="B1113">
            <v>43804</v>
          </cell>
          <cell r="C1113" t="str">
            <v>PON</v>
          </cell>
          <cell r="D1113" t="str">
            <v>FS620008042</v>
          </cell>
          <cell r="E1113" t="str">
            <v>Focus F15 F/S IZ Max 3.0 52</v>
          </cell>
          <cell r="F1113">
            <v>1</v>
          </cell>
          <cell r="G1113">
            <v>0</v>
          </cell>
          <cell r="I1113" t="str">
            <v>IK091</v>
          </cell>
          <cell r="L1113">
            <v>2.9</v>
          </cell>
          <cell r="M1113">
            <v>0.124</v>
          </cell>
          <cell r="N1113" t="str">
            <v>5W</v>
          </cell>
          <cell r="P1113" t="str">
            <v>PONFCS</v>
          </cell>
          <cell r="Q1113" t="str">
            <v>/  /</v>
          </cell>
        </row>
        <row r="1114">
          <cell r="A1114">
            <v>3901046</v>
          </cell>
          <cell r="B1114">
            <v>43759</v>
          </cell>
          <cell r="C1114" t="str">
            <v>PON</v>
          </cell>
          <cell r="D1114">
            <v>620508060</v>
          </cell>
          <cell r="E1114" t="str">
            <v>FC F15 F/S Cayo 3.0 Disc 48 XS</v>
          </cell>
          <cell r="F1114">
            <v>1</v>
          </cell>
          <cell r="G1114">
            <v>0</v>
          </cell>
          <cell r="I1114" t="str">
            <v>IK092</v>
          </cell>
          <cell r="L1114">
            <v>6.1</v>
          </cell>
          <cell r="M1114">
            <v>0.16200000000000001</v>
          </cell>
          <cell r="N1114" t="str">
            <v>5W</v>
          </cell>
          <cell r="P1114" t="str">
            <v>PONFCS</v>
          </cell>
          <cell r="Q1114" t="str">
            <v>/  /</v>
          </cell>
        </row>
        <row r="1115">
          <cell r="A1115">
            <v>4080997</v>
          </cell>
          <cell r="B1115">
            <v>43759</v>
          </cell>
          <cell r="C1115" t="str">
            <v>PON</v>
          </cell>
          <cell r="D1115">
            <v>620508060</v>
          </cell>
          <cell r="E1115" t="str">
            <v>FC F15 F/S Cayo 3.0 Disc 48 XS</v>
          </cell>
          <cell r="F1115">
            <v>1</v>
          </cell>
          <cell r="G1115">
            <v>0</v>
          </cell>
          <cell r="I1115" t="str">
            <v>IK092</v>
          </cell>
          <cell r="L1115">
            <v>6.1</v>
          </cell>
          <cell r="M1115">
            <v>0.16200000000000001</v>
          </cell>
          <cell r="N1115" t="str">
            <v>5W</v>
          </cell>
          <cell r="P1115" t="str">
            <v>PONFCS</v>
          </cell>
          <cell r="Q1115" t="str">
            <v>/  /</v>
          </cell>
        </row>
        <row r="1116">
          <cell r="A1116">
            <v>3901049</v>
          </cell>
          <cell r="B1116">
            <v>43759</v>
          </cell>
          <cell r="C1116" t="str">
            <v>PON</v>
          </cell>
          <cell r="D1116">
            <v>620508061</v>
          </cell>
          <cell r="E1116" t="str">
            <v>FC F15 F/S Cayo 3.0 Disc 51 SM</v>
          </cell>
          <cell r="F1116">
            <v>1</v>
          </cell>
          <cell r="G1116">
            <v>0</v>
          </cell>
          <cell r="I1116" t="str">
            <v>IK092</v>
          </cell>
          <cell r="L1116">
            <v>5.7</v>
          </cell>
          <cell r="M1116">
            <v>0.17299999999999999</v>
          </cell>
          <cell r="N1116" t="str">
            <v>5W</v>
          </cell>
          <cell r="P1116" t="str">
            <v>PONFCS</v>
          </cell>
          <cell r="Q1116" t="str">
            <v>/  /</v>
          </cell>
        </row>
        <row r="1117">
          <cell r="A1117">
            <v>3918700</v>
          </cell>
          <cell r="B1117">
            <v>43770</v>
          </cell>
          <cell r="C1117" t="str">
            <v>PON</v>
          </cell>
          <cell r="D1117">
            <v>628508411</v>
          </cell>
          <cell r="E1117" t="str">
            <v>FC F18 Mares Force 1 F/S 51S</v>
          </cell>
          <cell r="F1117">
            <v>1</v>
          </cell>
          <cell r="G1117">
            <v>0</v>
          </cell>
          <cell r="I1117" t="str">
            <v>IK092</v>
          </cell>
          <cell r="L1117">
            <v>6.2</v>
          </cell>
          <cell r="M1117">
            <v>0.14399999999999999</v>
          </cell>
          <cell r="N1117" t="str">
            <v>5W</v>
          </cell>
          <cell r="P1117" t="str">
            <v>PONFCS</v>
          </cell>
          <cell r="Q1117" t="str">
            <v>/  /</v>
          </cell>
        </row>
        <row r="1118">
          <cell r="A1118">
            <v>4574018</v>
          </cell>
          <cell r="B1118">
            <v>44172</v>
          </cell>
          <cell r="C1118" t="str">
            <v>PON</v>
          </cell>
          <cell r="D1118">
            <v>637526055</v>
          </cell>
          <cell r="E1118" t="str">
            <v>K21 Endeavour 1.B Move 400 M50</v>
          </cell>
          <cell r="F1118">
            <v>1</v>
          </cell>
          <cell r="G1118">
            <v>0</v>
          </cell>
          <cell r="I1118" t="str">
            <v>IK093</v>
          </cell>
          <cell r="L1118">
            <v>32</v>
          </cell>
          <cell r="M1118">
            <v>0.57299999999999995</v>
          </cell>
          <cell r="N1118" t="str">
            <v>5W</v>
          </cell>
          <cell r="P1118" t="str">
            <v>PONFCS</v>
          </cell>
          <cell r="Q1118" t="str">
            <v>/  /</v>
          </cell>
        </row>
        <row r="1119">
          <cell r="A1119">
            <v>4574019</v>
          </cell>
          <cell r="B1119">
            <v>44172</v>
          </cell>
          <cell r="C1119" t="str">
            <v>PON</v>
          </cell>
          <cell r="D1119">
            <v>637526055</v>
          </cell>
          <cell r="E1119" t="str">
            <v>K21 Endeavour 1.B Move 400 M50</v>
          </cell>
          <cell r="F1119">
            <v>1</v>
          </cell>
          <cell r="G1119">
            <v>0</v>
          </cell>
          <cell r="I1119" t="str">
            <v>IK093</v>
          </cell>
          <cell r="L1119">
            <v>32</v>
          </cell>
          <cell r="M1119">
            <v>0.57299999999999995</v>
          </cell>
          <cell r="N1119" t="str">
            <v>5W</v>
          </cell>
          <cell r="P1119" t="str">
            <v>PONFCS</v>
          </cell>
          <cell r="Q1119" t="str">
            <v>/  /</v>
          </cell>
        </row>
        <row r="1120">
          <cell r="A1120">
            <v>4574066</v>
          </cell>
          <cell r="B1120">
            <v>44172</v>
          </cell>
          <cell r="C1120" t="str">
            <v>PON</v>
          </cell>
          <cell r="D1120">
            <v>637529071</v>
          </cell>
          <cell r="E1120" t="str">
            <v>K20 End 7.B Advance 48M DI</v>
          </cell>
          <cell r="F1120">
            <v>1</v>
          </cell>
          <cell r="G1120">
            <v>0</v>
          </cell>
          <cell r="I1120" t="str">
            <v>IK093</v>
          </cell>
          <cell r="L1120">
            <v>35</v>
          </cell>
          <cell r="M1120">
            <v>0.58399999999999996</v>
          </cell>
          <cell r="N1120" t="str">
            <v>5W</v>
          </cell>
          <cell r="P1120" t="str">
            <v>PONFCS</v>
          </cell>
          <cell r="Q1120" t="str">
            <v>/  /</v>
          </cell>
        </row>
        <row r="1121">
          <cell r="A1121">
            <v>4574102</v>
          </cell>
          <cell r="B1121">
            <v>44172</v>
          </cell>
          <cell r="C1121" t="str">
            <v>PON</v>
          </cell>
          <cell r="D1121">
            <v>641528135</v>
          </cell>
          <cell r="E1121" t="str">
            <v>K21 Endeavour 5.B Season S 43</v>
          </cell>
          <cell r="F1121">
            <v>1</v>
          </cell>
          <cell r="G1121">
            <v>0</v>
          </cell>
          <cell r="I1121" t="str">
            <v>IK093</v>
          </cell>
          <cell r="L1121">
            <v>34.5</v>
          </cell>
          <cell r="M1121">
            <v>0.57299999999999995</v>
          </cell>
          <cell r="N1121" t="str">
            <v>5W</v>
          </cell>
          <cell r="P1121" t="str">
            <v>PONFCS</v>
          </cell>
          <cell r="Q1121" t="str">
            <v>/  /</v>
          </cell>
        </row>
        <row r="1122">
          <cell r="A1122">
            <v>4574103</v>
          </cell>
          <cell r="B1122">
            <v>44172</v>
          </cell>
          <cell r="C1122" t="str">
            <v>PON</v>
          </cell>
          <cell r="D1122">
            <v>641528135</v>
          </cell>
          <cell r="E1122" t="str">
            <v>K21 Endeavour 5.B Season S 43</v>
          </cell>
          <cell r="F1122">
            <v>1</v>
          </cell>
          <cell r="G1122">
            <v>0</v>
          </cell>
          <cell r="I1122" t="str">
            <v>IK093</v>
          </cell>
          <cell r="L1122">
            <v>34.5</v>
          </cell>
          <cell r="M1122">
            <v>0.57299999999999995</v>
          </cell>
          <cell r="N1122" t="str">
            <v>5W</v>
          </cell>
          <cell r="P1122" t="str">
            <v>PONFCS</v>
          </cell>
          <cell r="Q1122" t="str">
            <v>/  /</v>
          </cell>
        </row>
        <row r="1123">
          <cell r="A1123">
            <v>3970595</v>
          </cell>
          <cell r="B1123">
            <v>43801</v>
          </cell>
          <cell r="C1123" t="str">
            <v>PON</v>
          </cell>
          <cell r="D1123">
            <v>633718324</v>
          </cell>
          <cell r="E1123" t="str">
            <v>FC E BikeF19Planet2 6.8TR48MRd</v>
          </cell>
          <cell r="F1123">
            <v>1</v>
          </cell>
          <cell r="G1123">
            <v>0</v>
          </cell>
          <cell r="I1123" t="str">
            <v>IK094</v>
          </cell>
          <cell r="L1123">
            <v>33</v>
          </cell>
          <cell r="M1123">
            <v>0.57299999999999995</v>
          </cell>
          <cell r="N1123" t="str">
            <v>5W</v>
          </cell>
          <cell r="P1123" t="str">
            <v>PONFEB</v>
          </cell>
          <cell r="Q1123" t="str">
            <v>/  /</v>
          </cell>
        </row>
        <row r="1124">
          <cell r="A1124">
            <v>4040323</v>
          </cell>
          <cell r="B1124">
            <v>43852</v>
          </cell>
          <cell r="C1124" t="str">
            <v>PON</v>
          </cell>
          <cell r="D1124">
            <v>633728537</v>
          </cell>
          <cell r="E1124" t="str">
            <v>FC EBF19 P/Sqre9.6 57LBlkAnth</v>
          </cell>
          <cell r="F1124">
            <v>1</v>
          </cell>
          <cell r="G1124">
            <v>0</v>
          </cell>
          <cell r="I1124" t="str">
            <v>IK094</v>
          </cell>
          <cell r="L1124">
            <v>23.8</v>
          </cell>
          <cell r="M1124">
            <v>0.57799999999999996</v>
          </cell>
          <cell r="N1124" t="str">
            <v>5W</v>
          </cell>
          <cell r="P1124" t="str">
            <v>PONFEB</v>
          </cell>
          <cell r="Q1124" t="str">
            <v>/  /</v>
          </cell>
        </row>
        <row r="1125">
          <cell r="A1125">
            <v>4088124</v>
          </cell>
          <cell r="B1125">
            <v>43852</v>
          </cell>
          <cell r="C1125" t="str">
            <v>PON</v>
          </cell>
          <cell r="D1125">
            <v>633728537</v>
          </cell>
          <cell r="E1125" t="str">
            <v>FC EBF19 P/Sqre9.6 57LBlkAnth</v>
          </cell>
          <cell r="F1125">
            <v>1</v>
          </cell>
          <cell r="G1125">
            <v>0</v>
          </cell>
          <cell r="I1125" t="str">
            <v>IK094</v>
          </cell>
          <cell r="L1125">
            <v>23.8</v>
          </cell>
          <cell r="M1125">
            <v>0.57799999999999996</v>
          </cell>
          <cell r="N1125" t="str">
            <v>5W</v>
          </cell>
          <cell r="P1125" t="str">
            <v>PONFEB</v>
          </cell>
          <cell r="Q1125" t="str">
            <v>/  /</v>
          </cell>
        </row>
        <row r="1126">
          <cell r="A1126">
            <v>4036406</v>
          </cell>
          <cell r="B1126">
            <v>43851</v>
          </cell>
          <cell r="C1126" t="str">
            <v>PON</v>
          </cell>
          <cell r="D1126">
            <v>614508153</v>
          </cell>
          <cell r="E1126" t="str">
            <v>FC F14 F/S Raven 1.0 29R LG 54</v>
          </cell>
          <cell r="F1126">
            <v>1</v>
          </cell>
          <cell r="G1126">
            <v>0</v>
          </cell>
          <cell r="I1126" t="str">
            <v>IK101</v>
          </cell>
          <cell r="L1126">
            <v>4.4000000000000004</v>
          </cell>
          <cell r="M1126">
            <v>0.14199999999999999</v>
          </cell>
          <cell r="N1126" t="str">
            <v>5W</v>
          </cell>
          <cell r="P1126" t="str">
            <v>PONFCS</v>
          </cell>
          <cell r="Q1126" t="str">
            <v>/  /</v>
          </cell>
        </row>
        <row r="1127">
          <cell r="A1127">
            <v>4080970</v>
          </cell>
          <cell r="B1127">
            <v>43851</v>
          </cell>
          <cell r="C1127" t="str">
            <v>PON</v>
          </cell>
          <cell r="D1127">
            <v>614508153</v>
          </cell>
          <cell r="E1127" t="str">
            <v>FC F14 F/S Raven 1.0 29R LG 54</v>
          </cell>
          <cell r="F1127">
            <v>1</v>
          </cell>
          <cell r="G1127">
            <v>0</v>
          </cell>
          <cell r="I1127" t="str">
            <v>IK101</v>
          </cell>
          <cell r="L1127">
            <v>4.4000000000000004</v>
          </cell>
          <cell r="M1127">
            <v>0.14199999999999999</v>
          </cell>
          <cell r="N1127" t="str">
            <v>5W</v>
          </cell>
          <cell r="P1127" t="str">
            <v>PONFCS</v>
          </cell>
          <cell r="Q1127" t="str">
            <v>/  /</v>
          </cell>
        </row>
        <row r="1128">
          <cell r="A1128">
            <v>3882515</v>
          </cell>
          <cell r="B1128">
            <v>43742</v>
          </cell>
          <cell r="C1128" t="str">
            <v>PON</v>
          </cell>
          <cell r="D1128" t="str">
            <v>F13CAYOEVO3XL</v>
          </cell>
          <cell r="E1128" t="str">
            <v>F13 F/S Cayo EVO 3.0 XL</v>
          </cell>
          <cell r="F1128">
            <v>1</v>
          </cell>
          <cell r="G1128">
            <v>0</v>
          </cell>
          <cell r="I1128" t="str">
            <v>IK101</v>
          </cell>
          <cell r="L1128">
            <v>4</v>
          </cell>
          <cell r="M1128">
            <v>0.112</v>
          </cell>
          <cell r="N1128" t="str">
            <v>5W</v>
          </cell>
          <cell r="P1128" t="str">
            <v>PONFCS</v>
          </cell>
          <cell r="Q1128" t="str">
            <v>/  /</v>
          </cell>
        </row>
        <row r="1129">
          <cell r="A1129">
            <v>3895726</v>
          </cell>
          <cell r="B1129">
            <v>43752</v>
          </cell>
          <cell r="C1129" t="str">
            <v>PON</v>
          </cell>
          <cell r="D1129" t="str">
            <v>FS612014463</v>
          </cell>
          <cell r="E1129" t="str">
            <v>F12 Cayo Evo 2.0 FS 57</v>
          </cell>
          <cell r="F1129">
            <v>1</v>
          </cell>
          <cell r="G1129">
            <v>0</v>
          </cell>
          <cell r="I1129" t="str">
            <v>IK101</v>
          </cell>
          <cell r="L1129">
            <v>3.4</v>
          </cell>
          <cell r="M1129">
            <v>0.122</v>
          </cell>
          <cell r="N1129" t="str">
            <v>5W</v>
          </cell>
          <cell r="P1129" t="str">
            <v>PONFCS</v>
          </cell>
          <cell r="Q1129" t="str">
            <v>/  /</v>
          </cell>
        </row>
        <row r="1130">
          <cell r="A1130">
            <v>3882531</v>
          </cell>
          <cell r="B1130">
            <v>43742</v>
          </cell>
          <cell r="C1130" t="str">
            <v>PON</v>
          </cell>
          <cell r="D1130" t="str">
            <v>FS614014311</v>
          </cell>
          <cell r="E1130" t="str">
            <v>Focus F15 FS Chrono 1.0 MD</v>
          </cell>
          <cell r="F1130">
            <v>1</v>
          </cell>
          <cell r="G1130">
            <v>0</v>
          </cell>
          <cell r="I1130" t="str">
            <v>IK101</v>
          </cell>
          <cell r="L1130">
            <v>4</v>
          </cell>
          <cell r="M1130">
            <v>0.122</v>
          </cell>
          <cell r="N1130" t="str">
            <v>5W</v>
          </cell>
          <cell r="P1130" t="str">
            <v>PONFCS</v>
          </cell>
          <cell r="Q1130" t="str">
            <v>/  /</v>
          </cell>
        </row>
        <row r="1131">
          <cell r="A1131">
            <v>4086050</v>
          </cell>
          <cell r="B1131">
            <v>43770</v>
          </cell>
          <cell r="C1131" t="str">
            <v>PON</v>
          </cell>
          <cell r="D1131">
            <v>628508303</v>
          </cell>
          <cell r="E1131" t="str">
            <v>Focus F18 IZ Max DI2 F/S 54M</v>
          </cell>
          <cell r="F1131">
            <v>1</v>
          </cell>
          <cell r="G1131">
            <v>0</v>
          </cell>
          <cell r="I1131" t="str">
            <v>IK102</v>
          </cell>
          <cell r="L1131">
            <v>5.7</v>
          </cell>
          <cell r="M1131">
            <v>0.16800000000000001</v>
          </cell>
          <cell r="N1131" t="str">
            <v>5W</v>
          </cell>
          <cell r="P1131" t="str">
            <v>PONFCS</v>
          </cell>
          <cell r="Q1131" t="str">
            <v>/  /</v>
          </cell>
        </row>
        <row r="1132">
          <cell r="A1132">
            <v>4087390</v>
          </cell>
          <cell r="B1132">
            <v>43770</v>
          </cell>
          <cell r="C1132" t="str">
            <v>PON</v>
          </cell>
          <cell r="D1132">
            <v>628508303</v>
          </cell>
          <cell r="E1132" t="str">
            <v>Focus F18 IZ Max DI2 F/S 54M</v>
          </cell>
          <cell r="F1132">
            <v>1</v>
          </cell>
          <cell r="G1132">
            <v>0</v>
          </cell>
          <cell r="I1132" t="str">
            <v>IK102</v>
          </cell>
          <cell r="L1132">
            <v>5.7</v>
          </cell>
          <cell r="M1132">
            <v>0.16800000000000001</v>
          </cell>
          <cell r="N1132" t="str">
            <v>5W</v>
          </cell>
          <cell r="P1132" t="str">
            <v>PONFCS</v>
          </cell>
          <cell r="Q1132" t="str">
            <v>/  /</v>
          </cell>
        </row>
        <row r="1133">
          <cell r="A1133">
            <v>4088695</v>
          </cell>
          <cell r="B1133">
            <v>43770</v>
          </cell>
          <cell r="C1133" t="str">
            <v>PON</v>
          </cell>
          <cell r="D1133">
            <v>628508303</v>
          </cell>
          <cell r="E1133" t="str">
            <v>Focus F18 IZ Max DI2 F/S 54M</v>
          </cell>
          <cell r="F1133">
            <v>1</v>
          </cell>
          <cell r="G1133">
            <v>0</v>
          </cell>
          <cell r="I1133" t="str">
            <v>IK102</v>
          </cell>
          <cell r="L1133">
            <v>5.7</v>
          </cell>
          <cell r="M1133">
            <v>0.16800000000000001</v>
          </cell>
          <cell r="N1133" t="str">
            <v>5W</v>
          </cell>
          <cell r="P1133" t="str">
            <v>PONFCS</v>
          </cell>
          <cell r="Q1133" t="str">
            <v>/  /</v>
          </cell>
        </row>
        <row r="1134">
          <cell r="A1134">
            <v>4574000</v>
          </cell>
          <cell r="B1134">
            <v>44172</v>
          </cell>
          <cell r="C1134" t="str">
            <v>PON</v>
          </cell>
          <cell r="D1134">
            <v>637518116</v>
          </cell>
          <cell r="E1134" t="str">
            <v>F20 JAM2 6.8 NINE 42M BLUE BCH</v>
          </cell>
          <cell r="F1134">
            <v>1</v>
          </cell>
          <cell r="G1134">
            <v>0</v>
          </cell>
          <cell r="I1134" t="str">
            <v>IK103</v>
          </cell>
          <cell r="L1134">
            <v>32.700000000000003</v>
          </cell>
          <cell r="M1134">
            <v>0.57799999999999996</v>
          </cell>
          <cell r="N1134" t="str">
            <v>5W</v>
          </cell>
          <cell r="P1134" t="str">
            <v>PONFCS</v>
          </cell>
          <cell r="Q1134" t="str">
            <v>/  /</v>
          </cell>
        </row>
        <row r="1135">
          <cell r="A1135">
            <v>3980638</v>
          </cell>
          <cell r="B1135">
            <v>43804</v>
          </cell>
          <cell r="C1135" t="str">
            <v>PON</v>
          </cell>
          <cell r="D1135" t="str">
            <v>A5802</v>
          </cell>
          <cell r="E1135" t="str">
            <v>GZ G19 Chamonix T10 HMB 61 Men</v>
          </cell>
          <cell r="F1135">
            <v>1</v>
          </cell>
          <cell r="G1135">
            <v>0</v>
          </cell>
          <cell r="I1135" t="str">
            <v>IK103</v>
          </cell>
          <cell r="L1135">
            <v>29</v>
          </cell>
          <cell r="M1135">
            <v>0.622</v>
          </cell>
          <cell r="N1135" t="str">
            <v>5W</v>
          </cell>
          <cell r="P1135" t="str">
            <v>PONGAZ</v>
          </cell>
          <cell r="Q1135" t="str">
            <v>/  /</v>
          </cell>
        </row>
        <row r="1136">
          <cell r="A1136">
            <v>4088485</v>
          </cell>
          <cell r="B1136">
            <v>43804</v>
          </cell>
          <cell r="C1136" t="str">
            <v>PON</v>
          </cell>
          <cell r="D1136" t="str">
            <v>A5802</v>
          </cell>
          <cell r="E1136" t="str">
            <v>GZ G19 Chamonix T10 HMB 61 Men</v>
          </cell>
          <cell r="F1136">
            <v>1</v>
          </cell>
          <cell r="G1136">
            <v>0</v>
          </cell>
          <cell r="I1136" t="str">
            <v>IK103</v>
          </cell>
          <cell r="L1136">
            <v>29</v>
          </cell>
          <cell r="M1136">
            <v>0.622</v>
          </cell>
          <cell r="N1136" t="str">
            <v>5W</v>
          </cell>
          <cell r="P1136" t="str">
            <v>PONGAZ</v>
          </cell>
          <cell r="Q1136" t="str">
            <v>/  /</v>
          </cell>
        </row>
        <row r="1137">
          <cell r="A1137">
            <v>4575048</v>
          </cell>
          <cell r="B1137">
            <v>44173</v>
          </cell>
          <cell r="C1137" t="str">
            <v>PON</v>
          </cell>
          <cell r="D1137">
            <v>637518141</v>
          </cell>
          <cell r="E1137" t="str">
            <v>F20 Jam2 6.7 Nine 42M Black</v>
          </cell>
          <cell r="F1137">
            <v>1</v>
          </cell>
          <cell r="G1137">
            <v>0</v>
          </cell>
          <cell r="I1137" t="str">
            <v>IK104</v>
          </cell>
          <cell r="L1137">
            <v>32.799999999999997</v>
          </cell>
          <cell r="M1137">
            <v>0.58099999999999996</v>
          </cell>
          <cell r="N1137" t="str">
            <v>5W</v>
          </cell>
          <cell r="P1137" t="str">
            <v>PONFCS</v>
          </cell>
          <cell r="Q1137" t="str">
            <v>/  /</v>
          </cell>
        </row>
        <row r="1138">
          <cell r="A1138">
            <v>4575049</v>
          </cell>
          <cell r="B1138">
            <v>44173</v>
          </cell>
          <cell r="C1138" t="str">
            <v>PON</v>
          </cell>
          <cell r="D1138">
            <v>637518141</v>
          </cell>
          <cell r="E1138" t="str">
            <v>F20 Jam2 6.7 Nine 42M Black</v>
          </cell>
          <cell r="F1138">
            <v>1</v>
          </cell>
          <cell r="G1138">
            <v>0</v>
          </cell>
          <cell r="I1138" t="str">
            <v>IK104</v>
          </cell>
          <cell r="L1138">
            <v>32.799999999999997</v>
          </cell>
          <cell r="M1138">
            <v>0.58099999999999996</v>
          </cell>
          <cell r="N1138" t="str">
            <v>5W</v>
          </cell>
          <cell r="P1138" t="str">
            <v>PONFCS</v>
          </cell>
          <cell r="Q1138" t="str">
            <v>/  /</v>
          </cell>
        </row>
        <row r="1139">
          <cell r="A1139">
            <v>4575050</v>
          </cell>
          <cell r="B1139">
            <v>44173</v>
          </cell>
          <cell r="C1139" t="str">
            <v>PON</v>
          </cell>
          <cell r="D1139">
            <v>637518141</v>
          </cell>
          <cell r="E1139" t="str">
            <v>F20 Jam2 6.7 Nine 42M Black</v>
          </cell>
          <cell r="F1139">
            <v>1</v>
          </cell>
          <cell r="G1139">
            <v>0</v>
          </cell>
          <cell r="I1139" t="str">
            <v>IK104</v>
          </cell>
          <cell r="L1139">
            <v>32.799999999999997</v>
          </cell>
          <cell r="M1139">
            <v>0.58099999999999996</v>
          </cell>
          <cell r="N1139" t="str">
            <v>5W</v>
          </cell>
          <cell r="P1139" t="str">
            <v>PONFCS</v>
          </cell>
          <cell r="Q1139" t="str">
            <v>/  /</v>
          </cell>
        </row>
        <row r="1140">
          <cell r="A1140">
            <v>3899394</v>
          </cell>
          <cell r="B1140">
            <v>43752</v>
          </cell>
          <cell r="C1140" t="str">
            <v>PON</v>
          </cell>
          <cell r="D1140" t="str">
            <v>F13FSRAVEN4MD</v>
          </cell>
          <cell r="E1140" t="str">
            <v>F13 F/S RAVEN 4.0 MD</v>
          </cell>
          <cell r="F1140">
            <v>1</v>
          </cell>
          <cell r="G1140">
            <v>0</v>
          </cell>
          <cell r="I1140" t="str">
            <v>IK111</v>
          </cell>
          <cell r="L1140">
            <v>4</v>
          </cell>
          <cell r="M1140">
            <v>0.13200000000000001</v>
          </cell>
          <cell r="N1140" t="str">
            <v>5W</v>
          </cell>
          <cell r="P1140" t="str">
            <v>PONFCS</v>
          </cell>
          <cell r="Q1140" t="str">
            <v>/  /</v>
          </cell>
        </row>
        <row r="1141">
          <cell r="A1141">
            <v>3899399</v>
          </cell>
          <cell r="B1141">
            <v>43752</v>
          </cell>
          <cell r="C1141" t="str">
            <v>PON</v>
          </cell>
          <cell r="D1141" t="str">
            <v>F614008120</v>
          </cell>
          <cell r="E1141" t="str">
            <v>F F14 CAYO EVO 2.0 48CM</v>
          </cell>
          <cell r="F1141">
            <v>1</v>
          </cell>
          <cell r="G1141">
            <v>0</v>
          </cell>
          <cell r="I1141" t="str">
            <v>IK111</v>
          </cell>
          <cell r="L1141">
            <v>3</v>
          </cell>
          <cell r="M1141">
            <v>0.129</v>
          </cell>
          <cell r="N1141" t="str">
            <v>5W</v>
          </cell>
          <cell r="P1141" t="str">
            <v>PONFCS</v>
          </cell>
          <cell r="Q1141" t="str">
            <v>/  /</v>
          </cell>
        </row>
        <row r="1142">
          <cell r="A1142">
            <v>3899225</v>
          </cell>
          <cell r="B1142">
            <v>43752</v>
          </cell>
          <cell r="C1142" t="str">
            <v>PON</v>
          </cell>
          <cell r="D1142" t="str">
            <v>F614009844</v>
          </cell>
          <cell r="E1142" t="str">
            <v>F F14 Raven 3.0 27R LG</v>
          </cell>
          <cell r="F1142">
            <v>1</v>
          </cell>
          <cell r="G1142">
            <v>0</v>
          </cell>
          <cell r="I1142" t="str">
            <v>IK111</v>
          </cell>
          <cell r="L1142">
            <v>3</v>
          </cell>
          <cell r="M1142">
            <v>0.13100000000000001</v>
          </cell>
          <cell r="N1142" t="str">
            <v>5W</v>
          </cell>
          <cell r="P1142" t="str">
            <v>PONFCS</v>
          </cell>
          <cell r="Q1142" t="str">
            <v>/  /</v>
          </cell>
        </row>
        <row r="1143">
          <cell r="A1143">
            <v>3899396</v>
          </cell>
          <cell r="B1143">
            <v>43752</v>
          </cell>
          <cell r="C1143" t="str">
            <v>PON</v>
          </cell>
          <cell r="D1143" t="str">
            <v>FS614008930</v>
          </cell>
          <cell r="E1143" t="str">
            <v>Focus F14 F/S IZ Team 2.0 48CM</v>
          </cell>
          <cell r="F1143">
            <v>1</v>
          </cell>
          <cell r="G1143">
            <v>0</v>
          </cell>
          <cell r="I1143" t="str">
            <v>IK111</v>
          </cell>
          <cell r="L1143">
            <v>4</v>
          </cell>
          <cell r="M1143">
            <v>0.129</v>
          </cell>
          <cell r="N1143" t="str">
            <v>5W</v>
          </cell>
          <cell r="P1143" t="str">
            <v>PONFCS</v>
          </cell>
          <cell r="Q1143" t="str">
            <v>/  /</v>
          </cell>
        </row>
        <row r="1144">
          <cell r="A1144">
            <v>3899233</v>
          </cell>
          <cell r="B1144">
            <v>43752</v>
          </cell>
          <cell r="C1144" t="str">
            <v>PON</v>
          </cell>
          <cell r="D1144" t="str">
            <v>FS614017703</v>
          </cell>
          <cell r="E1144" t="str">
            <v>FC F15 FS PlanetCARB 1.0 XL 58</v>
          </cell>
          <cell r="F1144">
            <v>1</v>
          </cell>
          <cell r="G1144">
            <v>0</v>
          </cell>
          <cell r="I1144" t="str">
            <v>IK111</v>
          </cell>
          <cell r="L1144">
            <v>4</v>
          </cell>
          <cell r="M1144">
            <v>0.13100000000000001</v>
          </cell>
          <cell r="N1144" t="str">
            <v>5W</v>
          </cell>
          <cell r="P1144" t="str">
            <v>PONFCS</v>
          </cell>
          <cell r="Q1144" t="str">
            <v>/  /</v>
          </cell>
        </row>
        <row r="1145">
          <cell r="A1145">
            <v>3899235</v>
          </cell>
          <cell r="B1145">
            <v>43752</v>
          </cell>
          <cell r="C1145" t="str">
            <v>PON</v>
          </cell>
          <cell r="D1145" t="str">
            <v>FS620008046</v>
          </cell>
          <cell r="E1145" t="str">
            <v>Focus F15 F/S IZ Max 3.0 61</v>
          </cell>
          <cell r="F1145">
            <v>1</v>
          </cell>
          <cell r="G1145">
            <v>0</v>
          </cell>
          <cell r="I1145" t="str">
            <v>IK111</v>
          </cell>
          <cell r="L1145">
            <v>3</v>
          </cell>
          <cell r="M1145">
            <v>0.126</v>
          </cell>
          <cell r="N1145" t="str">
            <v>5W</v>
          </cell>
          <cell r="P1145" t="str">
            <v>PONFCS</v>
          </cell>
          <cell r="Q1145" t="str">
            <v>/  /</v>
          </cell>
        </row>
        <row r="1146">
          <cell r="A1146">
            <v>3947387</v>
          </cell>
          <cell r="B1146">
            <v>43788</v>
          </cell>
          <cell r="C1146" t="str">
            <v>PON</v>
          </cell>
          <cell r="D1146" t="str">
            <v>FS620016006</v>
          </cell>
          <cell r="E1146" t="str">
            <v>FC F15 F/S IZ Max 0.0 61 XXL</v>
          </cell>
          <cell r="F1146">
            <v>1</v>
          </cell>
          <cell r="G1146">
            <v>0</v>
          </cell>
          <cell r="I1146" t="str">
            <v>IK111</v>
          </cell>
          <cell r="L1146">
            <v>2.8</v>
          </cell>
          <cell r="M1146">
            <v>0.124</v>
          </cell>
          <cell r="N1146" t="str">
            <v>5W</v>
          </cell>
          <cell r="P1146" t="str">
            <v>PONFCS</v>
          </cell>
          <cell r="Q1146" t="str">
            <v>/  /</v>
          </cell>
        </row>
        <row r="1147">
          <cell r="A1147">
            <v>3855760</v>
          </cell>
          <cell r="B1147">
            <v>43727</v>
          </cell>
          <cell r="C1147" t="str">
            <v>PON</v>
          </cell>
          <cell r="D1147">
            <v>637073138</v>
          </cell>
          <cell r="E1147" t="str">
            <v>CV C20 PX Series Frameset SM</v>
          </cell>
          <cell r="F1147">
            <v>1</v>
          </cell>
          <cell r="G1147">
            <v>0</v>
          </cell>
          <cell r="I1147" t="str">
            <v>IK112</v>
          </cell>
          <cell r="L1147">
            <v>9.5</v>
          </cell>
          <cell r="M1147">
            <v>0.17899999999999999</v>
          </cell>
          <cell r="N1147" t="str">
            <v>5W</v>
          </cell>
          <cell r="P1147" t="str">
            <v>PONCVL</v>
          </cell>
          <cell r="Q1147" t="str">
            <v>/  /</v>
          </cell>
        </row>
        <row r="1148">
          <cell r="A1148">
            <v>3855762</v>
          </cell>
          <cell r="B1148">
            <v>43727</v>
          </cell>
          <cell r="C1148" t="str">
            <v>PON</v>
          </cell>
          <cell r="D1148">
            <v>637073139</v>
          </cell>
          <cell r="E1148" t="str">
            <v>CV C20 PX Series Frameset MD</v>
          </cell>
          <cell r="F1148">
            <v>1</v>
          </cell>
          <cell r="G1148">
            <v>0</v>
          </cell>
          <cell r="I1148" t="str">
            <v>IK112</v>
          </cell>
          <cell r="L1148">
            <v>9.6999999999999993</v>
          </cell>
          <cell r="M1148">
            <v>0.17499999999999999</v>
          </cell>
          <cell r="N1148" t="str">
            <v>5W</v>
          </cell>
          <cell r="P1148" t="str">
            <v>PONCVL</v>
          </cell>
          <cell r="Q1148" t="str">
            <v>/  /</v>
          </cell>
        </row>
        <row r="1149">
          <cell r="A1149">
            <v>4024703</v>
          </cell>
          <cell r="B1149">
            <v>43840</v>
          </cell>
          <cell r="C1149" t="str">
            <v>PON</v>
          </cell>
          <cell r="D1149">
            <v>633618526</v>
          </cell>
          <cell r="E1149" t="str">
            <v>FC F20 Para Sqre 9.7 54M Blue</v>
          </cell>
          <cell r="F1149">
            <v>1</v>
          </cell>
          <cell r="G1149">
            <v>0</v>
          </cell>
          <cell r="I1149" t="str">
            <v>IK113</v>
          </cell>
          <cell r="L1149">
            <v>23.4</v>
          </cell>
          <cell r="M1149">
            <v>0.55500000000000005</v>
          </cell>
          <cell r="N1149" t="str">
            <v>5W</v>
          </cell>
          <cell r="P1149" t="str">
            <v>PONFCS</v>
          </cell>
          <cell r="Q1149" t="str">
            <v>/  /</v>
          </cell>
        </row>
        <row r="1150">
          <cell r="A1150">
            <v>4644171</v>
          </cell>
          <cell r="B1150">
            <v>44225</v>
          </cell>
          <cell r="C1150" t="str">
            <v>PON</v>
          </cell>
          <cell r="D1150">
            <v>641526686</v>
          </cell>
          <cell r="E1150" t="str">
            <v>K21 Agattu 1.B Move S 45 Co400</v>
          </cell>
          <cell r="F1150">
            <v>1</v>
          </cell>
          <cell r="G1150">
            <v>0</v>
          </cell>
          <cell r="I1150" t="str">
            <v>IK113</v>
          </cell>
          <cell r="L1150">
            <v>32</v>
          </cell>
          <cell r="M1150">
            <v>0.57299999999999995</v>
          </cell>
          <cell r="N1150" t="str">
            <v>5W</v>
          </cell>
          <cell r="P1150" t="str">
            <v>PONFCS</v>
          </cell>
          <cell r="Q1150" t="str">
            <v>/  /</v>
          </cell>
        </row>
        <row r="1151">
          <cell r="A1151">
            <v>4644194</v>
          </cell>
          <cell r="B1151">
            <v>44225</v>
          </cell>
          <cell r="C1151" t="str">
            <v>PON</v>
          </cell>
          <cell r="D1151">
            <v>641526688</v>
          </cell>
          <cell r="E1151" t="str">
            <v>K21 AGATTU 1.B MOVE L 55 CO400</v>
          </cell>
          <cell r="F1151">
            <v>1</v>
          </cell>
          <cell r="G1151">
            <v>0</v>
          </cell>
          <cell r="I1151" t="str">
            <v>IK113</v>
          </cell>
          <cell r="L1151">
            <v>33</v>
          </cell>
          <cell r="M1151">
            <v>0.58799999999999997</v>
          </cell>
          <cell r="N1151" t="str">
            <v>5W</v>
          </cell>
          <cell r="P1151" t="str">
            <v>PONFCS</v>
          </cell>
          <cell r="Q1151" t="str">
            <v>/  /</v>
          </cell>
        </row>
        <row r="1152">
          <cell r="A1152">
            <v>4644195</v>
          </cell>
          <cell r="B1152">
            <v>44225</v>
          </cell>
          <cell r="C1152" t="str">
            <v>PON</v>
          </cell>
          <cell r="D1152">
            <v>641526688</v>
          </cell>
          <cell r="E1152" t="str">
            <v>K21 AGATTU 1.B MOVE L 55 CO400</v>
          </cell>
          <cell r="F1152">
            <v>1</v>
          </cell>
          <cell r="G1152">
            <v>0</v>
          </cell>
          <cell r="I1152" t="str">
            <v>IK113</v>
          </cell>
          <cell r="L1152">
            <v>33</v>
          </cell>
          <cell r="M1152">
            <v>0.58799999999999997</v>
          </cell>
          <cell r="N1152" t="str">
            <v>5W</v>
          </cell>
          <cell r="P1152" t="str">
            <v>PONFCS</v>
          </cell>
          <cell r="Q1152" t="str">
            <v>/  /</v>
          </cell>
        </row>
        <row r="1153">
          <cell r="A1153">
            <v>4088106</v>
          </cell>
          <cell r="B1153">
            <v>43801</v>
          </cell>
          <cell r="C1153" t="str">
            <v>PON</v>
          </cell>
          <cell r="D1153">
            <v>633718324</v>
          </cell>
          <cell r="E1153" t="str">
            <v>FC E BikeF19Planet2 6.8TR48MRd</v>
          </cell>
          <cell r="F1153">
            <v>1</v>
          </cell>
          <cell r="G1153">
            <v>0</v>
          </cell>
          <cell r="I1153" t="str">
            <v>IK114</v>
          </cell>
          <cell r="L1153">
            <v>33</v>
          </cell>
          <cell r="M1153">
            <v>0.57299999999999995</v>
          </cell>
          <cell r="N1153" t="str">
            <v>5W</v>
          </cell>
          <cell r="P1153" t="str">
            <v>PONFEB</v>
          </cell>
          <cell r="Q1153" t="str">
            <v>/  /</v>
          </cell>
        </row>
        <row r="1154">
          <cell r="A1154">
            <v>4040343</v>
          </cell>
          <cell r="B1154">
            <v>43852</v>
          </cell>
          <cell r="C1154" t="str">
            <v>PON</v>
          </cell>
          <cell r="D1154">
            <v>633728543</v>
          </cell>
          <cell r="E1154" t="str">
            <v>F20 PARALANE SQUARE 6.9 60XL</v>
          </cell>
          <cell r="F1154">
            <v>1</v>
          </cell>
          <cell r="G1154">
            <v>0</v>
          </cell>
          <cell r="I1154" t="str">
            <v>IK114</v>
          </cell>
          <cell r="L1154">
            <v>25.8</v>
          </cell>
          <cell r="M1154">
            <v>0.53200000000000003</v>
          </cell>
          <cell r="N1154" t="str">
            <v>5W</v>
          </cell>
          <cell r="P1154" t="str">
            <v>PONFCS</v>
          </cell>
          <cell r="Q1154" t="str">
            <v>/  /</v>
          </cell>
        </row>
        <row r="1155">
          <cell r="A1155">
            <v>4167021</v>
          </cell>
          <cell r="B1155">
            <v>43913</v>
          </cell>
          <cell r="C1155" t="str">
            <v>PON</v>
          </cell>
          <cell r="D1155">
            <v>637618562</v>
          </cell>
          <cell r="E1155" t="str">
            <v>F20 Paralane Sqr 9.6 GC L</v>
          </cell>
          <cell r="F1155">
            <v>1</v>
          </cell>
          <cell r="G1155">
            <v>0</v>
          </cell>
          <cell r="I1155" t="str">
            <v>IK114</v>
          </cell>
          <cell r="L1155">
            <v>23.7</v>
          </cell>
          <cell r="M1155">
            <v>0.60299999999999998</v>
          </cell>
          <cell r="N1155" t="str">
            <v>5W</v>
          </cell>
          <cell r="P1155" t="str">
            <v>PONFCS</v>
          </cell>
          <cell r="Q1155" t="str">
            <v>/  /</v>
          </cell>
        </row>
        <row r="1156">
          <cell r="A1156">
            <v>4644196</v>
          </cell>
          <cell r="B1156">
            <v>44225</v>
          </cell>
          <cell r="C1156" t="str">
            <v>PON</v>
          </cell>
          <cell r="D1156">
            <v>641526688</v>
          </cell>
          <cell r="E1156" t="str">
            <v>K21 AGATTU 1.B MOVE L 55 CO400</v>
          </cell>
          <cell r="F1156">
            <v>1</v>
          </cell>
          <cell r="G1156">
            <v>0</v>
          </cell>
          <cell r="I1156" t="str">
            <v>IK114</v>
          </cell>
          <cell r="L1156">
            <v>33</v>
          </cell>
          <cell r="M1156">
            <v>0.58799999999999997</v>
          </cell>
          <cell r="N1156" t="str">
            <v>5W</v>
          </cell>
          <cell r="P1156" t="str">
            <v>PONFCS</v>
          </cell>
          <cell r="Q1156" t="str">
            <v>/  /</v>
          </cell>
        </row>
        <row r="1157">
          <cell r="A1157">
            <v>4644197</v>
          </cell>
          <cell r="B1157">
            <v>44225</v>
          </cell>
          <cell r="C1157" t="str">
            <v>PON</v>
          </cell>
          <cell r="D1157">
            <v>641526688</v>
          </cell>
          <cell r="E1157" t="str">
            <v>K21 AGATTU 1.B MOVE L 55 CO400</v>
          </cell>
          <cell r="F1157">
            <v>1</v>
          </cell>
          <cell r="G1157">
            <v>0</v>
          </cell>
          <cell r="I1157" t="str">
            <v>IK114</v>
          </cell>
          <cell r="L1157">
            <v>33</v>
          </cell>
          <cell r="M1157">
            <v>0.58799999999999997</v>
          </cell>
          <cell r="N1157" t="str">
            <v>5W</v>
          </cell>
          <cell r="P1157" t="str">
            <v>PONFCS</v>
          </cell>
          <cell r="Q1157" t="str">
            <v>/  /</v>
          </cell>
        </row>
        <row r="1158">
          <cell r="A1158">
            <v>3899141</v>
          </cell>
          <cell r="B1158">
            <v>43752</v>
          </cell>
          <cell r="C1158" t="str">
            <v>PON</v>
          </cell>
          <cell r="D1158">
            <v>250112334</v>
          </cell>
          <cell r="E1158" t="str">
            <v>Focus F13 F/S IZ Ergo 3.0 XL</v>
          </cell>
          <cell r="F1158">
            <v>1</v>
          </cell>
          <cell r="G1158">
            <v>0</v>
          </cell>
          <cell r="I1158" t="str">
            <v>IK121</v>
          </cell>
          <cell r="L1158">
            <v>4</v>
          </cell>
          <cell r="M1158">
            <v>0.124</v>
          </cell>
          <cell r="N1158" t="str">
            <v>5W</v>
          </cell>
          <cell r="P1158" t="str">
            <v>PONFCS</v>
          </cell>
          <cell r="Q1158" t="str">
            <v>/  /</v>
          </cell>
        </row>
        <row r="1159">
          <cell r="A1159">
            <v>3899143</v>
          </cell>
          <cell r="B1159">
            <v>43752</v>
          </cell>
          <cell r="C1159" t="str">
            <v>PON</v>
          </cell>
          <cell r="D1159">
            <v>250215141</v>
          </cell>
          <cell r="E1159" t="str">
            <v>Focus F15 F/S Raven 29R 6.0 SM</v>
          </cell>
          <cell r="F1159">
            <v>1</v>
          </cell>
          <cell r="G1159">
            <v>0</v>
          </cell>
          <cell r="I1159" t="str">
            <v>IK121</v>
          </cell>
          <cell r="L1159">
            <v>3</v>
          </cell>
          <cell r="M1159">
            <v>0.121</v>
          </cell>
          <cell r="N1159" t="str">
            <v>5W</v>
          </cell>
          <cell r="P1159" t="str">
            <v>PONFCS</v>
          </cell>
          <cell r="Q1159" t="str">
            <v>/  /</v>
          </cell>
        </row>
        <row r="1160">
          <cell r="A1160">
            <v>3899227</v>
          </cell>
          <cell r="B1160">
            <v>43752</v>
          </cell>
          <cell r="C1160" t="str">
            <v>PON</v>
          </cell>
          <cell r="D1160" t="str">
            <v>FS612017103</v>
          </cell>
          <cell r="E1160" t="str">
            <v>Focus F12 FSL 5.0 F/S LG</v>
          </cell>
          <cell r="F1160">
            <v>1</v>
          </cell>
          <cell r="G1160">
            <v>0</v>
          </cell>
          <cell r="I1160" t="str">
            <v>IK121</v>
          </cell>
          <cell r="L1160">
            <v>4</v>
          </cell>
          <cell r="M1160">
            <v>0.13200000000000001</v>
          </cell>
          <cell r="N1160" t="str">
            <v>5W</v>
          </cell>
          <cell r="P1160" t="str">
            <v>PONFCS</v>
          </cell>
          <cell r="Q1160" t="str">
            <v>/  /</v>
          </cell>
        </row>
        <row r="1161">
          <cell r="A1161">
            <v>3899401</v>
          </cell>
          <cell r="B1161">
            <v>43752</v>
          </cell>
          <cell r="C1161" t="str">
            <v>PON</v>
          </cell>
          <cell r="D1161" t="str">
            <v>FS613008082</v>
          </cell>
          <cell r="E1161" t="str">
            <v>FS F13 IZ PRO 1.0 52 SM</v>
          </cell>
          <cell r="F1161">
            <v>1</v>
          </cell>
          <cell r="G1161">
            <v>0</v>
          </cell>
          <cell r="I1161" t="str">
            <v>IK121</v>
          </cell>
          <cell r="L1161">
            <v>4</v>
          </cell>
          <cell r="M1161">
            <v>0.14299999999999999</v>
          </cell>
          <cell r="N1161" t="str">
            <v>5W</v>
          </cell>
          <cell r="P1161" t="str">
            <v>PONFCS</v>
          </cell>
          <cell r="Q1161" t="str">
            <v>/  /</v>
          </cell>
        </row>
        <row r="1162">
          <cell r="A1162">
            <v>3899229</v>
          </cell>
          <cell r="B1162">
            <v>43752</v>
          </cell>
          <cell r="C1162" t="str">
            <v>PON</v>
          </cell>
          <cell r="D1162" t="str">
            <v>FS613008470</v>
          </cell>
          <cell r="E1162" t="str">
            <v>F13 Mares CX 4.0 F/S 52CM</v>
          </cell>
          <cell r="F1162">
            <v>1</v>
          </cell>
          <cell r="G1162">
            <v>0</v>
          </cell>
          <cell r="I1162" t="str">
            <v>IK121</v>
          </cell>
          <cell r="L1162">
            <v>4</v>
          </cell>
          <cell r="M1162">
            <v>0.122</v>
          </cell>
          <cell r="N1162" t="str">
            <v>5W</v>
          </cell>
          <cell r="P1162" t="str">
            <v>PONFCS</v>
          </cell>
          <cell r="Q1162" t="str">
            <v>/  /</v>
          </cell>
        </row>
        <row r="1163">
          <cell r="A1163">
            <v>3899231</v>
          </cell>
          <cell r="B1163">
            <v>43752</v>
          </cell>
          <cell r="C1163" t="str">
            <v>PON</v>
          </cell>
          <cell r="D1163" t="str">
            <v>FS613015180</v>
          </cell>
          <cell r="E1163" t="str">
            <v>Focus F13 F/S Raven 29R 2.0 MD</v>
          </cell>
          <cell r="F1163">
            <v>1</v>
          </cell>
          <cell r="G1163">
            <v>0</v>
          </cell>
          <cell r="I1163" t="str">
            <v>IK121</v>
          </cell>
          <cell r="L1163">
            <v>4</v>
          </cell>
          <cell r="M1163">
            <v>0.151</v>
          </cell>
          <cell r="N1163" t="str">
            <v>5W</v>
          </cell>
          <cell r="P1163" t="str">
            <v>PONFCS</v>
          </cell>
          <cell r="Q1163" t="str">
            <v>/  /</v>
          </cell>
        </row>
        <row r="1164">
          <cell r="A1164">
            <v>3895730</v>
          </cell>
          <cell r="B1164">
            <v>43752</v>
          </cell>
          <cell r="C1164" t="str">
            <v>PON</v>
          </cell>
          <cell r="D1164" t="str">
            <v>FS614012183</v>
          </cell>
          <cell r="E1164" t="str">
            <v>F14 F/S IZ Ergo 1.0 MD</v>
          </cell>
          <cell r="F1164">
            <v>1</v>
          </cell>
          <cell r="G1164">
            <v>0</v>
          </cell>
          <cell r="I1164" t="str">
            <v>IK121</v>
          </cell>
          <cell r="L1164">
            <v>3</v>
          </cell>
          <cell r="M1164">
            <v>0.12</v>
          </cell>
          <cell r="N1164" t="str">
            <v>5W</v>
          </cell>
          <cell r="P1164" t="str">
            <v>PONFCS</v>
          </cell>
          <cell r="Q1164" t="str">
            <v>/  /</v>
          </cell>
        </row>
        <row r="1165">
          <cell r="A1165">
            <v>4574044</v>
          </cell>
          <cell r="B1165">
            <v>44172</v>
          </cell>
          <cell r="C1165" t="str">
            <v>PON</v>
          </cell>
          <cell r="D1165">
            <v>637526087</v>
          </cell>
          <cell r="E1165" t="str">
            <v>K21 End 1.B Move 400M Green</v>
          </cell>
          <cell r="F1165">
            <v>1</v>
          </cell>
          <cell r="G1165">
            <v>0</v>
          </cell>
          <cell r="I1165" t="str">
            <v>IK123</v>
          </cell>
          <cell r="L1165">
            <v>31.5</v>
          </cell>
          <cell r="M1165">
            <v>0.57299999999999995</v>
          </cell>
          <cell r="N1165" t="str">
            <v>5W</v>
          </cell>
          <cell r="P1165" t="str">
            <v>PONFCS</v>
          </cell>
          <cell r="Q1165" t="str">
            <v>/  /</v>
          </cell>
        </row>
        <row r="1166">
          <cell r="A1166">
            <v>4574045</v>
          </cell>
          <cell r="B1166">
            <v>44172</v>
          </cell>
          <cell r="C1166" t="str">
            <v>PON</v>
          </cell>
          <cell r="D1166">
            <v>637526087</v>
          </cell>
          <cell r="E1166" t="str">
            <v>K21 End 1.B Move 400M Green</v>
          </cell>
          <cell r="F1166">
            <v>1</v>
          </cell>
          <cell r="G1166">
            <v>0</v>
          </cell>
          <cell r="I1166" t="str">
            <v>IK123</v>
          </cell>
          <cell r="L1166">
            <v>31.5</v>
          </cell>
          <cell r="M1166">
            <v>0.57299999999999995</v>
          </cell>
          <cell r="N1166" t="str">
            <v>5W</v>
          </cell>
          <cell r="P1166" t="str">
            <v>PONFCS</v>
          </cell>
          <cell r="Q1166" t="str">
            <v>/  /</v>
          </cell>
        </row>
        <row r="1167">
          <cell r="A1167">
            <v>4574046</v>
          </cell>
          <cell r="B1167">
            <v>44172</v>
          </cell>
          <cell r="C1167" t="str">
            <v>PON</v>
          </cell>
          <cell r="D1167">
            <v>637526087</v>
          </cell>
          <cell r="E1167" t="str">
            <v>K21 End 1.B Move 400M Green</v>
          </cell>
          <cell r="F1167">
            <v>1</v>
          </cell>
          <cell r="G1167">
            <v>0</v>
          </cell>
          <cell r="I1167" t="str">
            <v>IK123</v>
          </cell>
          <cell r="L1167">
            <v>31.5</v>
          </cell>
          <cell r="M1167">
            <v>0.57299999999999995</v>
          </cell>
          <cell r="N1167" t="str">
            <v>5W</v>
          </cell>
          <cell r="P1167" t="str">
            <v>PONFCS</v>
          </cell>
          <cell r="Q1167" t="str">
            <v>/  /</v>
          </cell>
        </row>
        <row r="1168">
          <cell r="A1168">
            <v>4086254</v>
          </cell>
          <cell r="B1168">
            <v>43852</v>
          </cell>
          <cell r="C1168" t="str">
            <v>PON</v>
          </cell>
          <cell r="D1168">
            <v>633728541</v>
          </cell>
          <cell r="E1168" t="str">
            <v>F20 PARALANE SQUARE 6.9 54M</v>
          </cell>
          <cell r="F1168">
            <v>1</v>
          </cell>
          <cell r="G1168">
            <v>0</v>
          </cell>
          <cell r="I1168" t="str">
            <v>IK124</v>
          </cell>
          <cell r="L1168">
            <v>25.4</v>
          </cell>
          <cell r="M1168">
            <v>0.53200000000000003</v>
          </cell>
          <cell r="N1168" t="str">
            <v>5W</v>
          </cell>
          <cell r="P1168" t="str">
            <v>PONFCS</v>
          </cell>
          <cell r="Q1168" t="str">
            <v>/  /</v>
          </cell>
        </row>
        <row r="1169">
          <cell r="A1169">
            <v>4087695</v>
          </cell>
          <cell r="B1169">
            <v>43852</v>
          </cell>
          <cell r="C1169" t="str">
            <v>PON</v>
          </cell>
          <cell r="D1169">
            <v>633728541</v>
          </cell>
          <cell r="E1169" t="str">
            <v>F20 PARALANE SQUARE 6.9 54M</v>
          </cell>
          <cell r="F1169">
            <v>1</v>
          </cell>
          <cell r="G1169">
            <v>0</v>
          </cell>
          <cell r="I1169" t="str">
            <v>IK124</v>
          </cell>
          <cell r="L1169">
            <v>25.4</v>
          </cell>
          <cell r="M1169">
            <v>0.53200000000000003</v>
          </cell>
          <cell r="N1169" t="str">
            <v>5W</v>
          </cell>
          <cell r="P1169" t="str">
            <v>PONFCS</v>
          </cell>
          <cell r="Q1169" t="str">
            <v>/  /</v>
          </cell>
        </row>
        <row r="1170">
          <cell r="A1170">
            <v>4089494</v>
          </cell>
          <cell r="B1170">
            <v>43852</v>
          </cell>
          <cell r="C1170" t="str">
            <v>PON</v>
          </cell>
          <cell r="D1170">
            <v>633728541</v>
          </cell>
          <cell r="E1170" t="str">
            <v>F20 PARALANE SQUARE 6.9 54M</v>
          </cell>
          <cell r="F1170">
            <v>1</v>
          </cell>
          <cell r="G1170">
            <v>0</v>
          </cell>
          <cell r="I1170" t="str">
            <v>IK124</v>
          </cell>
          <cell r="L1170">
            <v>25.4</v>
          </cell>
          <cell r="M1170">
            <v>0.53200000000000003</v>
          </cell>
          <cell r="N1170" t="str">
            <v>5W</v>
          </cell>
          <cell r="P1170" t="str">
            <v>PONFCS</v>
          </cell>
          <cell r="Q1170" t="str">
            <v>/  /</v>
          </cell>
        </row>
        <row r="1171">
          <cell r="A1171">
            <v>4088127</v>
          </cell>
          <cell r="B1171">
            <v>43852</v>
          </cell>
          <cell r="C1171" t="str">
            <v>PON</v>
          </cell>
          <cell r="D1171">
            <v>633728543</v>
          </cell>
          <cell r="E1171" t="str">
            <v>F20 PARALANE SQUARE 6.9 60XL</v>
          </cell>
          <cell r="F1171">
            <v>1</v>
          </cell>
          <cell r="G1171">
            <v>0</v>
          </cell>
          <cell r="I1171" t="str">
            <v>IK124</v>
          </cell>
          <cell r="L1171">
            <v>25.8</v>
          </cell>
          <cell r="M1171">
            <v>0.53200000000000003</v>
          </cell>
          <cell r="N1171" t="str">
            <v>5W</v>
          </cell>
          <cell r="P1171" t="str">
            <v>PONFCS</v>
          </cell>
          <cell r="Q1171" t="str">
            <v>/  /</v>
          </cell>
        </row>
        <row r="1172">
          <cell r="A1172">
            <v>3895724</v>
          </cell>
          <cell r="B1172">
            <v>43752</v>
          </cell>
          <cell r="C1172" t="str">
            <v>PON</v>
          </cell>
          <cell r="D1172" t="str">
            <v>F15FSRAV2S</v>
          </cell>
          <cell r="E1172" t="str">
            <v>FC F15 F/S Raven 29R 2.0 Small</v>
          </cell>
          <cell r="F1172">
            <v>1</v>
          </cell>
          <cell r="G1172">
            <v>0</v>
          </cell>
          <cell r="I1172" t="str">
            <v>IK131</v>
          </cell>
          <cell r="L1172">
            <v>4</v>
          </cell>
          <cell r="M1172">
            <v>0.186</v>
          </cell>
          <cell r="N1172" t="str">
            <v>5W</v>
          </cell>
          <cell r="P1172" t="str">
            <v>PONFCS</v>
          </cell>
          <cell r="Q1172" t="str">
            <v>/  /</v>
          </cell>
        </row>
        <row r="1173">
          <cell r="A1173">
            <v>3953682</v>
          </cell>
          <cell r="B1173">
            <v>43790</v>
          </cell>
          <cell r="C1173" t="str">
            <v>PON</v>
          </cell>
          <cell r="D1173">
            <v>633073314</v>
          </cell>
          <cell r="E1173" t="str">
            <v>CV C19 R3 Dsc F/S 58CM Blk/Wh</v>
          </cell>
          <cell r="F1173">
            <v>1</v>
          </cell>
          <cell r="G1173">
            <v>0</v>
          </cell>
          <cell r="I1173" t="str">
            <v>IK132</v>
          </cell>
          <cell r="L1173">
            <v>5.6</v>
          </cell>
          <cell r="M1173">
            <v>0.17799999999999999</v>
          </cell>
          <cell r="N1173" t="str">
            <v>5W</v>
          </cell>
          <cell r="P1173" t="str">
            <v>PONCVL</v>
          </cell>
          <cell r="Q1173" t="str">
            <v>/  /</v>
          </cell>
        </row>
        <row r="1174">
          <cell r="A1174">
            <v>4081369</v>
          </cell>
          <cell r="B1174">
            <v>43790</v>
          </cell>
          <cell r="C1174" t="str">
            <v>PON</v>
          </cell>
          <cell r="D1174">
            <v>633073314</v>
          </cell>
          <cell r="E1174" t="str">
            <v>CV C19 R3 Dsc F/S 58CM Blk/Wh</v>
          </cell>
          <cell r="F1174">
            <v>1</v>
          </cell>
          <cell r="G1174">
            <v>0</v>
          </cell>
          <cell r="I1174" t="str">
            <v>IK132</v>
          </cell>
          <cell r="L1174">
            <v>5.6</v>
          </cell>
          <cell r="M1174">
            <v>0.17799999999999999</v>
          </cell>
          <cell r="N1174" t="str">
            <v>5W</v>
          </cell>
          <cell r="P1174" t="str">
            <v>PONCVL</v>
          </cell>
          <cell r="Q1174" t="str">
            <v>/  /</v>
          </cell>
        </row>
        <row r="1175">
          <cell r="A1175">
            <v>4574016</v>
          </cell>
          <cell r="B1175">
            <v>44172</v>
          </cell>
          <cell r="C1175" t="str">
            <v>PON</v>
          </cell>
          <cell r="D1175">
            <v>637526050</v>
          </cell>
          <cell r="E1175" t="str">
            <v>K21 ENDV 1.B MOVE 400 S 45</v>
          </cell>
          <cell r="F1175">
            <v>1</v>
          </cell>
          <cell r="G1175">
            <v>0</v>
          </cell>
          <cell r="I1175" t="str">
            <v>IK133</v>
          </cell>
          <cell r="L1175">
            <v>31.2</v>
          </cell>
          <cell r="M1175">
            <v>0.57799999999999996</v>
          </cell>
          <cell r="N1175" t="str">
            <v>5W</v>
          </cell>
          <cell r="P1175" t="str">
            <v>PONFCS</v>
          </cell>
          <cell r="Q1175" t="str">
            <v>/  /</v>
          </cell>
        </row>
        <row r="1176">
          <cell r="A1176">
            <v>4574079</v>
          </cell>
          <cell r="B1176">
            <v>44172</v>
          </cell>
          <cell r="C1176" t="str">
            <v>PON</v>
          </cell>
          <cell r="D1176">
            <v>641518010</v>
          </cell>
          <cell r="E1176" t="str">
            <v>F21 Jam2 6.9 Nine S 40 625Wh</v>
          </cell>
          <cell r="F1176">
            <v>1</v>
          </cell>
          <cell r="G1176">
            <v>0</v>
          </cell>
          <cell r="I1176" t="str">
            <v>IK133</v>
          </cell>
          <cell r="L1176">
            <v>33.5</v>
          </cell>
          <cell r="M1176">
            <v>0.55000000000000004</v>
          </cell>
          <cell r="N1176" t="str">
            <v>5W</v>
          </cell>
          <cell r="P1176" t="str">
            <v>PONFCS</v>
          </cell>
          <cell r="Q1176" t="str">
            <v>/  /</v>
          </cell>
        </row>
        <row r="1177">
          <cell r="A1177">
            <v>4088479</v>
          </cell>
          <cell r="B1177">
            <v>43809</v>
          </cell>
          <cell r="C1177" t="str">
            <v>PON</v>
          </cell>
          <cell r="D1177" t="str">
            <v>A5800</v>
          </cell>
          <cell r="E1177" t="str">
            <v>GZ G19 Chamonix T10 HMB 53 Men</v>
          </cell>
          <cell r="F1177">
            <v>1</v>
          </cell>
          <cell r="G1177">
            <v>0</v>
          </cell>
          <cell r="I1177" t="str">
            <v>IK134</v>
          </cell>
          <cell r="L1177">
            <v>29.4</v>
          </cell>
          <cell r="M1177">
            <v>0.64</v>
          </cell>
          <cell r="N1177" t="str">
            <v>5W</v>
          </cell>
          <cell r="P1177" t="str">
            <v>PONGAZ</v>
          </cell>
          <cell r="Q1177" t="str">
            <v>/  /</v>
          </cell>
        </row>
        <row r="1178">
          <cell r="A1178">
            <v>4089409</v>
          </cell>
          <cell r="B1178">
            <v>43752</v>
          </cell>
          <cell r="C1178" t="str">
            <v>PON</v>
          </cell>
          <cell r="D1178">
            <v>633080205</v>
          </cell>
          <cell r="E1178" t="str">
            <v>FC F19 Izalco MaxDisc 8 FS58XL</v>
          </cell>
          <cell r="F1178">
            <v>1</v>
          </cell>
          <cell r="G1178">
            <v>0</v>
          </cell>
          <cell r="I1178" t="str">
            <v>IK142</v>
          </cell>
          <cell r="L1178">
            <v>5.9</v>
          </cell>
          <cell r="M1178">
            <v>0.161</v>
          </cell>
          <cell r="N1178" t="str">
            <v>5W</v>
          </cell>
          <cell r="P1178" t="str">
            <v>PONFCS</v>
          </cell>
          <cell r="Q1178" t="str">
            <v>/  /</v>
          </cell>
        </row>
        <row r="1179">
          <cell r="A1179">
            <v>4574015</v>
          </cell>
          <cell r="B1179">
            <v>44172</v>
          </cell>
          <cell r="C1179" t="str">
            <v>PON</v>
          </cell>
          <cell r="D1179">
            <v>637526050</v>
          </cell>
          <cell r="E1179" t="str">
            <v>K21 ENDV 1.B MOVE 400 S 45</v>
          </cell>
          <cell r="F1179">
            <v>1</v>
          </cell>
          <cell r="G1179">
            <v>0</v>
          </cell>
          <cell r="I1179" t="str">
            <v>IK143</v>
          </cell>
          <cell r="L1179">
            <v>31.2</v>
          </cell>
          <cell r="M1179">
            <v>0.57799999999999996</v>
          </cell>
          <cell r="N1179" t="str">
            <v>5W</v>
          </cell>
          <cell r="P1179" t="str">
            <v>PONFCS</v>
          </cell>
          <cell r="Q1179" t="str">
            <v>/  /</v>
          </cell>
        </row>
        <row r="1180">
          <cell r="A1180">
            <v>4040331</v>
          </cell>
          <cell r="B1180">
            <v>43852</v>
          </cell>
          <cell r="C1180" t="str">
            <v>PON</v>
          </cell>
          <cell r="D1180">
            <v>633728541</v>
          </cell>
          <cell r="E1180" t="str">
            <v>F20 PARALANE SQUARE 6.9 54M</v>
          </cell>
          <cell r="F1180">
            <v>1</v>
          </cell>
          <cell r="G1180">
            <v>0</v>
          </cell>
          <cell r="I1180" t="str">
            <v>IK144</v>
          </cell>
          <cell r="L1180">
            <v>25.4</v>
          </cell>
          <cell r="M1180">
            <v>0.53200000000000003</v>
          </cell>
          <cell r="N1180" t="str">
            <v>5W</v>
          </cell>
          <cell r="P1180" t="str">
            <v>PONFCS</v>
          </cell>
          <cell r="Q1180" t="str">
            <v>/  /</v>
          </cell>
        </row>
        <row r="1181">
          <cell r="A1181">
            <v>4086252</v>
          </cell>
          <cell r="B1181">
            <v>43852</v>
          </cell>
          <cell r="C1181" t="str">
            <v>PON</v>
          </cell>
          <cell r="D1181">
            <v>633728541</v>
          </cell>
          <cell r="E1181" t="str">
            <v>F20 PARALANE SQUARE 6.9 54M</v>
          </cell>
          <cell r="F1181">
            <v>1</v>
          </cell>
          <cell r="G1181">
            <v>0</v>
          </cell>
          <cell r="I1181" t="str">
            <v>IK144</v>
          </cell>
          <cell r="L1181">
            <v>25.4</v>
          </cell>
          <cell r="M1181">
            <v>0.53200000000000003</v>
          </cell>
          <cell r="N1181" t="str">
            <v>5W</v>
          </cell>
          <cell r="P1181" t="str">
            <v>PONFCS</v>
          </cell>
          <cell r="Q1181" t="str">
            <v>/  /</v>
          </cell>
        </row>
        <row r="1182">
          <cell r="A1182">
            <v>4087693</v>
          </cell>
          <cell r="B1182">
            <v>43852</v>
          </cell>
          <cell r="C1182" t="str">
            <v>PON</v>
          </cell>
          <cell r="D1182">
            <v>633728541</v>
          </cell>
          <cell r="E1182" t="str">
            <v>F20 PARALANE SQUARE 6.9 54M</v>
          </cell>
          <cell r="F1182">
            <v>1</v>
          </cell>
          <cell r="G1182">
            <v>0</v>
          </cell>
          <cell r="I1182" t="str">
            <v>IK144</v>
          </cell>
          <cell r="L1182">
            <v>25.4</v>
          </cell>
          <cell r="M1182">
            <v>0.53200000000000003</v>
          </cell>
          <cell r="N1182" t="str">
            <v>5W</v>
          </cell>
          <cell r="P1182" t="str">
            <v>PONFCS</v>
          </cell>
          <cell r="Q1182" t="str">
            <v>/  /</v>
          </cell>
        </row>
        <row r="1183">
          <cell r="A1183">
            <v>4089492</v>
          </cell>
          <cell r="B1183">
            <v>43852</v>
          </cell>
          <cell r="C1183" t="str">
            <v>PON</v>
          </cell>
          <cell r="D1183">
            <v>633728541</v>
          </cell>
          <cell r="E1183" t="str">
            <v>F20 PARALANE SQUARE 6.9 54M</v>
          </cell>
          <cell r="F1183">
            <v>1</v>
          </cell>
          <cell r="G1183">
            <v>0</v>
          </cell>
          <cell r="I1183" t="str">
            <v>IK144</v>
          </cell>
          <cell r="L1183">
            <v>25.4</v>
          </cell>
          <cell r="M1183">
            <v>0.53200000000000003</v>
          </cell>
          <cell r="N1183" t="str">
            <v>5W</v>
          </cell>
          <cell r="P1183" t="str">
            <v>PONFCS</v>
          </cell>
          <cell r="Q1183" t="str">
            <v>/  /</v>
          </cell>
        </row>
        <row r="1184">
          <cell r="A1184">
            <v>4573992</v>
          </cell>
          <cell r="B1184">
            <v>44172</v>
          </cell>
          <cell r="C1184" t="str">
            <v>PON</v>
          </cell>
          <cell r="D1184">
            <v>637518021</v>
          </cell>
          <cell r="E1184" t="str">
            <v>F20 Thron2 6.8 44M Grey</v>
          </cell>
          <cell r="F1184">
            <v>1</v>
          </cell>
          <cell r="G1184">
            <v>0</v>
          </cell>
          <cell r="I1184" t="str">
            <v>IK153</v>
          </cell>
          <cell r="L1184">
            <v>33</v>
          </cell>
          <cell r="M1184">
            <v>0.58099999999999996</v>
          </cell>
          <cell r="N1184" t="str">
            <v>5W</v>
          </cell>
          <cell r="P1184" t="str">
            <v>PONFCS</v>
          </cell>
          <cell r="Q1184" t="str">
            <v>/  /</v>
          </cell>
        </row>
        <row r="1185">
          <cell r="A1185">
            <v>4574002</v>
          </cell>
          <cell r="B1185">
            <v>44172</v>
          </cell>
          <cell r="C1185" t="str">
            <v>PON</v>
          </cell>
          <cell r="D1185">
            <v>637518116</v>
          </cell>
          <cell r="E1185" t="str">
            <v>F20 JAM2 6.8 NINE 42M BLUE BCH</v>
          </cell>
          <cell r="F1185">
            <v>1</v>
          </cell>
          <cell r="G1185">
            <v>0</v>
          </cell>
          <cell r="I1185" t="str">
            <v>IK153</v>
          </cell>
          <cell r="L1185">
            <v>32.700000000000003</v>
          </cell>
          <cell r="M1185">
            <v>0.57799999999999996</v>
          </cell>
          <cell r="N1185" t="str">
            <v>5W</v>
          </cell>
          <cell r="P1185" t="str">
            <v>PONFCS</v>
          </cell>
          <cell r="Q1185" t="str">
            <v>/  /</v>
          </cell>
        </row>
        <row r="1186">
          <cell r="A1186">
            <v>3975519</v>
          </cell>
          <cell r="B1186">
            <v>43803</v>
          </cell>
          <cell r="C1186" t="str">
            <v>PON</v>
          </cell>
          <cell r="D1186">
            <v>633618543</v>
          </cell>
          <cell r="E1186" t="str">
            <v>EBikeF19 P/Sqre 6.9 60XL Slv</v>
          </cell>
          <cell r="F1186">
            <v>1</v>
          </cell>
          <cell r="G1186">
            <v>0</v>
          </cell>
          <cell r="I1186" t="str">
            <v>IK154</v>
          </cell>
          <cell r="L1186">
            <v>25.9</v>
          </cell>
          <cell r="M1186">
            <v>0.58399999999999996</v>
          </cell>
          <cell r="N1186" t="str">
            <v>5W</v>
          </cell>
          <cell r="P1186" t="str">
            <v>PONFEB</v>
          </cell>
          <cell r="Q1186" t="str">
            <v>/  /</v>
          </cell>
        </row>
        <row r="1187">
          <cell r="A1187">
            <v>4086221</v>
          </cell>
          <cell r="B1187">
            <v>43803</v>
          </cell>
          <cell r="C1187" t="str">
            <v>PON</v>
          </cell>
          <cell r="D1187">
            <v>633618543</v>
          </cell>
          <cell r="E1187" t="str">
            <v>EBikeF19 P/Sqre 6.9 60XL Slv</v>
          </cell>
          <cell r="F1187">
            <v>1</v>
          </cell>
          <cell r="G1187">
            <v>0</v>
          </cell>
          <cell r="I1187" t="str">
            <v>IK154</v>
          </cell>
          <cell r="L1187">
            <v>25.9</v>
          </cell>
          <cell r="M1187">
            <v>0.58399999999999996</v>
          </cell>
          <cell r="N1187" t="str">
            <v>5W</v>
          </cell>
          <cell r="P1187" t="str">
            <v>PONFEB</v>
          </cell>
          <cell r="Q1187" t="str">
            <v>/  /</v>
          </cell>
        </row>
        <row r="1188">
          <cell r="A1188">
            <v>4087640</v>
          </cell>
          <cell r="B1188">
            <v>43803</v>
          </cell>
          <cell r="C1188" t="str">
            <v>PON</v>
          </cell>
          <cell r="D1188">
            <v>633618543</v>
          </cell>
          <cell r="E1188" t="str">
            <v>EBikeF19 P/Sqre 6.9 60XL Slv</v>
          </cell>
          <cell r="F1188">
            <v>1</v>
          </cell>
          <cell r="G1188">
            <v>0</v>
          </cell>
          <cell r="I1188" t="str">
            <v>IK154</v>
          </cell>
          <cell r="L1188">
            <v>25.9</v>
          </cell>
          <cell r="M1188">
            <v>0.58399999999999996</v>
          </cell>
          <cell r="N1188" t="str">
            <v>5W</v>
          </cell>
          <cell r="P1188" t="str">
            <v>PONFEB</v>
          </cell>
          <cell r="Q1188" t="str">
            <v>/  /</v>
          </cell>
        </row>
        <row r="1189">
          <cell r="A1189">
            <v>4089440</v>
          </cell>
          <cell r="B1189">
            <v>43803</v>
          </cell>
          <cell r="C1189" t="str">
            <v>PON</v>
          </cell>
          <cell r="D1189">
            <v>633618543</v>
          </cell>
          <cell r="E1189" t="str">
            <v>EBikeF19 P/Sqre 6.9 60XL Slv</v>
          </cell>
          <cell r="F1189">
            <v>1</v>
          </cell>
          <cell r="G1189">
            <v>0</v>
          </cell>
          <cell r="I1189" t="str">
            <v>IK154</v>
          </cell>
          <cell r="L1189">
            <v>25.9</v>
          </cell>
          <cell r="M1189">
            <v>0.58399999999999996</v>
          </cell>
          <cell r="N1189" t="str">
            <v>5W</v>
          </cell>
          <cell r="P1189" t="str">
            <v>PONFEB</v>
          </cell>
          <cell r="Q1189" t="str">
            <v>/  /</v>
          </cell>
        </row>
        <row r="1190">
          <cell r="A1190">
            <v>4166997</v>
          </cell>
          <cell r="B1190">
            <v>43913</v>
          </cell>
          <cell r="C1190" t="str">
            <v>PON</v>
          </cell>
          <cell r="D1190">
            <v>637618562</v>
          </cell>
          <cell r="E1190" t="str">
            <v>F20 Paralane Sqr 9.6 GC L</v>
          </cell>
          <cell r="F1190">
            <v>1</v>
          </cell>
          <cell r="G1190">
            <v>0</v>
          </cell>
          <cell r="I1190" t="str">
            <v>IK154</v>
          </cell>
          <cell r="L1190">
            <v>23.7</v>
          </cell>
          <cell r="M1190">
            <v>0.60299999999999998</v>
          </cell>
          <cell r="N1190" t="str">
            <v>5W</v>
          </cell>
          <cell r="P1190" t="str">
            <v>PONFCS</v>
          </cell>
          <cell r="Q1190" t="str">
            <v>/  /</v>
          </cell>
        </row>
        <row r="1191">
          <cell r="A1191">
            <v>4573996</v>
          </cell>
          <cell r="B1191">
            <v>44172</v>
          </cell>
          <cell r="C1191" t="str">
            <v>PON</v>
          </cell>
          <cell r="D1191">
            <v>637518107</v>
          </cell>
          <cell r="E1191" t="str">
            <v>F20 JAM2 6.8 NINE 45L BLK BSCH</v>
          </cell>
          <cell r="F1191">
            <v>1</v>
          </cell>
          <cell r="G1191">
            <v>0</v>
          </cell>
          <cell r="I1191" t="str">
            <v>IK163</v>
          </cell>
          <cell r="L1191">
            <v>32.799999999999997</v>
          </cell>
          <cell r="M1191">
            <v>0.58099999999999996</v>
          </cell>
          <cell r="N1191" t="str">
            <v>5W</v>
          </cell>
          <cell r="P1191" t="str">
            <v>PONFCS</v>
          </cell>
          <cell r="Q1191" t="str">
            <v>/  /</v>
          </cell>
        </row>
        <row r="1192">
          <cell r="A1192">
            <v>4574003</v>
          </cell>
          <cell r="B1192">
            <v>44172</v>
          </cell>
          <cell r="C1192" t="str">
            <v>PON</v>
          </cell>
          <cell r="D1192">
            <v>637518116</v>
          </cell>
          <cell r="E1192" t="str">
            <v>F20 JAM2 6.8 NINE 42M BLUE BCH</v>
          </cell>
          <cell r="F1192">
            <v>1</v>
          </cell>
          <cell r="G1192">
            <v>0</v>
          </cell>
          <cell r="I1192" t="str">
            <v>IK163</v>
          </cell>
          <cell r="L1192">
            <v>32.700000000000003</v>
          </cell>
          <cell r="M1192">
            <v>0.57799999999999996</v>
          </cell>
          <cell r="N1192" t="str">
            <v>5W</v>
          </cell>
          <cell r="P1192" t="str">
            <v>PONFCS</v>
          </cell>
          <cell r="Q1192" t="str">
            <v>/  /</v>
          </cell>
        </row>
        <row r="1193">
          <cell r="A1193">
            <v>4575020</v>
          </cell>
          <cell r="B1193">
            <v>44173</v>
          </cell>
          <cell r="C1193" t="str">
            <v>PON</v>
          </cell>
          <cell r="D1193">
            <v>637518012</v>
          </cell>
          <cell r="E1193" t="str">
            <v>F20 Thron2 6.8 47L Green</v>
          </cell>
          <cell r="F1193">
            <v>1</v>
          </cell>
          <cell r="G1193">
            <v>0</v>
          </cell>
          <cell r="I1193" t="str">
            <v>IK164</v>
          </cell>
          <cell r="L1193">
            <v>33</v>
          </cell>
          <cell r="M1193">
            <v>0.58099999999999996</v>
          </cell>
          <cell r="N1193" t="str">
            <v>5W</v>
          </cell>
          <cell r="P1193" t="str">
            <v>PONFCS</v>
          </cell>
          <cell r="Q1193" t="str">
            <v>/  /</v>
          </cell>
        </row>
        <row r="1194">
          <cell r="A1194">
            <v>4575021</v>
          </cell>
          <cell r="B1194">
            <v>44173</v>
          </cell>
          <cell r="C1194" t="str">
            <v>PON</v>
          </cell>
          <cell r="D1194">
            <v>637518012</v>
          </cell>
          <cell r="E1194" t="str">
            <v>F20 Thron2 6.8 47L Green</v>
          </cell>
          <cell r="F1194">
            <v>1</v>
          </cell>
          <cell r="G1194">
            <v>0</v>
          </cell>
          <cell r="I1194" t="str">
            <v>IK164</v>
          </cell>
          <cell r="L1194">
            <v>33</v>
          </cell>
          <cell r="M1194">
            <v>0.58099999999999996</v>
          </cell>
          <cell r="N1194" t="str">
            <v>5W</v>
          </cell>
          <cell r="P1194" t="str">
            <v>PONFCS</v>
          </cell>
          <cell r="Q1194" t="str">
            <v>/  /</v>
          </cell>
        </row>
        <row r="1195">
          <cell r="A1195">
            <v>4134927</v>
          </cell>
          <cell r="B1195">
            <v>43913</v>
          </cell>
          <cell r="C1195" t="str">
            <v>PON</v>
          </cell>
          <cell r="D1195">
            <v>637618562</v>
          </cell>
          <cell r="E1195" t="str">
            <v>F20 Paralane Sqr 9.6 GC L</v>
          </cell>
          <cell r="F1195">
            <v>1</v>
          </cell>
          <cell r="G1195">
            <v>0</v>
          </cell>
          <cell r="I1195" t="str">
            <v>IK164</v>
          </cell>
          <cell r="L1195">
            <v>23.7</v>
          </cell>
          <cell r="M1195">
            <v>0.60299999999999998</v>
          </cell>
          <cell r="N1195" t="str">
            <v>5W</v>
          </cell>
          <cell r="P1195" t="str">
            <v>PONFCS</v>
          </cell>
          <cell r="Q1195" t="str">
            <v>/  /</v>
          </cell>
        </row>
        <row r="1196">
          <cell r="A1196">
            <v>4465195</v>
          </cell>
          <cell r="B1196">
            <v>44112</v>
          </cell>
          <cell r="C1196" t="str">
            <v>PON</v>
          </cell>
          <cell r="D1196">
            <v>641073062</v>
          </cell>
          <cell r="E1196" t="str">
            <v>C21 P Series F/S Carbon/Blk 54</v>
          </cell>
          <cell r="F1196">
            <v>1</v>
          </cell>
          <cell r="G1196">
            <v>0</v>
          </cell>
          <cell r="I1196" t="str">
            <v>IL011</v>
          </cell>
          <cell r="L1196">
            <v>7.1</v>
          </cell>
          <cell r="M1196">
            <v>0.17899999999999999</v>
          </cell>
          <cell r="N1196" t="str">
            <v>5W</v>
          </cell>
          <cell r="P1196" t="str">
            <v>PONCVL</v>
          </cell>
          <cell r="Q1196" t="str">
            <v>/  /</v>
          </cell>
        </row>
        <row r="1197">
          <cell r="A1197">
            <v>4465199</v>
          </cell>
          <cell r="B1197">
            <v>44112</v>
          </cell>
          <cell r="C1197" t="str">
            <v>PON</v>
          </cell>
          <cell r="D1197">
            <v>641073067</v>
          </cell>
          <cell r="E1197" t="str">
            <v>C21 P Series F/S Chmeln Bl 51</v>
          </cell>
          <cell r="F1197">
            <v>1</v>
          </cell>
          <cell r="G1197">
            <v>0</v>
          </cell>
          <cell r="I1197" t="str">
            <v>IL011</v>
          </cell>
          <cell r="L1197">
            <v>7</v>
          </cell>
          <cell r="M1197">
            <v>0.17499999999999999</v>
          </cell>
          <cell r="N1197" t="str">
            <v>5W</v>
          </cell>
          <cell r="P1197" t="str">
            <v>PONCVL</v>
          </cell>
          <cell r="Q1197" t="str">
            <v>/  /</v>
          </cell>
        </row>
        <row r="1198">
          <cell r="A1198">
            <v>4465201</v>
          </cell>
          <cell r="B1198">
            <v>44112</v>
          </cell>
          <cell r="C1198" t="str">
            <v>PON</v>
          </cell>
          <cell r="D1198">
            <v>641073068</v>
          </cell>
          <cell r="E1198" t="str">
            <v>C21 P Series F/S Chmeln Bl 54</v>
          </cell>
          <cell r="F1198">
            <v>1</v>
          </cell>
          <cell r="G1198">
            <v>0</v>
          </cell>
          <cell r="I1198" t="str">
            <v>IL011</v>
          </cell>
          <cell r="L1198">
            <v>7</v>
          </cell>
          <cell r="M1198">
            <v>0.17899999999999999</v>
          </cell>
          <cell r="N1198" t="str">
            <v>5W</v>
          </cell>
          <cell r="P1198" t="str">
            <v>PONCVL</v>
          </cell>
          <cell r="Q1198" t="str">
            <v>/  /</v>
          </cell>
        </row>
        <row r="1199">
          <cell r="A1199">
            <v>4465223</v>
          </cell>
          <cell r="B1199">
            <v>44112</v>
          </cell>
          <cell r="C1199" t="str">
            <v>PON</v>
          </cell>
          <cell r="D1199">
            <v>641073124</v>
          </cell>
          <cell r="E1199" t="str">
            <v>C21 R5 D/FS Grn,Gold,White 56</v>
          </cell>
          <cell r="F1199">
            <v>1</v>
          </cell>
          <cell r="G1199">
            <v>0</v>
          </cell>
          <cell r="I1199" t="str">
            <v>IL011</v>
          </cell>
          <cell r="L1199">
            <v>6.4</v>
          </cell>
          <cell r="M1199">
            <v>0.17899999999999999</v>
          </cell>
          <cell r="N1199" t="str">
            <v>5W</v>
          </cell>
          <cell r="P1199" t="str">
            <v>PONCVL</v>
          </cell>
          <cell r="Q1199" t="str">
            <v>/  /</v>
          </cell>
        </row>
        <row r="1200">
          <cell r="A1200">
            <v>4465224</v>
          </cell>
          <cell r="B1200">
            <v>44112</v>
          </cell>
          <cell r="C1200" t="str">
            <v>PON</v>
          </cell>
          <cell r="D1200">
            <v>641073124</v>
          </cell>
          <cell r="E1200" t="str">
            <v>C21 R5 D/FS Grn,Gold,White 56</v>
          </cell>
          <cell r="F1200">
            <v>1</v>
          </cell>
          <cell r="G1200">
            <v>0</v>
          </cell>
          <cell r="I1200" t="str">
            <v>IL011</v>
          </cell>
          <cell r="L1200">
            <v>6.4</v>
          </cell>
          <cell r="M1200">
            <v>0.17899999999999999</v>
          </cell>
          <cell r="N1200" t="str">
            <v>5W</v>
          </cell>
          <cell r="P1200" t="str">
            <v>PONCVL</v>
          </cell>
          <cell r="Q1200" t="str">
            <v>/  /</v>
          </cell>
        </row>
        <row r="1201">
          <cell r="A1201">
            <v>4586943</v>
          </cell>
          <cell r="B1201">
            <v>44181</v>
          </cell>
          <cell r="C1201" t="str">
            <v>PON</v>
          </cell>
          <cell r="D1201">
            <v>641012325</v>
          </cell>
          <cell r="E1201" t="str">
            <v>F21 Mares 9.8 Xxl 60 Blu</v>
          </cell>
          <cell r="F1201">
            <v>1</v>
          </cell>
          <cell r="G1201">
            <v>0</v>
          </cell>
          <cell r="I1201" t="str">
            <v>IL012</v>
          </cell>
          <cell r="L1201">
            <v>12.8</v>
          </cell>
          <cell r="M1201">
            <v>0.33500000000000002</v>
          </cell>
          <cell r="N1201" t="str">
            <v>5W</v>
          </cell>
          <cell r="P1201" t="str">
            <v>PONFCS</v>
          </cell>
          <cell r="Q1201" t="str">
            <v>/  /</v>
          </cell>
        </row>
        <row r="1202">
          <cell r="A1202">
            <v>4632537</v>
          </cell>
          <cell r="B1202">
            <v>44217</v>
          </cell>
          <cell r="C1202" t="str">
            <v>PON</v>
          </cell>
          <cell r="D1202">
            <v>641078052</v>
          </cell>
          <cell r="E1202" t="str">
            <v>C21 Asp Grx Grey/Seabreeze 58</v>
          </cell>
          <cell r="F1202">
            <v>1</v>
          </cell>
          <cell r="G1202">
            <v>0</v>
          </cell>
          <cell r="I1202" t="str">
            <v>IL012</v>
          </cell>
          <cell r="L1202">
            <v>15.6</v>
          </cell>
          <cell r="M1202">
            <v>0.24399999999999999</v>
          </cell>
          <cell r="N1202" t="str">
            <v>5W</v>
          </cell>
          <cell r="P1202" t="str">
            <v>PONCVL</v>
          </cell>
          <cell r="Q1202" t="str">
            <v>/  /</v>
          </cell>
        </row>
        <row r="1203">
          <cell r="A1203">
            <v>4465492</v>
          </cell>
          <cell r="B1203">
            <v>44112</v>
          </cell>
          <cell r="C1203" t="str">
            <v>PON</v>
          </cell>
          <cell r="D1203">
            <v>641078167</v>
          </cell>
          <cell r="E1203" t="str">
            <v>C21 P Srs Ultegra Crbn/Blk 58</v>
          </cell>
          <cell r="F1203">
            <v>1</v>
          </cell>
          <cell r="G1203">
            <v>0</v>
          </cell>
          <cell r="I1203" t="str">
            <v>IL012</v>
          </cell>
          <cell r="L1203">
            <v>15.5</v>
          </cell>
          <cell r="M1203">
            <v>0.23300000000000001</v>
          </cell>
          <cell r="N1203" t="str">
            <v>5W</v>
          </cell>
          <cell r="P1203" t="str">
            <v>PONCVL</v>
          </cell>
          <cell r="Q1203" t="str">
            <v>/  /</v>
          </cell>
        </row>
        <row r="1204">
          <cell r="A1204">
            <v>4465493</v>
          </cell>
          <cell r="B1204">
            <v>44112</v>
          </cell>
          <cell r="C1204" t="str">
            <v>PON</v>
          </cell>
          <cell r="D1204">
            <v>641078167</v>
          </cell>
          <cell r="E1204" t="str">
            <v>C21 P Srs Ultegra Crbn/Blk 58</v>
          </cell>
          <cell r="F1204">
            <v>1</v>
          </cell>
          <cell r="G1204">
            <v>0</v>
          </cell>
          <cell r="I1204" t="str">
            <v>IL012</v>
          </cell>
          <cell r="L1204">
            <v>15.5</v>
          </cell>
          <cell r="M1204">
            <v>0.23300000000000001</v>
          </cell>
          <cell r="N1204" t="str">
            <v>5W</v>
          </cell>
          <cell r="P1204" t="str">
            <v>PONCVL</v>
          </cell>
          <cell r="Q1204" t="str">
            <v>/  /</v>
          </cell>
        </row>
        <row r="1205">
          <cell r="A1205">
            <v>4586944</v>
          </cell>
          <cell r="B1205">
            <v>44181</v>
          </cell>
          <cell r="C1205" t="str">
            <v>PON</v>
          </cell>
          <cell r="D1205">
            <v>641012325</v>
          </cell>
          <cell r="E1205" t="str">
            <v>F21 Mares 9.8 Xxl 60 Blu</v>
          </cell>
          <cell r="F1205">
            <v>1</v>
          </cell>
          <cell r="G1205">
            <v>0</v>
          </cell>
          <cell r="I1205" t="str">
            <v>IL021</v>
          </cell>
          <cell r="L1205">
            <v>12.8</v>
          </cell>
          <cell r="M1205">
            <v>0.33500000000000002</v>
          </cell>
          <cell r="N1205" t="str">
            <v>5W</v>
          </cell>
          <cell r="P1205" t="str">
            <v>PONFCS</v>
          </cell>
          <cell r="Q1205" t="str">
            <v>/  /</v>
          </cell>
        </row>
        <row r="1206">
          <cell r="A1206">
            <v>4465179</v>
          </cell>
          <cell r="B1206">
            <v>44112</v>
          </cell>
          <cell r="C1206" t="str">
            <v>PON</v>
          </cell>
          <cell r="D1206">
            <v>641073052</v>
          </cell>
          <cell r="E1206" t="str">
            <v>C21 Cal 5 F/Set Red/White 58</v>
          </cell>
          <cell r="F1206">
            <v>1</v>
          </cell>
          <cell r="G1206">
            <v>0</v>
          </cell>
          <cell r="I1206" t="str">
            <v>IL021</v>
          </cell>
          <cell r="L1206">
            <v>7.2</v>
          </cell>
          <cell r="M1206">
            <v>0.17899999999999999</v>
          </cell>
          <cell r="N1206" t="str">
            <v>5W</v>
          </cell>
          <cell r="P1206" t="str">
            <v>PONCVL</v>
          </cell>
          <cell r="Q1206" t="str">
            <v>/  /</v>
          </cell>
        </row>
        <row r="1207">
          <cell r="A1207">
            <v>4632539</v>
          </cell>
          <cell r="B1207">
            <v>44217</v>
          </cell>
          <cell r="C1207" t="str">
            <v>PON</v>
          </cell>
          <cell r="D1207">
            <v>641078053</v>
          </cell>
          <cell r="E1207" t="str">
            <v>C21 Asp Grx Grey/Seabreeze 61</v>
          </cell>
          <cell r="F1207">
            <v>1</v>
          </cell>
          <cell r="G1207">
            <v>0</v>
          </cell>
          <cell r="I1207" t="str">
            <v>IL021</v>
          </cell>
          <cell r="L1207">
            <v>15.9</v>
          </cell>
          <cell r="M1207">
            <v>0.248</v>
          </cell>
          <cell r="N1207" t="str">
            <v>5W</v>
          </cell>
          <cell r="P1207" t="str">
            <v>PONCVL</v>
          </cell>
          <cell r="Q1207" t="str">
            <v>/  /</v>
          </cell>
        </row>
        <row r="1208">
          <cell r="A1208">
            <v>4632581</v>
          </cell>
          <cell r="B1208">
            <v>44217</v>
          </cell>
          <cell r="C1208" t="str">
            <v>PON</v>
          </cell>
          <cell r="D1208">
            <v>641078062</v>
          </cell>
          <cell r="E1208" t="str">
            <v>C21 Aspero GRX Seabreeze/Blu54</v>
          </cell>
          <cell r="F1208">
            <v>1</v>
          </cell>
          <cell r="G1208">
            <v>0</v>
          </cell>
          <cell r="I1208" t="str">
            <v>IL021</v>
          </cell>
          <cell r="L1208">
            <v>14.5</v>
          </cell>
          <cell r="M1208">
            <v>0.23200000000000001</v>
          </cell>
          <cell r="N1208" t="str">
            <v>5W</v>
          </cell>
          <cell r="P1208" t="str">
            <v>PONCVL</v>
          </cell>
          <cell r="Q1208" t="str">
            <v>/  /</v>
          </cell>
        </row>
        <row r="1209">
          <cell r="A1209">
            <v>3994423</v>
          </cell>
          <cell r="B1209">
            <v>43811</v>
          </cell>
          <cell r="C1209" t="str">
            <v>PON</v>
          </cell>
          <cell r="D1209">
            <v>633078201</v>
          </cell>
          <cell r="E1209" t="str">
            <v>CV C19S5 DscDADi2 51CMBGph/Wh</v>
          </cell>
          <cell r="F1209">
            <v>1</v>
          </cell>
          <cell r="G1209">
            <v>0</v>
          </cell>
          <cell r="I1209" t="str">
            <v>IL022</v>
          </cell>
          <cell r="L1209">
            <v>13</v>
          </cell>
          <cell r="M1209">
            <v>0.24399999999999999</v>
          </cell>
          <cell r="N1209" t="str">
            <v>5W</v>
          </cell>
          <cell r="P1209" t="str">
            <v>PONCVL</v>
          </cell>
          <cell r="Q1209" t="str">
            <v>/  /</v>
          </cell>
        </row>
        <row r="1210">
          <cell r="A1210">
            <v>4632595</v>
          </cell>
          <cell r="B1210">
            <v>44217</v>
          </cell>
          <cell r="C1210" t="str">
            <v>PON</v>
          </cell>
          <cell r="D1210">
            <v>641078065</v>
          </cell>
          <cell r="E1210" t="str">
            <v>C21 Aspero GRX Seabreeze/Blu61</v>
          </cell>
          <cell r="F1210">
            <v>1</v>
          </cell>
          <cell r="G1210">
            <v>0</v>
          </cell>
          <cell r="I1210" t="str">
            <v>IL022</v>
          </cell>
          <cell r="L1210">
            <v>15.2</v>
          </cell>
          <cell r="M1210">
            <v>0.23200000000000001</v>
          </cell>
          <cell r="N1210" t="str">
            <v>5W</v>
          </cell>
          <cell r="P1210" t="str">
            <v>PONCVL</v>
          </cell>
          <cell r="Q1210" t="str">
            <v>/  /</v>
          </cell>
        </row>
        <row r="1211">
          <cell r="A1211">
            <v>4465499</v>
          </cell>
          <cell r="B1211">
            <v>44112</v>
          </cell>
          <cell r="C1211" t="str">
            <v>PON</v>
          </cell>
          <cell r="D1211">
            <v>641078170</v>
          </cell>
          <cell r="E1211" t="str">
            <v>C21 P/Srs Ult Chmelon Blue 51</v>
          </cell>
          <cell r="F1211">
            <v>1</v>
          </cell>
          <cell r="G1211">
            <v>0</v>
          </cell>
          <cell r="I1211" t="str">
            <v>IL022</v>
          </cell>
          <cell r="L1211">
            <v>15.3</v>
          </cell>
          <cell r="M1211">
            <v>0.23300000000000001</v>
          </cell>
          <cell r="N1211" t="str">
            <v>5W</v>
          </cell>
          <cell r="P1211" t="str">
            <v>PONCVL</v>
          </cell>
          <cell r="Q1211" t="str">
            <v>/  /</v>
          </cell>
        </row>
        <row r="1212">
          <cell r="A1212">
            <v>4465500</v>
          </cell>
          <cell r="B1212">
            <v>44112</v>
          </cell>
          <cell r="C1212" t="str">
            <v>PON</v>
          </cell>
          <cell r="D1212">
            <v>641078170</v>
          </cell>
          <cell r="E1212" t="str">
            <v>C21 P/Srs Ult Chmelon Blue 51</v>
          </cell>
          <cell r="F1212">
            <v>1</v>
          </cell>
          <cell r="G1212">
            <v>0</v>
          </cell>
          <cell r="I1212" t="str">
            <v>IL022</v>
          </cell>
          <cell r="L1212">
            <v>15.3</v>
          </cell>
          <cell r="M1212">
            <v>0.23300000000000001</v>
          </cell>
          <cell r="N1212" t="str">
            <v>5W</v>
          </cell>
          <cell r="P1212" t="str">
            <v>PONCVL</v>
          </cell>
          <cell r="Q1212" t="str">
            <v>/  /</v>
          </cell>
        </row>
        <row r="1213">
          <cell r="A1213">
            <v>4465165</v>
          </cell>
          <cell r="B1213">
            <v>44112</v>
          </cell>
          <cell r="C1213" t="str">
            <v>PON</v>
          </cell>
          <cell r="D1213">
            <v>641073045</v>
          </cell>
          <cell r="E1213" t="str">
            <v>C21 Cal 5 F/Set Purple Crbn 56</v>
          </cell>
          <cell r="F1213">
            <v>1</v>
          </cell>
          <cell r="G1213">
            <v>0</v>
          </cell>
          <cell r="I1213" t="str">
            <v>IL031</v>
          </cell>
          <cell r="L1213">
            <v>7.1</v>
          </cell>
          <cell r="M1213">
            <v>0.17899999999999999</v>
          </cell>
          <cell r="N1213" t="str">
            <v>5W</v>
          </cell>
          <cell r="P1213" t="str">
            <v>PONCVL</v>
          </cell>
          <cell r="Q1213" t="str">
            <v>/  /</v>
          </cell>
        </row>
        <row r="1214">
          <cell r="A1214">
            <v>4465174</v>
          </cell>
          <cell r="B1214">
            <v>44112</v>
          </cell>
          <cell r="C1214" t="str">
            <v>PON</v>
          </cell>
          <cell r="D1214">
            <v>641073050</v>
          </cell>
          <cell r="E1214" t="str">
            <v>C21 Cal 5 F/Set Red/White 54</v>
          </cell>
          <cell r="F1214">
            <v>1</v>
          </cell>
          <cell r="G1214">
            <v>0</v>
          </cell>
          <cell r="I1214" t="str">
            <v>IL031</v>
          </cell>
          <cell r="L1214">
            <v>7.1</v>
          </cell>
          <cell r="M1214">
            <v>0.17899999999999999</v>
          </cell>
          <cell r="N1214" t="str">
            <v>5W</v>
          </cell>
          <cell r="P1214" t="str">
            <v>PONCVL</v>
          </cell>
          <cell r="Q1214" t="str">
            <v>/  /</v>
          </cell>
        </row>
        <row r="1215">
          <cell r="A1215">
            <v>4465176</v>
          </cell>
          <cell r="B1215">
            <v>44112</v>
          </cell>
          <cell r="C1215" t="str">
            <v>PON</v>
          </cell>
          <cell r="D1215">
            <v>641073051</v>
          </cell>
          <cell r="E1215" t="str">
            <v>C21 Cal 5 F/Set Red/White 56</v>
          </cell>
          <cell r="F1215">
            <v>1</v>
          </cell>
          <cell r="G1215">
            <v>0</v>
          </cell>
          <cell r="I1215" t="str">
            <v>IL031</v>
          </cell>
          <cell r="L1215">
            <v>7.1</v>
          </cell>
          <cell r="M1215">
            <v>0.17699999999999999</v>
          </cell>
          <cell r="N1215" t="str">
            <v>5W</v>
          </cell>
          <cell r="P1215" t="str">
            <v>PONCVL</v>
          </cell>
          <cell r="Q1215" t="str">
            <v>/  /</v>
          </cell>
        </row>
        <row r="1216">
          <cell r="A1216">
            <v>4465177</v>
          </cell>
          <cell r="B1216">
            <v>44112</v>
          </cell>
          <cell r="C1216" t="str">
            <v>PON</v>
          </cell>
          <cell r="D1216">
            <v>641073051</v>
          </cell>
          <cell r="E1216" t="str">
            <v>C21 Cal 5 F/Set Red/White 56</v>
          </cell>
          <cell r="F1216">
            <v>1</v>
          </cell>
          <cell r="G1216">
            <v>0</v>
          </cell>
          <cell r="I1216" t="str">
            <v>IL031</v>
          </cell>
          <cell r="L1216">
            <v>7.1</v>
          </cell>
          <cell r="M1216">
            <v>0.17699999999999999</v>
          </cell>
          <cell r="N1216" t="str">
            <v>5W</v>
          </cell>
          <cell r="P1216" t="str">
            <v>PONCVL</v>
          </cell>
          <cell r="Q1216" t="str">
            <v>/  /</v>
          </cell>
        </row>
        <row r="1217">
          <cell r="A1217">
            <v>4465514</v>
          </cell>
          <cell r="B1217">
            <v>44112</v>
          </cell>
          <cell r="C1217" t="str">
            <v>PON</v>
          </cell>
          <cell r="D1217">
            <v>641078173</v>
          </cell>
          <cell r="E1217" t="str">
            <v>C21 P/Srs Ult Chmelon Blue 58</v>
          </cell>
          <cell r="F1217">
            <v>1</v>
          </cell>
          <cell r="G1217">
            <v>0</v>
          </cell>
          <cell r="I1217" t="str">
            <v>IL032</v>
          </cell>
          <cell r="L1217">
            <v>15.4</v>
          </cell>
          <cell r="M1217">
            <v>0.24399999999999999</v>
          </cell>
          <cell r="N1217" t="str">
            <v>5W</v>
          </cell>
          <cell r="P1217" t="str">
            <v>PONCVL</v>
          </cell>
          <cell r="Q1217" t="str">
            <v>/  /</v>
          </cell>
        </row>
        <row r="1218">
          <cell r="A1218">
            <v>4465170</v>
          </cell>
          <cell r="B1218">
            <v>44112</v>
          </cell>
          <cell r="C1218" t="str">
            <v>PON</v>
          </cell>
          <cell r="D1218">
            <v>641073049</v>
          </cell>
          <cell r="E1218" t="str">
            <v>C21 Cal 5 F/Set Red/White 51</v>
          </cell>
          <cell r="F1218">
            <v>1</v>
          </cell>
          <cell r="G1218">
            <v>0</v>
          </cell>
          <cell r="I1218" t="str">
            <v>IL041</v>
          </cell>
          <cell r="L1218">
            <v>7.1</v>
          </cell>
          <cell r="M1218">
            <v>0.17899999999999999</v>
          </cell>
          <cell r="N1218" t="str">
            <v>5W</v>
          </cell>
          <cell r="P1218" t="str">
            <v>PONCVL</v>
          </cell>
          <cell r="Q1218" t="str">
            <v>/  /</v>
          </cell>
        </row>
        <row r="1219">
          <cell r="A1219">
            <v>4465205</v>
          </cell>
          <cell r="B1219">
            <v>44112</v>
          </cell>
          <cell r="C1219" t="str">
            <v>PON</v>
          </cell>
          <cell r="D1219">
            <v>641073083</v>
          </cell>
          <cell r="E1219" t="str">
            <v>C21 P5 D/FS Orange Chmelon 48</v>
          </cell>
          <cell r="F1219">
            <v>1</v>
          </cell>
          <cell r="G1219">
            <v>0</v>
          </cell>
          <cell r="I1219" t="str">
            <v>IL041</v>
          </cell>
          <cell r="L1219">
            <v>8.1</v>
          </cell>
          <cell r="M1219">
            <v>0.17899999999999999</v>
          </cell>
          <cell r="N1219" t="str">
            <v>5W</v>
          </cell>
          <cell r="P1219" t="str">
            <v>PONCVL</v>
          </cell>
          <cell r="Q1219" t="str">
            <v>/  /</v>
          </cell>
        </row>
        <row r="1220">
          <cell r="A1220">
            <v>4632616</v>
          </cell>
          <cell r="B1220">
            <v>44217</v>
          </cell>
          <cell r="C1220" t="str">
            <v>PON</v>
          </cell>
          <cell r="D1220">
            <v>641078243</v>
          </cell>
          <cell r="E1220" t="str">
            <v>C21 R5 Disc D/A Grn/Gld/Wht 54</v>
          </cell>
          <cell r="F1220">
            <v>1</v>
          </cell>
          <cell r="G1220">
            <v>0</v>
          </cell>
          <cell r="I1220" t="str">
            <v>IL041</v>
          </cell>
          <cell r="L1220">
            <v>13</v>
          </cell>
          <cell r="M1220">
            <v>0.28100000000000003</v>
          </cell>
          <cell r="N1220" t="str">
            <v>5W</v>
          </cell>
          <cell r="P1220" t="str">
            <v>PONCVL</v>
          </cell>
          <cell r="Q1220" t="str">
            <v>/  /</v>
          </cell>
        </row>
        <row r="1221">
          <cell r="A1221">
            <v>4632617</v>
          </cell>
          <cell r="B1221">
            <v>44217</v>
          </cell>
          <cell r="C1221" t="str">
            <v>PON</v>
          </cell>
          <cell r="D1221">
            <v>641078243</v>
          </cell>
          <cell r="E1221" t="str">
            <v>C21 R5 Disc D/A Grn/Gld/Wht 54</v>
          </cell>
          <cell r="F1221">
            <v>1</v>
          </cell>
          <cell r="G1221">
            <v>0</v>
          </cell>
          <cell r="I1221" t="str">
            <v>IL041</v>
          </cell>
          <cell r="L1221">
            <v>13</v>
          </cell>
          <cell r="M1221">
            <v>0.28100000000000003</v>
          </cell>
          <cell r="N1221" t="str">
            <v>5W</v>
          </cell>
          <cell r="P1221" t="str">
            <v>PONCVL</v>
          </cell>
          <cell r="Q1221" t="str">
            <v>/  /</v>
          </cell>
        </row>
        <row r="1222">
          <cell r="A1222">
            <v>4632618</v>
          </cell>
          <cell r="B1222">
            <v>44217</v>
          </cell>
          <cell r="C1222" t="str">
            <v>PON</v>
          </cell>
          <cell r="D1222">
            <v>641078243</v>
          </cell>
          <cell r="E1222" t="str">
            <v>C21 R5 Disc D/A Grn/Gld/Wht 54</v>
          </cell>
          <cell r="F1222">
            <v>1</v>
          </cell>
          <cell r="G1222">
            <v>0</v>
          </cell>
          <cell r="I1222" t="str">
            <v>IL041</v>
          </cell>
          <cell r="L1222">
            <v>13</v>
          </cell>
          <cell r="M1222">
            <v>0.28100000000000003</v>
          </cell>
          <cell r="N1222" t="str">
            <v>5W</v>
          </cell>
          <cell r="P1222" t="str">
            <v>PONCVL</v>
          </cell>
          <cell r="Q1222" t="str">
            <v>/  /</v>
          </cell>
        </row>
        <row r="1223">
          <cell r="A1223">
            <v>4632619</v>
          </cell>
          <cell r="B1223">
            <v>44217</v>
          </cell>
          <cell r="C1223" t="str">
            <v>PON</v>
          </cell>
          <cell r="D1223">
            <v>641078243</v>
          </cell>
          <cell r="E1223" t="str">
            <v>C21 R5 Disc D/A Grn/Gld/Wht 54</v>
          </cell>
          <cell r="F1223">
            <v>1</v>
          </cell>
          <cell r="G1223">
            <v>0</v>
          </cell>
          <cell r="I1223" t="str">
            <v>IL041</v>
          </cell>
          <cell r="L1223">
            <v>13</v>
          </cell>
          <cell r="M1223">
            <v>0.28100000000000003</v>
          </cell>
          <cell r="N1223" t="str">
            <v>5W</v>
          </cell>
          <cell r="P1223" t="str">
            <v>PONCVL</v>
          </cell>
          <cell r="Q1223" t="str">
            <v>/  /</v>
          </cell>
        </row>
        <row r="1224">
          <cell r="A1224">
            <v>3925645</v>
          </cell>
          <cell r="B1224">
            <v>43775</v>
          </cell>
          <cell r="C1224" t="str">
            <v>PON</v>
          </cell>
          <cell r="D1224">
            <v>633078041</v>
          </cell>
          <cell r="E1224" t="str">
            <v>CV C19R5 DscDA Di2 51CMBlk/Gph</v>
          </cell>
          <cell r="F1224">
            <v>1</v>
          </cell>
          <cell r="G1224">
            <v>0</v>
          </cell>
          <cell r="I1224" t="str">
            <v>IL042</v>
          </cell>
          <cell r="L1224">
            <v>12.6</v>
          </cell>
          <cell r="M1224">
            <v>0.215</v>
          </cell>
          <cell r="N1224" t="str">
            <v>5W</v>
          </cell>
          <cell r="P1224" t="str">
            <v>PONCVL</v>
          </cell>
          <cell r="Q1224" t="str">
            <v>/  /</v>
          </cell>
        </row>
        <row r="1225">
          <cell r="A1225">
            <v>4632554</v>
          </cell>
          <cell r="B1225">
            <v>44217</v>
          </cell>
          <cell r="C1225" t="str">
            <v>PON</v>
          </cell>
          <cell r="D1225">
            <v>641078056</v>
          </cell>
          <cell r="E1225" t="str">
            <v>C21 Aspero GRX Black/Gold 54</v>
          </cell>
          <cell r="F1225">
            <v>1</v>
          </cell>
          <cell r="G1225">
            <v>0</v>
          </cell>
          <cell r="I1225" t="str">
            <v>IL042</v>
          </cell>
          <cell r="L1225">
            <v>14.6</v>
          </cell>
          <cell r="M1225">
            <v>0.23300000000000001</v>
          </cell>
          <cell r="N1225" t="str">
            <v>5W</v>
          </cell>
          <cell r="P1225" t="str">
            <v>PONCVL</v>
          </cell>
          <cell r="Q1225" t="str">
            <v>/  /</v>
          </cell>
        </row>
        <row r="1226">
          <cell r="A1226">
            <v>4632555</v>
          </cell>
          <cell r="B1226">
            <v>44217</v>
          </cell>
          <cell r="C1226" t="str">
            <v>PON</v>
          </cell>
          <cell r="D1226">
            <v>641078056</v>
          </cell>
          <cell r="E1226" t="str">
            <v>C21 Aspero GRX Black/Gold 54</v>
          </cell>
          <cell r="F1226">
            <v>1</v>
          </cell>
          <cell r="G1226">
            <v>0</v>
          </cell>
          <cell r="I1226" t="str">
            <v>IL042</v>
          </cell>
          <cell r="L1226">
            <v>14.6</v>
          </cell>
          <cell r="M1226">
            <v>0.23300000000000001</v>
          </cell>
          <cell r="N1226" t="str">
            <v>5W</v>
          </cell>
          <cell r="P1226" t="str">
            <v>PONCVL</v>
          </cell>
          <cell r="Q1226" t="str">
            <v>/  /</v>
          </cell>
        </row>
        <row r="1227">
          <cell r="A1227">
            <v>4465468</v>
          </cell>
          <cell r="B1227">
            <v>44112</v>
          </cell>
          <cell r="C1227" t="str">
            <v>PON</v>
          </cell>
          <cell r="D1227">
            <v>641078154</v>
          </cell>
          <cell r="E1227" t="str">
            <v>C21 P Srs 105 Chameleon Blu 58</v>
          </cell>
          <cell r="F1227">
            <v>1</v>
          </cell>
          <cell r="G1227">
            <v>0</v>
          </cell>
          <cell r="I1227" t="str">
            <v>IL042</v>
          </cell>
          <cell r="L1227">
            <v>15.5</v>
          </cell>
          <cell r="M1227">
            <v>0.23499999999999999</v>
          </cell>
          <cell r="N1227" t="str">
            <v>5W</v>
          </cell>
          <cell r="P1227" t="str">
            <v>PONCVL</v>
          </cell>
          <cell r="Q1227" t="str">
            <v>/  /</v>
          </cell>
        </row>
        <row r="1228">
          <cell r="A1228">
            <v>4632643</v>
          </cell>
          <cell r="B1228">
            <v>44217</v>
          </cell>
          <cell r="C1228" t="str">
            <v>PON</v>
          </cell>
          <cell r="D1228">
            <v>641078273</v>
          </cell>
          <cell r="E1228" t="str">
            <v>C21 S/Srs D/U Gry,Slvr,Gry 54</v>
          </cell>
          <cell r="F1228">
            <v>1</v>
          </cell>
          <cell r="G1228">
            <v>0</v>
          </cell>
          <cell r="I1228" t="str">
            <v>IL042</v>
          </cell>
          <cell r="L1228">
            <v>14</v>
          </cell>
          <cell r="M1228">
            <v>0.23200000000000001</v>
          </cell>
          <cell r="N1228" t="str">
            <v>5W</v>
          </cell>
          <cell r="P1228" t="str">
            <v>PONCVL</v>
          </cell>
          <cell r="Q1228" t="str">
            <v>/  /</v>
          </cell>
        </row>
        <row r="1229">
          <cell r="A1229">
            <v>4465182</v>
          </cell>
          <cell r="B1229">
            <v>44112</v>
          </cell>
          <cell r="C1229" t="str">
            <v>PON</v>
          </cell>
          <cell r="D1229">
            <v>641073055</v>
          </cell>
          <cell r="E1229" t="str">
            <v>C21 Cal 5 F/Set Silver/Blck 51</v>
          </cell>
          <cell r="F1229">
            <v>1</v>
          </cell>
          <cell r="G1229">
            <v>0</v>
          </cell>
          <cell r="I1229" t="str">
            <v>IL051</v>
          </cell>
          <cell r="L1229">
            <v>7.1</v>
          </cell>
          <cell r="M1229">
            <v>0.17899999999999999</v>
          </cell>
          <cell r="N1229" t="str">
            <v>5W</v>
          </cell>
          <cell r="P1229" t="str">
            <v>PONCVL</v>
          </cell>
          <cell r="Q1229" t="str">
            <v>/  /</v>
          </cell>
        </row>
        <row r="1230">
          <cell r="A1230">
            <v>4465189</v>
          </cell>
          <cell r="B1230">
            <v>44112</v>
          </cell>
          <cell r="C1230" t="str">
            <v>PON</v>
          </cell>
          <cell r="D1230">
            <v>641073057</v>
          </cell>
          <cell r="E1230" t="str">
            <v>C21 Cal 5 F/Set Silver/Blck 56</v>
          </cell>
          <cell r="F1230">
            <v>1</v>
          </cell>
          <cell r="G1230">
            <v>0</v>
          </cell>
          <cell r="I1230" t="str">
            <v>IL051</v>
          </cell>
          <cell r="L1230">
            <v>7.1</v>
          </cell>
          <cell r="M1230">
            <v>0.17699999999999999</v>
          </cell>
          <cell r="N1230" t="str">
            <v>5W</v>
          </cell>
          <cell r="P1230" t="str">
            <v>PONCVL</v>
          </cell>
          <cell r="Q1230" t="str">
            <v>/  /</v>
          </cell>
        </row>
        <row r="1231">
          <cell r="A1231">
            <v>4465184</v>
          </cell>
          <cell r="B1231">
            <v>44112</v>
          </cell>
          <cell r="C1231" t="str">
            <v>PON</v>
          </cell>
          <cell r="D1231">
            <v>641073056</v>
          </cell>
          <cell r="E1231" t="str">
            <v>C21 Cal 5 F/Set Silver/Blck 54</v>
          </cell>
          <cell r="F1231">
            <v>1</v>
          </cell>
          <cell r="G1231">
            <v>0</v>
          </cell>
          <cell r="I1231" t="str">
            <v>IL061</v>
          </cell>
          <cell r="L1231">
            <v>7.1</v>
          </cell>
          <cell r="M1231">
            <v>0.17899999999999999</v>
          </cell>
          <cell r="N1231" t="str">
            <v>5W</v>
          </cell>
          <cell r="P1231" t="str">
            <v>PONCVL</v>
          </cell>
          <cell r="Q1231" t="str">
            <v>/  /</v>
          </cell>
        </row>
        <row r="1232">
          <cell r="A1232">
            <v>4465185</v>
          </cell>
          <cell r="B1232">
            <v>44112</v>
          </cell>
          <cell r="C1232" t="str">
            <v>PON</v>
          </cell>
          <cell r="D1232">
            <v>641073056</v>
          </cell>
          <cell r="E1232" t="str">
            <v>C21 Cal 5 F/Set Silver/Blck 54</v>
          </cell>
          <cell r="F1232">
            <v>1</v>
          </cell>
          <cell r="G1232">
            <v>0</v>
          </cell>
          <cell r="I1232" t="str">
            <v>IL061</v>
          </cell>
          <cell r="L1232">
            <v>7.1</v>
          </cell>
          <cell r="M1232">
            <v>0.17899999999999999</v>
          </cell>
          <cell r="N1232" t="str">
            <v>5W</v>
          </cell>
          <cell r="P1232" t="str">
            <v>PONCVL</v>
          </cell>
          <cell r="Q1232" t="str">
            <v>/  /</v>
          </cell>
        </row>
        <row r="1233">
          <cell r="A1233">
            <v>4465186</v>
          </cell>
          <cell r="B1233">
            <v>44112</v>
          </cell>
          <cell r="C1233" t="str">
            <v>PON</v>
          </cell>
          <cell r="D1233">
            <v>641073056</v>
          </cell>
          <cell r="E1233" t="str">
            <v>C21 Cal 5 F/Set Silver/Blck 54</v>
          </cell>
          <cell r="F1233">
            <v>1</v>
          </cell>
          <cell r="G1233">
            <v>0</v>
          </cell>
          <cell r="I1233" t="str">
            <v>IL061</v>
          </cell>
          <cell r="L1233">
            <v>7.1</v>
          </cell>
          <cell r="M1233">
            <v>0.17899999999999999</v>
          </cell>
          <cell r="N1233" t="str">
            <v>5W</v>
          </cell>
          <cell r="P1233" t="str">
            <v>PONCVL</v>
          </cell>
          <cell r="Q1233" t="str">
            <v>/  /</v>
          </cell>
        </row>
        <row r="1234">
          <cell r="A1234">
            <v>4465203</v>
          </cell>
          <cell r="B1234">
            <v>44112</v>
          </cell>
          <cell r="C1234" t="str">
            <v>PON</v>
          </cell>
          <cell r="D1234">
            <v>641073069</v>
          </cell>
          <cell r="E1234" t="str">
            <v>C21 P Series F/S Chmeln Bl 56</v>
          </cell>
          <cell r="F1234">
            <v>1</v>
          </cell>
          <cell r="G1234">
            <v>0</v>
          </cell>
          <cell r="I1234" t="str">
            <v>IL061</v>
          </cell>
          <cell r="L1234">
            <v>7</v>
          </cell>
          <cell r="M1234">
            <v>0.17699999999999999</v>
          </cell>
          <cell r="N1234" t="str">
            <v>5W</v>
          </cell>
          <cell r="P1234" t="str">
            <v>PONCVL</v>
          </cell>
          <cell r="Q1234" t="str">
            <v>/  /</v>
          </cell>
        </row>
        <row r="1235">
          <cell r="A1235">
            <v>4465141</v>
          </cell>
          <cell r="B1235">
            <v>44112</v>
          </cell>
          <cell r="C1235" t="str">
            <v>PON</v>
          </cell>
          <cell r="D1235">
            <v>641073043</v>
          </cell>
          <cell r="E1235" t="str">
            <v>C21 Cal 5 F/Set Purple Crbn 51</v>
          </cell>
          <cell r="F1235">
            <v>1</v>
          </cell>
          <cell r="G1235">
            <v>0</v>
          </cell>
          <cell r="I1235" t="str">
            <v>IL071</v>
          </cell>
          <cell r="L1235">
            <v>7</v>
          </cell>
          <cell r="M1235">
            <v>0.17100000000000001</v>
          </cell>
          <cell r="N1235" t="str">
            <v>5W</v>
          </cell>
          <cell r="P1235" t="str">
            <v>PONCVL</v>
          </cell>
          <cell r="Q1235" t="str">
            <v>/  /</v>
          </cell>
        </row>
        <row r="1236">
          <cell r="A1236">
            <v>4465142</v>
          </cell>
          <cell r="B1236">
            <v>44112</v>
          </cell>
          <cell r="C1236" t="str">
            <v>PON</v>
          </cell>
          <cell r="D1236">
            <v>641073043</v>
          </cell>
          <cell r="E1236" t="str">
            <v>C21 Cal 5 F/Set Purple Crbn 51</v>
          </cell>
          <cell r="F1236">
            <v>1</v>
          </cell>
          <cell r="G1236">
            <v>0</v>
          </cell>
          <cell r="I1236" t="str">
            <v>IL071</v>
          </cell>
          <cell r="L1236">
            <v>7</v>
          </cell>
          <cell r="M1236">
            <v>0.17100000000000001</v>
          </cell>
          <cell r="N1236" t="str">
            <v>5W</v>
          </cell>
          <cell r="P1236" t="str">
            <v>PONCVL</v>
          </cell>
          <cell r="Q1236" t="str">
            <v>/  /</v>
          </cell>
        </row>
        <row r="1237">
          <cell r="A1237">
            <v>4465193</v>
          </cell>
          <cell r="B1237">
            <v>44112</v>
          </cell>
          <cell r="C1237" t="str">
            <v>PON</v>
          </cell>
          <cell r="D1237">
            <v>641073061</v>
          </cell>
          <cell r="E1237" t="str">
            <v>C21 P Series F/S Carbon/Blk 51</v>
          </cell>
          <cell r="F1237">
            <v>1</v>
          </cell>
          <cell r="G1237">
            <v>0</v>
          </cell>
          <cell r="I1237" t="str">
            <v>IL071</v>
          </cell>
          <cell r="L1237">
            <v>7</v>
          </cell>
          <cell r="M1237">
            <v>0.17899999999999999</v>
          </cell>
          <cell r="N1237" t="str">
            <v>5W</v>
          </cell>
          <cell r="P1237" t="str">
            <v>PONCVL</v>
          </cell>
          <cell r="Q1237" t="str">
            <v>/  /</v>
          </cell>
        </row>
        <row r="1238">
          <cell r="A1238">
            <v>4465197</v>
          </cell>
          <cell r="B1238">
            <v>44112</v>
          </cell>
          <cell r="C1238" t="str">
            <v>PON</v>
          </cell>
          <cell r="D1238">
            <v>641073063</v>
          </cell>
          <cell r="E1238" t="str">
            <v>C21 P Series F/S Carbon/Blk 56</v>
          </cell>
          <cell r="F1238">
            <v>1</v>
          </cell>
          <cell r="G1238">
            <v>0</v>
          </cell>
          <cell r="I1238" t="str">
            <v>IL071</v>
          </cell>
          <cell r="L1238">
            <v>7</v>
          </cell>
          <cell r="M1238">
            <v>0.17899999999999999</v>
          </cell>
          <cell r="N1238" t="str">
            <v>5W</v>
          </cell>
          <cell r="P1238" t="str">
            <v>PONCVL</v>
          </cell>
          <cell r="Q1238" t="str">
            <v>/  /</v>
          </cell>
        </row>
        <row r="1239">
          <cell r="A1239">
            <v>3890625</v>
          </cell>
          <cell r="B1239">
            <v>43752</v>
          </cell>
          <cell r="C1239" t="str">
            <v>PON</v>
          </cell>
          <cell r="D1239">
            <v>633006305</v>
          </cell>
          <cell r="E1239" t="str">
            <v>FC F19 Mares 9.9 60XXL Orange</v>
          </cell>
          <cell r="F1239">
            <v>1</v>
          </cell>
          <cell r="G1239">
            <v>0</v>
          </cell>
          <cell r="I1239" t="str">
            <v>IL072</v>
          </cell>
          <cell r="L1239">
            <v>14</v>
          </cell>
          <cell r="M1239">
            <v>2E-3</v>
          </cell>
          <cell r="N1239" t="str">
            <v>5W</v>
          </cell>
          <cell r="P1239" t="str">
            <v>PONFCS</v>
          </cell>
          <cell r="Q1239" t="str">
            <v>/  /</v>
          </cell>
        </row>
        <row r="1240">
          <cell r="A1240">
            <v>4465217</v>
          </cell>
          <cell r="B1240">
            <v>44112</v>
          </cell>
          <cell r="C1240" t="str">
            <v>PON</v>
          </cell>
          <cell r="D1240">
            <v>641073123</v>
          </cell>
          <cell r="E1240" t="str">
            <v>C21 R5 D/FS Grn,Gold,White 54</v>
          </cell>
          <cell r="F1240">
            <v>1</v>
          </cell>
          <cell r="G1240">
            <v>0</v>
          </cell>
          <cell r="I1240" t="str">
            <v>IL081</v>
          </cell>
          <cell r="L1240">
            <v>6.3</v>
          </cell>
          <cell r="M1240">
            <v>0.17699999999999999</v>
          </cell>
          <cell r="N1240" t="str">
            <v>5W</v>
          </cell>
          <cell r="P1240" t="str">
            <v>PONCVL</v>
          </cell>
          <cell r="Q1240" t="str">
            <v>/  /</v>
          </cell>
        </row>
        <row r="1241">
          <cell r="A1241">
            <v>4465218</v>
          </cell>
          <cell r="B1241">
            <v>44112</v>
          </cell>
          <cell r="C1241" t="str">
            <v>PON</v>
          </cell>
          <cell r="D1241">
            <v>641073123</v>
          </cell>
          <cell r="E1241" t="str">
            <v>C21 R5 D/FS Grn,Gold,White 54</v>
          </cell>
          <cell r="F1241">
            <v>1</v>
          </cell>
          <cell r="G1241">
            <v>0</v>
          </cell>
          <cell r="I1241" t="str">
            <v>IL081</v>
          </cell>
          <cell r="L1241">
            <v>6.3</v>
          </cell>
          <cell r="M1241">
            <v>0.17699999999999999</v>
          </cell>
          <cell r="N1241" t="str">
            <v>5W</v>
          </cell>
          <cell r="P1241" t="str">
            <v>PONCVL</v>
          </cell>
          <cell r="Q1241" t="str">
            <v>/  /</v>
          </cell>
        </row>
        <row r="1242">
          <cell r="A1242">
            <v>4465227</v>
          </cell>
          <cell r="B1242">
            <v>44112</v>
          </cell>
          <cell r="C1242" t="str">
            <v>PON</v>
          </cell>
          <cell r="D1242">
            <v>641073125</v>
          </cell>
          <cell r="E1242" t="str">
            <v>C21 R5 D/FS Grn,Gold,White 58</v>
          </cell>
          <cell r="F1242">
            <v>1</v>
          </cell>
          <cell r="G1242">
            <v>0</v>
          </cell>
          <cell r="I1242" t="str">
            <v>IL081</v>
          </cell>
          <cell r="L1242">
            <v>6.1</v>
          </cell>
          <cell r="M1242">
            <v>0.17699999999999999</v>
          </cell>
          <cell r="N1242" t="str">
            <v>5W</v>
          </cell>
          <cell r="P1242" t="str">
            <v>PONCVL</v>
          </cell>
          <cell r="Q1242" t="str">
            <v>/  /</v>
          </cell>
        </row>
        <row r="1243">
          <cell r="A1243">
            <v>3943825</v>
          </cell>
          <cell r="B1243">
            <v>43784</v>
          </cell>
          <cell r="C1243" t="str">
            <v>PON</v>
          </cell>
          <cell r="D1243">
            <v>633078042</v>
          </cell>
          <cell r="E1243" t="str">
            <v>CV C19R5 DscDA Di2 54CMBlk/Gph</v>
          </cell>
          <cell r="F1243">
            <v>1</v>
          </cell>
          <cell r="G1243">
            <v>0</v>
          </cell>
          <cell r="I1243" t="str">
            <v>IL082</v>
          </cell>
          <cell r="L1243">
            <v>12.7</v>
          </cell>
          <cell r="M1243">
            <v>0.22500000000000001</v>
          </cell>
          <cell r="N1243" t="str">
            <v>5W</v>
          </cell>
          <cell r="P1243" t="str">
            <v>PONCVL</v>
          </cell>
          <cell r="Q1243" t="str">
            <v>/  /</v>
          </cell>
        </row>
        <row r="1244">
          <cell r="A1244">
            <v>4081393</v>
          </cell>
          <cell r="B1244">
            <v>43784</v>
          </cell>
          <cell r="C1244" t="str">
            <v>PON</v>
          </cell>
          <cell r="D1244">
            <v>633078042</v>
          </cell>
          <cell r="E1244" t="str">
            <v>CV C19R5 DscDA Di2 54CMBlk/Gph</v>
          </cell>
          <cell r="F1244">
            <v>1</v>
          </cell>
          <cell r="G1244">
            <v>0</v>
          </cell>
          <cell r="I1244" t="str">
            <v>IL082</v>
          </cell>
          <cell r="L1244">
            <v>12.7</v>
          </cell>
          <cell r="M1244">
            <v>0.22500000000000001</v>
          </cell>
          <cell r="N1244" t="str">
            <v>5W</v>
          </cell>
          <cell r="P1244" t="str">
            <v>PONCVL</v>
          </cell>
          <cell r="Q1244" t="str">
            <v>/  /</v>
          </cell>
        </row>
        <row r="1245">
          <cell r="A1245">
            <v>4465105</v>
          </cell>
          <cell r="B1245">
            <v>44112</v>
          </cell>
          <cell r="C1245" t="str">
            <v>PON</v>
          </cell>
          <cell r="D1245">
            <v>641073015</v>
          </cell>
          <cell r="E1245" t="str">
            <v>C21 Aspero Grey/Seabreeze 56</v>
          </cell>
          <cell r="F1245">
            <v>1</v>
          </cell>
          <cell r="G1245">
            <v>0</v>
          </cell>
          <cell r="I1245" t="str">
            <v>IL091</v>
          </cell>
          <cell r="L1245">
            <v>6.8</v>
          </cell>
          <cell r="M1245">
            <v>0.16900000000000001</v>
          </cell>
          <cell r="N1245" t="str">
            <v>5W</v>
          </cell>
          <cell r="P1245" t="str">
            <v>PONCVL</v>
          </cell>
          <cell r="Q1245" t="str">
            <v>/  /</v>
          </cell>
        </row>
        <row r="1246">
          <cell r="A1246">
            <v>4465107</v>
          </cell>
          <cell r="B1246">
            <v>44112</v>
          </cell>
          <cell r="C1246" t="str">
            <v>PON</v>
          </cell>
          <cell r="D1246">
            <v>641073016</v>
          </cell>
          <cell r="E1246" t="str">
            <v>C21 Aspero Grey/Seabreeze 58</v>
          </cell>
          <cell r="F1246">
            <v>1</v>
          </cell>
          <cell r="G1246">
            <v>0</v>
          </cell>
          <cell r="I1246" t="str">
            <v>IL091</v>
          </cell>
          <cell r="L1246">
            <v>6.8</v>
          </cell>
          <cell r="M1246">
            <v>0.16900000000000001</v>
          </cell>
          <cell r="N1246" t="str">
            <v>5W</v>
          </cell>
          <cell r="P1246" t="str">
            <v>PONCVL</v>
          </cell>
          <cell r="Q1246" t="str">
            <v>/  /</v>
          </cell>
        </row>
        <row r="1247">
          <cell r="A1247">
            <v>4465109</v>
          </cell>
          <cell r="B1247">
            <v>44112</v>
          </cell>
          <cell r="C1247" t="str">
            <v>PON</v>
          </cell>
          <cell r="D1247">
            <v>641073020</v>
          </cell>
          <cell r="E1247" t="str">
            <v>C21 Aspero Seabreeze/Blue 54</v>
          </cell>
          <cell r="F1247">
            <v>1</v>
          </cell>
          <cell r="G1247">
            <v>0</v>
          </cell>
          <cell r="I1247" t="str">
            <v>IL091</v>
          </cell>
          <cell r="L1247">
            <v>6.9</v>
          </cell>
          <cell r="M1247">
            <v>0.16900000000000001</v>
          </cell>
          <cell r="N1247" t="str">
            <v>5W</v>
          </cell>
          <cell r="P1247" t="str">
            <v>PONCVL</v>
          </cell>
          <cell r="Q1247" t="str">
            <v>/  /</v>
          </cell>
        </row>
        <row r="1248">
          <cell r="A1248">
            <v>4465133</v>
          </cell>
          <cell r="B1248">
            <v>44112</v>
          </cell>
          <cell r="C1248" t="str">
            <v>PON</v>
          </cell>
          <cell r="D1248">
            <v>641073022</v>
          </cell>
          <cell r="E1248" t="str">
            <v>C21 Aspero Seabreeze/Blue 58</v>
          </cell>
          <cell r="F1248">
            <v>1</v>
          </cell>
          <cell r="G1248">
            <v>0</v>
          </cell>
          <cell r="I1248" t="str">
            <v>IL091</v>
          </cell>
          <cell r="L1248">
            <v>6.5</v>
          </cell>
          <cell r="M1248">
            <v>0.16900000000000001</v>
          </cell>
          <cell r="N1248" t="str">
            <v>5W</v>
          </cell>
          <cell r="P1248" t="str">
            <v>PONCVL</v>
          </cell>
          <cell r="Q1248" t="str">
            <v>/  /</v>
          </cell>
        </row>
        <row r="1249">
          <cell r="A1249">
            <v>4465135</v>
          </cell>
          <cell r="B1249">
            <v>44112</v>
          </cell>
          <cell r="C1249" t="str">
            <v>PON</v>
          </cell>
          <cell r="D1249">
            <v>641073032</v>
          </cell>
          <cell r="E1249" t="str">
            <v>C21 Cal 5 F/Set Crbn/Chame 54</v>
          </cell>
          <cell r="F1249">
            <v>1</v>
          </cell>
          <cell r="G1249">
            <v>0</v>
          </cell>
          <cell r="I1249" t="str">
            <v>IL091</v>
          </cell>
          <cell r="L1249">
            <v>7.1</v>
          </cell>
          <cell r="M1249">
            <v>0.16900000000000001</v>
          </cell>
          <cell r="N1249" t="str">
            <v>5W</v>
          </cell>
          <cell r="P1249" t="str">
            <v>PONCVL</v>
          </cell>
          <cell r="Q1249" t="str">
            <v>/  /</v>
          </cell>
        </row>
        <row r="1250">
          <cell r="A1250">
            <v>3921525</v>
          </cell>
          <cell r="B1250">
            <v>43773</v>
          </cell>
          <cell r="C1250" t="str">
            <v>PON</v>
          </cell>
          <cell r="D1250">
            <v>628008053</v>
          </cell>
          <cell r="E1250" t="str">
            <v>FC F18 IZMax Ult 54M Freestyle</v>
          </cell>
          <cell r="F1250">
            <v>1</v>
          </cell>
          <cell r="G1250">
            <v>0</v>
          </cell>
          <cell r="I1250" t="str">
            <v>IL092</v>
          </cell>
          <cell r="L1250">
            <v>13.5</v>
          </cell>
          <cell r="M1250">
            <v>0.26400000000000001</v>
          </cell>
          <cell r="N1250" t="str">
            <v>5W</v>
          </cell>
          <cell r="P1250" t="str">
            <v>PONFCS</v>
          </cell>
          <cell r="Q1250" t="str">
            <v>/  /</v>
          </cell>
        </row>
        <row r="1251">
          <cell r="A1251">
            <v>4465099</v>
          </cell>
          <cell r="B1251">
            <v>44112</v>
          </cell>
          <cell r="C1251" t="str">
            <v>PON</v>
          </cell>
          <cell r="D1251">
            <v>641073010</v>
          </cell>
          <cell r="E1251" t="str">
            <v>C21 Aspero Carbon/Red 58</v>
          </cell>
          <cell r="F1251">
            <v>1</v>
          </cell>
          <cell r="G1251">
            <v>0</v>
          </cell>
          <cell r="I1251" t="str">
            <v>IL101</v>
          </cell>
          <cell r="L1251">
            <v>6.9</v>
          </cell>
          <cell r="M1251">
            <v>0.16900000000000001</v>
          </cell>
          <cell r="N1251" t="str">
            <v>5W</v>
          </cell>
          <cell r="P1251" t="str">
            <v>PONCVL</v>
          </cell>
          <cell r="Q1251" t="str">
            <v>/  /</v>
          </cell>
        </row>
        <row r="1252">
          <cell r="A1252">
            <v>4465103</v>
          </cell>
          <cell r="B1252">
            <v>44112</v>
          </cell>
          <cell r="C1252" t="str">
            <v>PON</v>
          </cell>
          <cell r="D1252">
            <v>641073014</v>
          </cell>
          <cell r="E1252" t="str">
            <v>C21 Aspero Grey/Seabreeze 54</v>
          </cell>
          <cell r="F1252">
            <v>1</v>
          </cell>
          <cell r="G1252">
            <v>0</v>
          </cell>
          <cell r="I1252" t="str">
            <v>IL101</v>
          </cell>
          <cell r="L1252">
            <v>6.9</v>
          </cell>
          <cell r="M1252">
            <v>0.16900000000000001</v>
          </cell>
          <cell r="N1252" t="str">
            <v>5W</v>
          </cell>
          <cell r="P1252" t="str">
            <v>PONCVL</v>
          </cell>
          <cell r="Q1252" t="str">
            <v>/  /</v>
          </cell>
        </row>
        <row r="1253">
          <cell r="A1253">
            <v>4465117</v>
          </cell>
          <cell r="B1253">
            <v>44112</v>
          </cell>
          <cell r="C1253" t="str">
            <v>PON</v>
          </cell>
          <cell r="D1253">
            <v>641073021</v>
          </cell>
          <cell r="E1253" t="str">
            <v>C21 Aspero Seabreeze/Blue 56</v>
          </cell>
          <cell r="F1253">
            <v>1</v>
          </cell>
          <cell r="G1253">
            <v>0</v>
          </cell>
          <cell r="I1253" t="str">
            <v>IL101</v>
          </cell>
          <cell r="L1253">
            <v>6.8</v>
          </cell>
          <cell r="M1253">
            <v>0.16900000000000001</v>
          </cell>
          <cell r="N1253" t="str">
            <v>5W</v>
          </cell>
          <cell r="P1253" t="str">
            <v>PONCVL</v>
          </cell>
          <cell r="Q1253" t="str">
            <v>/  /</v>
          </cell>
        </row>
        <row r="1254">
          <cell r="A1254">
            <v>4465595</v>
          </cell>
          <cell r="B1254">
            <v>44112</v>
          </cell>
          <cell r="C1254" t="str">
            <v>PON</v>
          </cell>
          <cell r="D1254">
            <v>641078296</v>
          </cell>
          <cell r="E1254" t="str">
            <v>C21 Dura Carbon/Holographic 51</v>
          </cell>
          <cell r="F1254">
            <v>1</v>
          </cell>
          <cell r="G1254">
            <v>0</v>
          </cell>
          <cell r="I1254" t="str">
            <v>IL102</v>
          </cell>
          <cell r="L1254">
            <v>13.5</v>
          </cell>
          <cell r="M1254">
            <v>0.23200000000000001</v>
          </cell>
          <cell r="N1254" t="str">
            <v>5W</v>
          </cell>
          <cell r="P1254" t="str">
            <v>PONCVL</v>
          </cell>
          <cell r="Q1254" t="str">
            <v>/  /</v>
          </cell>
        </row>
        <row r="1255">
          <cell r="A1255">
            <v>4465395</v>
          </cell>
          <cell r="B1255">
            <v>44112</v>
          </cell>
          <cell r="C1255" t="str">
            <v>PON</v>
          </cell>
          <cell r="D1255">
            <v>641078033</v>
          </cell>
          <cell r="E1255" t="str">
            <v>C21 Asp GRX Seabreeze/Blue 56</v>
          </cell>
          <cell r="F1255">
            <v>1</v>
          </cell>
          <cell r="G1255">
            <v>0</v>
          </cell>
          <cell r="I1255" t="str">
            <v>IL112</v>
          </cell>
          <cell r="L1255">
            <v>15.9</v>
          </cell>
          <cell r="M1255">
            <v>0.23200000000000001</v>
          </cell>
          <cell r="N1255" t="str">
            <v>5W</v>
          </cell>
          <cell r="P1255" t="str">
            <v>PONCVL</v>
          </cell>
          <cell r="Q1255" t="str">
            <v>/  /</v>
          </cell>
        </row>
        <row r="1256">
          <cell r="A1256">
            <v>4465434</v>
          </cell>
          <cell r="B1256">
            <v>44112</v>
          </cell>
          <cell r="C1256" t="str">
            <v>PON</v>
          </cell>
          <cell r="D1256">
            <v>641078108</v>
          </cell>
          <cell r="E1256" t="str">
            <v>C21 Cal 5 D/Ace Crbn Chmelon48</v>
          </cell>
          <cell r="F1256">
            <v>1</v>
          </cell>
          <cell r="G1256">
            <v>0</v>
          </cell>
          <cell r="I1256" t="str">
            <v>IL112</v>
          </cell>
          <cell r="L1256">
            <v>13.4</v>
          </cell>
          <cell r="M1256">
            <v>0.23300000000000001</v>
          </cell>
          <cell r="N1256" t="str">
            <v>5W</v>
          </cell>
          <cell r="P1256" t="str">
            <v>PONCVL</v>
          </cell>
          <cell r="Q1256" t="str">
            <v>/  /</v>
          </cell>
        </row>
        <row r="1257">
          <cell r="A1257">
            <v>4465388</v>
          </cell>
          <cell r="B1257">
            <v>44112</v>
          </cell>
          <cell r="C1257" t="str">
            <v>PON</v>
          </cell>
          <cell r="D1257">
            <v>641078032</v>
          </cell>
          <cell r="E1257" t="str">
            <v>C21 Asp GRX Seabreeze/Blue 54</v>
          </cell>
          <cell r="F1257">
            <v>1</v>
          </cell>
          <cell r="G1257">
            <v>0</v>
          </cell>
          <cell r="I1257" t="str">
            <v>IL122</v>
          </cell>
          <cell r="L1257">
            <v>15.9</v>
          </cell>
          <cell r="M1257">
            <v>0.23200000000000001</v>
          </cell>
          <cell r="N1257" t="str">
            <v>5W</v>
          </cell>
          <cell r="P1257" t="str">
            <v>PONCVL</v>
          </cell>
          <cell r="Q1257" t="str">
            <v>/  /</v>
          </cell>
        </row>
        <row r="1258">
          <cell r="A1258">
            <v>4465523</v>
          </cell>
          <cell r="B1258">
            <v>44112</v>
          </cell>
          <cell r="C1258" t="str">
            <v>PON</v>
          </cell>
          <cell r="D1258">
            <v>641078256</v>
          </cell>
          <cell r="E1258" t="str">
            <v>C21 R5 Dsc REA Grn,Gold,Wht 56</v>
          </cell>
          <cell r="F1258">
            <v>1</v>
          </cell>
          <cell r="G1258">
            <v>0</v>
          </cell>
          <cell r="I1258" t="str">
            <v>IL132</v>
          </cell>
          <cell r="L1258">
            <v>13.1</v>
          </cell>
          <cell r="M1258">
            <v>0.24399999999999999</v>
          </cell>
          <cell r="N1258" t="str">
            <v>5W</v>
          </cell>
          <cell r="P1258" t="str">
            <v>PONCVL</v>
          </cell>
          <cell r="Q1258" t="str">
            <v>/  /</v>
          </cell>
        </row>
        <row r="1259">
          <cell r="A1259">
            <v>4465516</v>
          </cell>
          <cell r="B1259">
            <v>44112</v>
          </cell>
          <cell r="C1259" t="str">
            <v>PON</v>
          </cell>
          <cell r="D1259">
            <v>641078254</v>
          </cell>
          <cell r="E1259" t="str">
            <v>C21 R5 Dsc REA Grn,Gold,Wht 51</v>
          </cell>
          <cell r="F1259">
            <v>1</v>
          </cell>
          <cell r="G1259">
            <v>0</v>
          </cell>
          <cell r="I1259" t="str">
            <v>IL142</v>
          </cell>
          <cell r="L1259">
            <v>13</v>
          </cell>
          <cell r="M1259">
            <v>0.24399999999999999</v>
          </cell>
          <cell r="N1259" t="str">
            <v>5W</v>
          </cell>
          <cell r="P1259" t="str">
            <v>PONCVL</v>
          </cell>
          <cell r="Q1259" t="str">
            <v>/  /</v>
          </cell>
        </row>
        <row r="1260">
          <cell r="A1260">
            <v>4465517</v>
          </cell>
          <cell r="B1260">
            <v>44112</v>
          </cell>
          <cell r="C1260" t="str">
            <v>PON</v>
          </cell>
          <cell r="D1260">
            <v>641078254</v>
          </cell>
          <cell r="E1260" t="str">
            <v>C21 R5 Dsc REA Grn,Gold,Wht 51</v>
          </cell>
          <cell r="F1260">
            <v>1</v>
          </cell>
          <cell r="G1260">
            <v>0</v>
          </cell>
          <cell r="I1260" t="str">
            <v>IL142</v>
          </cell>
          <cell r="L1260">
            <v>13</v>
          </cell>
          <cell r="M1260">
            <v>0.24399999999999999</v>
          </cell>
          <cell r="N1260" t="str">
            <v>5W</v>
          </cell>
          <cell r="P1260" t="str">
            <v>PONCVL</v>
          </cell>
          <cell r="Q1260" t="str">
            <v>/  /</v>
          </cell>
        </row>
        <row r="1261">
          <cell r="A1261">
            <v>4465518</v>
          </cell>
          <cell r="B1261">
            <v>44112</v>
          </cell>
          <cell r="C1261" t="str">
            <v>PON</v>
          </cell>
          <cell r="D1261">
            <v>641078254</v>
          </cell>
          <cell r="E1261" t="str">
            <v>C21 R5 Dsc REA Grn,Gold,Wht 51</v>
          </cell>
          <cell r="F1261">
            <v>1</v>
          </cell>
          <cell r="G1261">
            <v>0</v>
          </cell>
          <cell r="I1261" t="str">
            <v>IL142</v>
          </cell>
          <cell r="L1261">
            <v>13</v>
          </cell>
          <cell r="M1261">
            <v>0.24399999999999999</v>
          </cell>
          <cell r="N1261" t="str">
            <v>5W</v>
          </cell>
          <cell r="P1261" t="str">
            <v>PONCVL</v>
          </cell>
          <cell r="Q1261" t="str">
            <v>/  /</v>
          </cell>
        </row>
        <row r="1262">
          <cell r="A1262">
            <v>4089503</v>
          </cell>
          <cell r="B1262">
            <v>43815</v>
          </cell>
          <cell r="C1262" t="str">
            <v>PON</v>
          </cell>
          <cell r="D1262">
            <v>637006021</v>
          </cell>
          <cell r="E1262" t="str">
            <v>F20 IZ Max Disc 9.7 AXS 50 XS</v>
          </cell>
          <cell r="F1262">
            <v>1</v>
          </cell>
          <cell r="G1262">
            <v>0</v>
          </cell>
          <cell r="I1262" t="str">
            <v>IL152</v>
          </cell>
          <cell r="L1262">
            <v>13.4</v>
          </cell>
          <cell r="M1262">
            <v>0.214</v>
          </cell>
          <cell r="N1262" t="str">
            <v>5W</v>
          </cell>
          <cell r="P1262" t="str">
            <v>PONFCS</v>
          </cell>
          <cell r="Q1262" t="str">
            <v>/  /</v>
          </cell>
        </row>
        <row r="1263">
          <cell r="A1263">
            <v>4465285</v>
          </cell>
          <cell r="B1263">
            <v>44112</v>
          </cell>
          <cell r="C1263" t="str">
            <v>PON</v>
          </cell>
          <cell r="D1263">
            <v>641078021</v>
          </cell>
          <cell r="E1263" t="str">
            <v>C21 ASPERO FCE CARBON/RED 56</v>
          </cell>
          <cell r="F1263">
            <v>1</v>
          </cell>
          <cell r="G1263">
            <v>0</v>
          </cell>
          <cell r="I1263" t="str">
            <v>IL152</v>
          </cell>
          <cell r="L1263">
            <v>14.5</v>
          </cell>
          <cell r="M1263">
            <v>0.23300000000000001</v>
          </cell>
          <cell r="N1263" t="str">
            <v>5W</v>
          </cell>
          <cell r="P1263" t="str">
            <v>PONCVL</v>
          </cell>
          <cell r="Q1263" t="str">
            <v>/  /</v>
          </cell>
        </row>
        <row r="1264">
          <cell r="A1264">
            <v>4465287</v>
          </cell>
          <cell r="B1264">
            <v>44112</v>
          </cell>
          <cell r="C1264" t="str">
            <v>PON</v>
          </cell>
          <cell r="D1264">
            <v>641078022</v>
          </cell>
          <cell r="E1264" t="str">
            <v>C21 ASPERO FCE CARBON/RED 58</v>
          </cell>
          <cell r="F1264">
            <v>1</v>
          </cell>
          <cell r="G1264">
            <v>0</v>
          </cell>
          <cell r="I1264" t="str">
            <v>IL152</v>
          </cell>
          <cell r="L1264">
            <v>14.5</v>
          </cell>
          <cell r="M1264">
            <v>0.23300000000000001</v>
          </cell>
          <cell r="N1264" t="str">
            <v>5W</v>
          </cell>
          <cell r="P1264" t="str">
            <v>PONCVL</v>
          </cell>
          <cell r="Q1264" t="str">
            <v>/  /</v>
          </cell>
        </row>
        <row r="1265">
          <cell r="A1265">
            <v>4465437</v>
          </cell>
          <cell r="B1265">
            <v>44112</v>
          </cell>
          <cell r="C1265" t="str">
            <v>PON</v>
          </cell>
          <cell r="D1265">
            <v>641078109</v>
          </cell>
          <cell r="E1265" t="str">
            <v>C21 Cal 5 D/Ace Crbn Chmelon51</v>
          </cell>
          <cell r="F1265">
            <v>1</v>
          </cell>
          <cell r="G1265">
            <v>0</v>
          </cell>
          <cell r="I1265" t="str">
            <v>IL152</v>
          </cell>
          <cell r="L1265">
            <v>13.4</v>
          </cell>
          <cell r="M1265">
            <v>0.23300000000000001</v>
          </cell>
          <cell r="N1265" t="str">
            <v>5W</v>
          </cell>
          <cell r="P1265" t="str">
            <v>PONCVL</v>
          </cell>
          <cell r="Q1265" t="str">
            <v>/  /</v>
          </cell>
        </row>
        <row r="1266">
          <cell r="A1266">
            <v>4465438</v>
          </cell>
          <cell r="B1266">
            <v>44112</v>
          </cell>
          <cell r="C1266" t="str">
            <v>PON</v>
          </cell>
          <cell r="D1266">
            <v>641078109</v>
          </cell>
          <cell r="E1266" t="str">
            <v>C21 Cal 5 D/Ace Crbn Chmelon51</v>
          </cell>
          <cell r="F1266">
            <v>1</v>
          </cell>
          <cell r="G1266">
            <v>0</v>
          </cell>
          <cell r="I1266" t="str">
            <v>IL152</v>
          </cell>
          <cell r="L1266">
            <v>13.4</v>
          </cell>
          <cell r="M1266">
            <v>0.23300000000000001</v>
          </cell>
          <cell r="N1266" t="str">
            <v>5W</v>
          </cell>
          <cell r="P1266" t="str">
            <v>PONCVL</v>
          </cell>
          <cell r="Q1266" t="str">
            <v>/  /</v>
          </cell>
        </row>
        <row r="1267">
          <cell r="A1267">
            <v>3874764</v>
          </cell>
          <cell r="B1267">
            <v>43731</v>
          </cell>
          <cell r="C1267" t="str">
            <v>PON</v>
          </cell>
          <cell r="D1267">
            <v>197018050</v>
          </cell>
          <cell r="E1267" t="str">
            <v>Ceramic Mug 36p/c</v>
          </cell>
          <cell r="F1267">
            <v>180</v>
          </cell>
          <cell r="G1267">
            <v>0.12</v>
          </cell>
          <cell r="I1267" t="str">
            <v>IM091</v>
          </cell>
          <cell r="L1267">
            <v>60</v>
          </cell>
          <cell r="M1267">
            <v>0.18</v>
          </cell>
          <cell r="N1267" t="str">
            <v>5W</v>
          </cell>
          <cell r="P1267" t="str">
            <v>PONACC</v>
          </cell>
          <cell r="Q1267" t="str">
            <v>/  /</v>
          </cell>
        </row>
        <row r="1268">
          <cell r="A1268">
            <v>4578835</v>
          </cell>
          <cell r="B1268">
            <v>44176</v>
          </cell>
          <cell r="C1268" t="str">
            <v>PON</v>
          </cell>
          <cell r="D1268">
            <v>637518118</v>
          </cell>
          <cell r="E1268" t="str">
            <v>F20 JAM2 6.8 NINE 49XL BLUE BH</v>
          </cell>
          <cell r="F1268">
            <v>1</v>
          </cell>
          <cell r="G1268">
            <v>0</v>
          </cell>
          <cell r="I1268" t="str">
            <v>IP014</v>
          </cell>
          <cell r="L1268">
            <v>33.1</v>
          </cell>
          <cell r="M1268">
            <v>0.46100000000000002</v>
          </cell>
          <cell r="N1268" t="str">
            <v>5W</v>
          </cell>
          <cell r="P1268" t="str">
            <v>PONFCS</v>
          </cell>
          <cell r="Q1268" t="str">
            <v>/  /</v>
          </cell>
        </row>
        <row r="1269">
          <cell r="A1269">
            <v>4040357</v>
          </cell>
          <cell r="B1269">
            <v>43852</v>
          </cell>
          <cell r="C1269" t="str">
            <v>PON</v>
          </cell>
          <cell r="D1269">
            <v>633728552</v>
          </cell>
          <cell r="E1269" t="str">
            <v>F20 PARALANE SQUARE 6.7 57L</v>
          </cell>
          <cell r="F1269">
            <v>1</v>
          </cell>
          <cell r="G1269">
            <v>0</v>
          </cell>
          <cell r="I1269" t="str">
            <v>IP023</v>
          </cell>
          <cell r="L1269">
            <v>25.9</v>
          </cell>
          <cell r="M1269">
            <v>0.53200000000000003</v>
          </cell>
          <cell r="N1269" t="str">
            <v>5W</v>
          </cell>
          <cell r="P1269" t="str">
            <v>PONFCS</v>
          </cell>
          <cell r="Q1269" t="str">
            <v>/  /</v>
          </cell>
        </row>
        <row r="1270">
          <cell r="A1270">
            <v>4088128</v>
          </cell>
          <cell r="B1270">
            <v>43852</v>
          </cell>
          <cell r="C1270" t="str">
            <v>PON</v>
          </cell>
          <cell r="D1270">
            <v>633728552</v>
          </cell>
          <cell r="E1270" t="str">
            <v>F20 PARALANE SQUARE 6.7 57L</v>
          </cell>
          <cell r="F1270">
            <v>1</v>
          </cell>
          <cell r="G1270">
            <v>0</v>
          </cell>
          <cell r="I1270" t="str">
            <v>IP023</v>
          </cell>
          <cell r="L1270">
            <v>25.9</v>
          </cell>
          <cell r="M1270">
            <v>0.53200000000000003</v>
          </cell>
          <cell r="N1270" t="str">
            <v>5W</v>
          </cell>
          <cell r="P1270" t="str">
            <v>PONFCS</v>
          </cell>
          <cell r="Q1270" t="str">
            <v>/  /</v>
          </cell>
        </row>
        <row r="1271">
          <cell r="A1271">
            <v>4578913</v>
          </cell>
          <cell r="B1271">
            <v>44176</v>
          </cell>
          <cell r="C1271" t="str">
            <v>PON</v>
          </cell>
          <cell r="D1271">
            <v>637529055</v>
          </cell>
          <cell r="E1271" t="str">
            <v>K21 Endeavour 7.B Belt S 43</v>
          </cell>
          <cell r="F1271">
            <v>1</v>
          </cell>
          <cell r="G1271">
            <v>0</v>
          </cell>
          <cell r="I1271" t="str">
            <v>IP023</v>
          </cell>
          <cell r="L1271">
            <v>35</v>
          </cell>
          <cell r="M1271">
            <v>0.57299999999999995</v>
          </cell>
          <cell r="N1271" t="str">
            <v>5W</v>
          </cell>
          <cell r="P1271" t="str">
            <v>PONFCS</v>
          </cell>
          <cell r="Q1271" t="str">
            <v>/  /</v>
          </cell>
        </row>
        <row r="1272">
          <cell r="A1272">
            <v>4089451</v>
          </cell>
          <cell r="B1272">
            <v>43795</v>
          </cell>
          <cell r="C1272" t="str">
            <v>PON</v>
          </cell>
          <cell r="D1272">
            <v>633618552</v>
          </cell>
          <cell r="E1272" t="str">
            <v>FC EBikeF19 P/Sqre 6.8 57L Red</v>
          </cell>
          <cell r="F1272">
            <v>1</v>
          </cell>
          <cell r="G1272">
            <v>0</v>
          </cell>
          <cell r="I1272" t="str">
            <v>IP024</v>
          </cell>
          <cell r="L1272">
            <v>25.9</v>
          </cell>
          <cell r="M1272">
            <v>0.58099999999999996</v>
          </cell>
          <cell r="N1272" t="str">
            <v>5W</v>
          </cell>
          <cell r="P1272" t="str">
            <v>PONFEB</v>
          </cell>
          <cell r="Q1272" t="str">
            <v>/  /</v>
          </cell>
        </row>
        <row r="1273">
          <cell r="A1273">
            <v>4578828</v>
          </cell>
          <cell r="B1273">
            <v>44176</v>
          </cell>
          <cell r="C1273" t="str">
            <v>PON</v>
          </cell>
          <cell r="D1273">
            <v>637518107</v>
          </cell>
          <cell r="E1273" t="str">
            <v>F20 JAM2 6.8 NINE 45L BLK BSCH</v>
          </cell>
          <cell r="F1273">
            <v>1</v>
          </cell>
          <cell r="G1273">
            <v>0</v>
          </cell>
          <cell r="I1273" t="str">
            <v>IP033</v>
          </cell>
          <cell r="L1273">
            <v>32.799999999999997</v>
          </cell>
          <cell r="M1273">
            <v>0.58099999999999996</v>
          </cell>
          <cell r="N1273" t="str">
            <v>5W</v>
          </cell>
          <cell r="P1273" t="str">
            <v>PONFCS</v>
          </cell>
          <cell r="Q1273" t="str">
            <v>/  /</v>
          </cell>
        </row>
        <row r="1274">
          <cell r="A1274">
            <v>4578934</v>
          </cell>
          <cell r="B1274">
            <v>44176</v>
          </cell>
          <cell r="C1274" t="str">
            <v>PON</v>
          </cell>
          <cell r="D1274">
            <v>641518012</v>
          </cell>
          <cell r="E1274" t="str">
            <v>F21 JAM2 6.9 NINE L44 625WH</v>
          </cell>
          <cell r="F1274">
            <v>1</v>
          </cell>
          <cell r="G1274">
            <v>0</v>
          </cell>
          <cell r="I1274" t="str">
            <v>IP033</v>
          </cell>
          <cell r="L1274">
            <v>34.1</v>
          </cell>
          <cell r="M1274">
            <v>0.58599999999999997</v>
          </cell>
          <cell r="N1274" t="str">
            <v>5W</v>
          </cell>
          <cell r="P1274" t="str">
            <v>PONFCS</v>
          </cell>
          <cell r="Q1274" t="str">
            <v>/  /</v>
          </cell>
        </row>
        <row r="1275">
          <cell r="A1275">
            <v>4578935</v>
          </cell>
          <cell r="B1275">
            <v>44176</v>
          </cell>
          <cell r="C1275" t="str">
            <v>PON</v>
          </cell>
          <cell r="D1275">
            <v>641518012</v>
          </cell>
          <cell r="E1275" t="str">
            <v>F21 JAM2 6.9 NINE L44 625WH</v>
          </cell>
          <cell r="F1275">
            <v>1</v>
          </cell>
          <cell r="G1275">
            <v>0</v>
          </cell>
          <cell r="I1275" t="str">
            <v>IP033</v>
          </cell>
          <cell r="L1275">
            <v>34.1</v>
          </cell>
          <cell r="M1275">
            <v>0.58599999999999997</v>
          </cell>
          <cell r="N1275" t="str">
            <v>5W</v>
          </cell>
          <cell r="P1275" t="str">
            <v>PONFCS</v>
          </cell>
          <cell r="Q1275" t="str">
            <v>/  /</v>
          </cell>
        </row>
        <row r="1276">
          <cell r="A1276">
            <v>4041725</v>
          </cell>
          <cell r="B1276">
            <v>43852</v>
          </cell>
          <cell r="C1276" t="str">
            <v>PON</v>
          </cell>
          <cell r="D1276">
            <v>633728526</v>
          </cell>
          <cell r="E1276" t="str">
            <v>FC EBikeF19 P/Sqre 9.7 54M Blu</v>
          </cell>
          <cell r="F1276">
            <v>1</v>
          </cell>
          <cell r="G1276">
            <v>0</v>
          </cell>
          <cell r="I1276" t="str">
            <v>IP034</v>
          </cell>
          <cell r="L1276">
            <v>23.5</v>
          </cell>
          <cell r="M1276">
            <v>0.53200000000000003</v>
          </cell>
          <cell r="N1276" t="str">
            <v>5W</v>
          </cell>
          <cell r="P1276" t="str">
            <v>PONFEB</v>
          </cell>
          <cell r="Q1276" t="str">
            <v>/  /</v>
          </cell>
        </row>
        <row r="1277">
          <cell r="A1277">
            <v>4087682</v>
          </cell>
          <cell r="B1277">
            <v>43852</v>
          </cell>
          <cell r="C1277" t="str">
            <v>PON</v>
          </cell>
          <cell r="D1277">
            <v>633728526</v>
          </cell>
          <cell r="E1277" t="str">
            <v>FC EBikeF19 P/Sqre 9.7 54M Blu</v>
          </cell>
          <cell r="F1277">
            <v>1</v>
          </cell>
          <cell r="G1277">
            <v>0</v>
          </cell>
          <cell r="I1277" t="str">
            <v>IP034</v>
          </cell>
          <cell r="L1277">
            <v>23.5</v>
          </cell>
          <cell r="M1277">
            <v>0.53200000000000003</v>
          </cell>
          <cell r="N1277" t="str">
            <v>5W</v>
          </cell>
          <cell r="P1277" t="str">
            <v>PONFEB</v>
          </cell>
          <cell r="Q1277" t="str">
            <v>/  /</v>
          </cell>
        </row>
        <row r="1278">
          <cell r="A1278">
            <v>4028509</v>
          </cell>
          <cell r="B1278">
            <v>43845</v>
          </cell>
          <cell r="C1278" t="str">
            <v>PON</v>
          </cell>
          <cell r="D1278">
            <v>633618501</v>
          </cell>
          <cell r="E1278" t="str">
            <v>FC F20 Paralane Square 9.9 54M</v>
          </cell>
          <cell r="F1278">
            <v>1</v>
          </cell>
          <cell r="G1278">
            <v>0</v>
          </cell>
          <cell r="I1278" t="str">
            <v>IP043</v>
          </cell>
          <cell r="L1278">
            <v>22.7</v>
          </cell>
          <cell r="M1278">
            <v>0.55500000000000005</v>
          </cell>
          <cell r="N1278" t="str">
            <v>5W</v>
          </cell>
          <cell r="P1278" t="str">
            <v>PONFCS</v>
          </cell>
          <cell r="Q1278" t="str">
            <v>/  /</v>
          </cell>
        </row>
        <row r="1279">
          <cell r="A1279">
            <v>4089481</v>
          </cell>
          <cell r="B1279">
            <v>43852</v>
          </cell>
          <cell r="C1279" t="str">
            <v>PON</v>
          </cell>
          <cell r="D1279">
            <v>633728526</v>
          </cell>
          <cell r="E1279" t="str">
            <v>FC EBikeF19 P/Sqre 9.7 54M Blu</v>
          </cell>
          <cell r="F1279">
            <v>1</v>
          </cell>
          <cell r="G1279">
            <v>0</v>
          </cell>
          <cell r="I1279" t="str">
            <v>IP044</v>
          </cell>
          <cell r="L1279">
            <v>23.5</v>
          </cell>
          <cell r="M1279">
            <v>0.53200000000000003</v>
          </cell>
          <cell r="N1279" t="str">
            <v>5W</v>
          </cell>
          <cell r="P1279" t="str">
            <v>PONFEB</v>
          </cell>
          <cell r="Q1279" t="str">
            <v>/  /</v>
          </cell>
        </row>
        <row r="1280">
          <cell r="A1280">
            <v>4087680</v>
          </cell>
          <cell r="B1280">
            <v>43852</v>
          </cell>
          <cell r="C1280" t="str">
            <v>PON</v>
          </cell>
          <cell r="D1280">
            <v>633728522</v>
          </cell>
          <cell r="E1280" t="str">
            <v>FC EBF19P/Sqre 9.7 57LB/Anthr</v>
          </cell>
          <cell r="F1280">
            <v>1</v>
          </cell>
          <cell r="G1280">
            <v>0</v>
          </cell>
          <cell r="I1280" t="str">
            <v>IP053</v>
          </cell>
          <cell r="L1280">
            <v>23.3</v>
          </cell>
          <cell r="M1280">
            <v>0.57299999999999995</v>
          </cell>
          <cell r="N1280" t="str">
            <v>5W</v>
          </cell>
          <cell r="P1280" t="str">
            <v>PONFEB</v>
          </cell>
          <cell r="Q1280" t="str">
            <v>/  /</v>
          </cell>
        </row>
        <row r="1281">
          <cell r="A1281">
            <v>4089479</v>
          </cell>
          <cell r="B1281">
            <v>43852</v>
          </cell>
          <cell r="C1281" t="str">
            <v>PON</v>
          </cell>
          <cell r="D1281">
            <v>633728522</v>
          </cell>
          <cell r="E1281" t="str">
            <v>FC EBF19P/Sqre 9.7 57LB/Anthr</v>
          </cell>
          <cell r="F1281">
            <v>1</v>
          </cell>
          <cell r="G1281">
            <v>0</v>
          </cell>
          <cell r="I1281" t="str">
            <v>IP053</v>
          </cell>
          <cell r="L1281">
            <v>23.3</v>
          </cell>
          <cell r="M1281">
            <v>0.57299999999999995</v>
          </cell>
          <cell r="N1281" t="str">
            <v>5W</v>
          </cell>
          <cell r="P1281" t="str">
            <v>PONFEB</v>
          </cell>
          <cell r="Q1281" t="str">
            <v>/  /</v>
          </cell>
        </row>
        <row r="1282">
          <cell r="A1282">
            <v>4041729</v>
          </cell>
          <cell r="B1282">
            <v>43852</v>
          </cell>
          <cell r="C1282" t="str">
            <v>PON</v>
          </cell>
          <cell r="D1282">
            <v>633728527</v>
          </cell>
          <cell r="E1282" t="str">
            <v>FC EBikeF19 P/Sqre 9.7 57L Blu</v>
          </cell>
          <cell r="F1282">
            <v>1</v>
          </cell>
          <cell r="G1282">
            <v>0</v>
          </cell>
          <cell r="I1282" t="str">
            <v>IP053</v>
          </cell>
          <cell r="L1282">
            <v>23.1</v>
          </cell>
          <cell r="M1282">
            <v>0.58299999999999996</v>
          </cell>
          <cell r="N1282" t="str">
            <v>5W</v>
          </cell>
          <cell r="P1282" t="str">
            <v>PONFEB</v>
          </cell>
          <cell r="Q1282" t="str">
            <v>/  /</v>
          </cell>
        </row>
        <row r="1283">
          <cell r="A1283">
            <v>4101354</v>
          </cell>
          <cell r="B1283">
            <v>43894</v>
          </cell>
          <cell r="C1283" t="str">
            <v>PON</v>
          </cell>
          <cell r="D1283">
            <v>633618521</v>
          </cell>
          <cell r="E1283" t="str">
            <v>FC F20 Para Sqre 9.7 54M Blu</v>
          </cell>
          <cell r="F1283">
            <v>1</v>
          </cell>
          <cell r="G1283">
            <v>0</v>
          </cell>
          <cell r="I1283" t="str">
            <v>IP054</v>
          </cell>
          <cell r="L1283">
            <v>23.4</v>
          </cell>
          <cell r="M1283">
            <v>0.58099999999999996</v>
          </cell>
          <cell r="N1283" t="str">
            <v>5W</v>
          </cell>
          <cell r="P1283" t="str">
            <v>PONFCS</v>
          </cell>
          <cell r="Q1283" t="str">
            <v>/  /</v>
          </cell>
        </row>
        <row r="1284">
          <cell r="A1284">
            <v>4578836</v>
          </cell>
          <cell r="B1284">
            <v>44176</v>
          </cell>
          <cell r="C1284" t="str">
            <v>PON</v>
          </cell>
          <cell r="D1284">
            <v>637518118</v>
          </cell>
          <cell r="E1284" t="str">
            <v>F20 JAM2 6.8 NINE 49XL BLUE BH</v>
          </cell>
          <cell r="F1284">
            <v>1</v>
          </cell>
          <cell r="G1284">
            <v>0</v>
          </cell>
          <cell r="I1284" t="str">
            <v>IP064</v>
          </cell>
          <cell r="L1284">
            <v>33.1</v>
          </cell>
          <cell r="M1284">
            <v>0.46100000000000002</v>
          </cell>
          <cell r="N1284" t="str">
            <v>5W</v>
          </cell>
          <cell r="P1284" t="str">
            <v>PONFCS</v>
          </cell>
          <cell r="Q1284" t="str">
            <v>/  /</v>
          </cell>
        </row>
        <row r="1285">
          <cell r="A1285">
            <v>4578837</v>
          </cell>
          <cell r="B1285">
            <v>44176</v>
          </cell>
          <cell r="C1285" t="str">
            <v>PON</v>
          </cell>
          <cell r="D1285">
            <v>637518118</v>
          </cell>
          <cell r="E1285" t="str">
            <v>F20 JAM2 6.8 NINE 49XL BLUE BH</v>
          </cell>
          <cell r="F1285">
            <v>1</v>
          </cell>
          <cell r="G1285">
            <v>0</v>
          </cell>
          <cell r="I1285" t="str">
            <v>IP064</v>
          </cell>
          <cell r="L1285">
            <v>33.1</v>
          </cell>
          <cell r="M1285">
            <v>0.46100000000000002</v>
          </cell>
          <cell r="N1285" t="str">
            <v>5W</v>
          </cell>
          <cell r="P1285" t="str">
            <v>PONFCS</v>
          </cell>
          <cell r="Q1285" t="str">
            <v>/  /</v>
          </cell>
        </row>
        <row r="1286">
          <cell r="A1286">
            <v>4578838</v>
          </cell>
          <cell r="B1286">
            <v>44176</v>
          </cell>
          <cell r="C1286" t="str">
            <v>PON</v>
          </cell>
          <cell r="D1286">
            <v>637518118</v>
          </cell>
          <cell r="E1286" t="str">
            <v>F20 JAM2 6.8 NINE 49XL BLUE BH</v>
          </cell>
          <cell r="F1286">
            <v>1</v>
          </cell>
          <cell r="G1286">
            <v>0</v>
          </cell>
          <cell r="I1286" t="str">
            <v>IP064</v>
          </cell>
          <cell r="L1286">
            <v>33.1</v>
          </cell>
          <cell r="M1286">
            <v>0.46100000000000002</v>
          </cell>
          <cell r="N1286" t="str">
            <v>5W</v>
          </cell>
          <cell r="P1286" t="str">
            <v>PONFCS</v>
          </cell>
          <cell r="Q1286" t="str">
            <v>/  /</v>
          </cell>
        </row>
        <row r="1287">
          <cell r="A1287">
            <v>4088114</v>
          </cell>
          <cell r="B1287">
            <v>43852</v>
          </cell>
          <cell r="C1287" t="str">
            <v>PON</v>
          </cell>
          <cell r="D1287">
            <v>633728523</v>
          </cell>
          <cell r="E1287" t="str">
            <v>FC EBF19 P/Sqre9.7 60XLB/Anthr</v>
          </cell>
          <cell r="F1287">
            <v>1</v>
          </cell>
          <cell r="G1287">
            <v>0</v>
          </cell>
          <cell r="I1287" t="str">
            <v>IP073</v>
          </cell>
          <cell r="L1287">
            <v>23.5</v>
          </cell>
          <cell r="M1287">
            <v>0.58099999999999996</v>
          </cell>
          <cell r="N1287" t="str">
            <v>5W</v>
          </cell>
          <cell r="P1287" t="str">
            <v>PONFEB</v>
          </cell>
          <cell r="Q1287" t="str">
            <v>/  /</v>
          </cell>
        </row>
        <row r="1288">
          <cell r="A1288">
            <v>4041752</v>
          </cell>
          <cell r="B1288">
            <v>43852</v>
          </cell>
          <cell r="C1288" t="str">
            <v>PON</v>
          </cell>
          <cell r="D1288">
            <v>633728532</v>
          </cell>
          <cell r="E1288" t="str">
            <v>FC EBikeF19 P/Sqre 9.6 57L Red</v>
          </cell>
          <cell r="F1288">
            <v>1</v>
          </cell>
          <cell r="G1288">
            <v>0</v>
          </cell>
          <cell r="I1288" t="str">
            <v>IP073</v>
          </cell>
          <cell r="L1288">
            <v>23.6</v>
          </cell>
          <cell r="M1288">
            <v>0.58099999999999996</v>
          </cell>
          <cell r="N1288" t="str">
            <v>5W</v>
          </cell>
          <cell r="P1288" t="str">
            <v>PONFEB</v>
          </cell>
          <cell r="Q1288" t="str">
            <v>/  /</v>
          </cell>
        </row>
        <row r="1289">
          <cell r="A1289">
            <v>4031725</v>
          </cell>
          <cell r="B1289">
            <v>43847</v>
          </cell>
          <cell r="C1289" t="str">
            <v>PON</v>
          </cell>
          <cell r="D1289" t="str">
            <v>A2216</v>
          </cell>
          <cell r="E1289" t="str">
            <v>GZ G16 Ultimate T27 61 Men</v>
          </cell>
          <cell r="F1289">
            <v>1</v>
          </cell>
          <cell r="G1289">
            <v>0</v>
          </cell>
          <cell r="I1289" t="str">
            <v>IP073</v>
          </cell>
          <cell r="L1289">
            <v>24.1</v>
          </cell>
          <cell r="M1289">
            <v>0.621</v>
          </cell>
          <cell r="N1289" t="str">
            <v>5W</v>
          </cell>
          <cell r="P1289" t="str">
            <v>PONGAZ</v>
          </cell>
          <cell r="Q1289" t="str">
            <v>/  /</v>
          </cell>
        </row>
        <row r="1290">
          <cell r="A1290">
            <v>4088421</v>
          </cell>
          <cell r="B1290">
            <v>43847</v>
          </cell>
          <cell r="C1290" t="str">
            <v>PON</v>
          </cell>
          <cell r="D1290" t="str">
            <v>A2216</v>
          </cell>
          <cell r="E1290" t="str">
            <v>GZ G16 Ultimate T27 61 Men</v>
          </cell>
          <cell r="F1290">
            <v>1</v>
          </cell>
          <cell r="G1290">
            <v>0</v>
          </cell>
          <cell r="I1290" t="str">
            <v>IP073</v>
          </cell>
          <cell r="L1290">
            <v>24.1</v>
          </cell>
          <cell r="M1290">
            <v>0.621</v>
          </cell>
          <cell r="N1290" t="str">
            <v>5W</v>
          </cell>
          <cell r="P1290" t="str">
            <v>PONGAZ</v>
          </cell>
          <cell r="Q1290" t="str">
            <v>/  /</v>
          </cell>
        </row>
        <row r="1291">
          <cell r="A1291">
            <v>4088126</v>
          </cell>
          <cell r="B1291">
            <v>43852</v>
          </cell>
          <cell r="C1291" t="str">
            <v>PON</v>
          </cell>
          <cell r="D1291">
            <v>633728540</v>
          </cell>
          <cell r="E1291" t="str">
            <v>F20 PARALANE SQUARE 6.9 51S</v>
          </cell>
          <cell r="F1291">
            <v>1</v>
          </cell>
          <cell r="G1291">
            <v>0</v>
          </cell>
          <cell r="I1291" t="str">
            <v>IP074</v>
          </cell>
          <cell r="L1291">
            <v>25.3</v>
          </cell>
          <cell r="M1291">
            <v>0.53200000000000003</v>
          </cell>
          <cell r="N1291" t="str">
            <v>5W</v>
          </cell>
          <cell r="P1291" t="str">
            <v>PONFCS</v>
          </cell>
          <cell r="Q1291" t="str">
            <v>/  /</v>
          </cell>
        </row>
        <row r="1292">
          <cell r="A1292">
            <v>4578839</v>
          </cell>
          <cell r="B1292">
            <v>44176</v>
          </cell>
          <cell r="C1292" t="str">
            <v>PON</v>
          </cell>
          <cell r="D1292">
            <v>637518118</v>
          </cell>
          <cell r="E1292" t="str">
            <v>F20 JAM2 6.8 NINE 49XL BLUE BH</v>
          </cell>
          <cell r="F1292">
            <v>1</v>
          </cell>
          <cell r="G1292">
            <v>0</v>
          </cell>
          <cell r="I1292" t="str">
            <v>IP074</v>
          </cell>
          <cell r="L1292">
            <v>33.1</v>
          </cell>
          <cell r="M1292">
            <v>0.46100000000000002</v>
          </cell>
          <cell r="N1292" t="str">
            <v>5W</v>
          </cell>
          <cell r="P1292" t="str">
            <v>PONFCS</v>
          </cell>
          <cell r="Q1292" t="str">
            <v>/  /</v>
          </cell>
        </row>
        <row r="1293">
          <cell r="A1293">
            <v>4041721</v>
          </cell>
          <cell r="B1293">
            <v>43852</v>
          </cell>
          <cell r="C1293" t="str">
            <v>PON</v>
          </cell>
          <cell r="D1293">
            <v>633728523</v>
          </cell>
          <cell r="E1293" t="str">
            <v>FC EBF19 P/Sqre9.7 60XLB/Anthr</v>
          </cell>
          <cell r="F1293">
            <v>1</v>
          </cell>
          <cell r="G1293">
            <v>0</v>
          </cell>
          <cell r="I1293" t="str">
            <v>IP083</v>
          </cell>
          <cell r="L1293">
            <v>23.5</v>
          </cell>
          <cell r="M1293">
            <v>0.58099999999999996</v>
          </cell>
          <cell r="N1293" t="str">
            <v>5W</v>
          </cell>
          <cell r="P1293" t="str">
            <v>PONFEB</v>
          </cell>
          <cell r="Q1293" t="str">
            <v>/  /</v>
          </cell>
        </row>
        <row r="1294">
          <cell r="A1294">
            <v>4088121</v>
          </cell>
          <cell r="B1294">
            <v>43852</v>
          </cell>
          <cell r="C1294" t="str">
            <v>PON</v>
          </cell>
          <cell r="D1294">
            <v>633728532</v>
          </cell>
          <cell r="E1294" t="str">
            <v>FC EBikeF19 P/Sqre 9.6 57L Red</v>
          </cell>
          <cell r="F1294">
            <v>1</v>
          </cell>
          <cell r="G1294">
            <v>0</v>
          </cell>
          <cell r="I1294" t="str">
            <v>IP083</v>
          </cell>
          <cell r="L1294">
            <v>23.6</v>
          </cell>
          <cell r="M1294">
            <v>0.58099999999999996</v>
          </cell>
          <cell r="N1294" t="str">
            <v>5W</v>
          </cell>
          <cell r="P1294" t="str">
            <v>PONFEB</v>
          </cell>
          <cell r="Q1294" t="str">
            <v>/  /</v>
          </cell>
        </row>
        <row r="1295">
          <cell r="A1295">
            <v>4033057</v>
          </cell>
          <cell r="B1295">
            <v>43850</v>
          </cell>
          <cell r="C1295" t="str">
            <v>PON</v>
          </cell>
          <cell r="D1295">
            <v>633618511</v>
          </cell>
          <cell r="E1295" t="str">
            <v>EBF19 Plane2 9.8 Di2 54 MDDemo</v>
          </cell>
          <cell r="F1295">
            <v>1</v>
          </cell>
          <cell r="G1295">
            <v>0</v>
          </cell>
          <cell r="I1295" t="str">
            <v>IP093</v>
          </cell>
          <cell r="L1295">
            <v>23.2</v>
          </cell>
          <cell r="M1295">
            <v>0.55500000000000005</v>
          </cell>
          <cell r="N1295" t="str">
            <v>5W</v>
          </cell>
          <cell r="P1295" t="str">
            <v>PONFEB</v>
          </cell>
          <cell r="Q1295" t="str">
            <v>/  /</v>
          </cell>
        </row>
        <row r="1296">
          <cell r="A1296">
            <v>4087627</v>
          </cell>
          <cell r="B1296">
            <v>43850</v>
          </cell>
          <cell r="C1296" t="str">
            <v>PON</v>
          </cell>
          <cell r="D1296">
            <v>633618511</v>
          </cell>
          <cell r="E1296" t="str">
            <v>EBF19 Plane2 9.8 Di2 54 MDDemo</v>
          </cell>
          <cell r="F1296">
            <v>1</v>
          </cell>
          <cell r="G1296">
            <v>0</v>
          </cell>
          <cell r="I1296" t="str">
            <v>IP093</v>
          </cell>
          <cell r="L1296">
            <v>23.2</v>
          </cell>
          <cell r="M1296">
            <v>0.55500000000000005</v>
          </cell>
          <cell r="N1296" t="str">
            <v>5W</v>
          </cell>
          <cell r="P1296" t="str">
            <v>PONFEB</v>
          </cell>
          <cell r="Q1296" t="str">
            <v>/  /</v>
          </cell>
        </row>
        <row r="1297">
          <cell r="A1297">
            <v>4089428</v>
          </cell>
          <cell r="B1297">
            <v>43850</v>
          </cell>
          <cell r="C1297" t="str">
            <v>PON</v>
          </cell>
          <cell r="D1297">
            <v>633618511</v>
          </cell>
          <cell r="E1297" t="str">
            <v>EBF19 Plane2 9.8 Di2 54 MDDemo</v>
          </cell>
          <cell r="F1297">
            <v>1</v>
          </cell>
          <cell r="G1297">
            <v>0</v>
          </cell>
          <cell r="I1297" t="str">
            <v>IP093</v>
          </cell>
          <cell r="L1297">
            <v>23.2</v>
          </cell>
          <cell r="M1297">
            <v>0.55500000000000005</v>
          </cell>
          <cell r="N1297" t="str">
            <v>5W</v>
          </cell>
          <cell r="P1297" t="str">
            <v>PONFEB</v>
          </cell>
          <cell r="Q1297" t="str">
            <v>/  /</v>
          </cell>
        </row>
        <row r="1298">
          <cell r="A1298">
            <v>4578822</v>
          </cell>
          <cell r="B1298">
            <v>44176</v>
          </cell>
          <cell r="C1298" t="str">
            <v>PON</v>
          </cell>
          <cell r="D1298">
            <v>637518106</v>
          </cell>
          <cell r="E1298" t="str">
            <v>F20 JAM2 6.8 NINE 42M BLK BSCH</v>
          </cell>
          <cell r="F1298">
            <v>1</v>
          </cell>
          <cell r="G1298">
            <v>0</v>
          </cell>
          <cell r="I1298" t="str">
            <v>IP093</v>
          </cell>
          <cell r="L1298">
            <v>32.6</v>
          </cell>
          <cell r="M1298">
            <v>0.58099999999999996</v>
          </cell>
          <cell r="N1298" t="str">
            <v>5W</v>
          </cell>
          <cell r="P1298" t="str">
            <v>PONFCS</v>
          </cell>
          <cell r="Q1298" t="str">
            <v>/  /</v>
          </cell>
        </row>
        <row r="1299">
          <cell r="A1299">
            <v>4040333</v>
          </cell>
          <cell r="B1299">
            <v>43852</v>
          </cell>
          <cell r="C1299" t="str">
            <v>PON</v>
          </cell>
          <cell r="D1299">
            <v>633728541</v>
          </cell>
          <cell r="E1299" t="str">
            <v>F20 PARALANE SQUARE 6.9 54M</v>
          </cell>
          <cell r="F1299">
            <v>1</v>
          </cell>
          <cell r="G1299">
            <v>0</v>
          </cell>
          <cell r="I1299" t="str">
            <v>IP094</v>
          </cell>
          <cell r="L1299">
            <v>25.4</v>
          </cell>
          <cell r="M1299">
            <v>0.53200000000000003</v>
          </cell>
          <cell r="N1299" t="str">
            <v>5W</v>
          </cell>
          <cell r="P1299" t="str">
            <v>PONFCS</v>
          </cell>
          <cell r="Q1299" t="str">
            <v>/  /</v>
          </cell>
        </row>
        <row r="1300">
          <cell r="A1300">
            <v>4086253</v>
          </cell>
          <cell r="B1300">
            <v>43852</v>
          </cell>
          <cell r="C1300" t="str">
            <v>PON</v>
          </cell>
          <cell r="D1300">
            <v>633728541</v>
          </cell>
          <cell r="E1300" t="str">
            <v>F20 PARALANE SQUARE 6.9 54M</v>
          </cell>
          <cell r="F1300">
            <v>1</v>
          </cell>
          <cell r="G1300">
            <v>0</v>
          </cell>
          <cell r="I1300" t="str">
            <v>IP094</v>
          </cell>
          <cell r="L1300">
            <v>25.4</v>
          </cell>
          <cell r="M1300">
            <v>0.53200000000000003</v>
          </cell>
          <cell r="N1300" t="str">
            <v>5W</v>
          </cell>
          <cell r="P1300" t="str">
            <v>PONFCS</v>
          </cell>
          <cell r="Q1300" t="str">
            <v>/  /</v>
          </cell>
        </row>
        <row r="1301">
          <cell r="A1301">
            <v>4087694</v>
          </cell>
          <cell r="B1301">
            <v>43852</v>
          </cell>
          <cell r="C1301" t="str">
            <v>PON</v>
          </cell>
          <cell r="D1301">
            <v>633728541</v>
          </cell>
          <cell r="E1301" t="str">
            <v>F20 PARALANE SQUARE 6.9 54M</v>
          </cell>
          <cell r="F1301">
            <v>1</v>
          </cell>
          <cell r="G1301">
            <v>0</v>
          </cell>
          <cell r="I1301" t="str">
            <v>IP094</v>
          </cell>
          <cell r="L1301">
            <v>25.4</v>
          </cell>
          <cell r="M1301">
            <v>0.53200000000000003</v>
          </cell>
          <cell r="N1301" t="str">
            <v>5W</v>
          </cell>
          <cell r="P1301" t="str">
            <v>PONFCS</v>
          </cell>
          <cell r="Q1301" t="str">
            <v>/  /</v>
          </cell>
        </row>
        <row r="1302">
          <cell r="A1302">
            <v>4089493</v>
          </cell>
          <cell r="B1302">
            <v>43852</v>
          </cell>
          <cell r="C1302" t="str">
            <v>PON</v>
          </cell>
          <cell r="D1302">
            <v>633728541</v>
          </cell>
          <cell r="E1302" t="str">
            <v>F20 PARALANE SQUARE 6.9 54M</v>
          </cell>
          <cell r="F1302">
            <v>1</v>
          </cell>
          <cell r="G1302">
            <v>0</v>
          </cell>
          <cell r="I1302" t="str">
            <v>IP094</v>
          </cell>
          <cell r="L1302">
            <v>25.4</v>
          </cell>
          <cell r="M1302">
            <v>0.53200000000000003</v>
          </cell>
          <cell r="N1302" t="str">
            <v>5W</v>
          </cell>
          <cell r="P1302" t="str">
            <v>PONFCS</v>
          </cell>
          <cell r="Q1302" t="str">
            <v>/  /</v>
          </cell>
        </row>
        <row r="1303">
          <cell r="A1303">
            <v>4020612</v>
          </cell>
          <cell r="B1303">
            <v>43837</v>
          </cell>
          <cell r="C1303" t="str">
            <v>PON</v>
          </cell>
          <cell r="D1303">
            <v>633728532</v>
          </cell>
          <cell r="E1303" t="str">
            <v>FC EBikeF19 P/Sqre 9.6 57L Red</v>
          </cell>
          <cell r="F1303">
            <v>1</v>
          </cell>
          <cell r="G1303">
            <v>0</v>
          </cell>
          <cell r="I1303" t="str">
            <v>IP104</v>
          </cell>
          <cell r="L1303">
            <v>23.6</v>
          </cell>
          <cell r="M1303">
            <v>0.58099999999999996</v>
          </cell>
          <cell r="N1303" t="str">
            <v>5W</v>
          </cell>
          <cell r="P1303" t="str">
            <v>PONFEB</v>
          </cell>
          <cell r="Q1303" t="str">
            <v>/  /</v>
          </cell>
        </row>
        <row r="1304">
          <cell r="A1304">
            <v>4040327</v>
          </cell>
          <cell r="B1304">
            <v>43852</v>
          </cell>
          <cell r="C1304" t="str">
            <v>PON</v>
          </cell>
          <cell r="D1304">
            <v>633728540</v>
          </cell>
          <cell r="E1304" t="str">
            <v>F20 PARALANE SQUARE 6.9 51S</v>
          </cell>
          <cell r="F1304">
            <v>1</v>
          </cell>
          <cell r="G1304">
            <v>0</v>
          </cell>
          <cell r="I1304" t="str">
            <v>IP123</v>
          </cell>
          <cell r="L1304">
            <v>25.3</v>
          </cell>
          <cell r="M1304">
            <v>0.53200000000000003</v>
          </cell>
          <cell r="N1304" t="str">
            <v>5W</v>
          </cell>
          <cell r="P1304" t="str">
            <v>PONFCS</v>
          </cell>
          <cell r="Q1304" t="str">
            <v>/  /</v>
          </cell>
        </row>
        <row r="1305">
          <cell r="A1305">
            <v>4086251</v>
          </cell>
          <cell r="B1305">
            <v>43852</v>
          </cell>
          <cell r="C1305" t="str">
            <v>PON</v>
          </cell>
          <cell r="D1305">
            <v>633728540</v>
          </cell>
          <cell r="E1305" t="str">
            <v>F20 PARALANE SQUARE 6.9 51S</v>
          </cell>
          <cell r="F1305">
            <v>1</v>
          </cell>
          <cell r="G1305">
            <v>0</v>
          </cell>
          <cell r="I1305" t="str">
            <v>IP123</v>
          </cell>
          <cell r="L1305">
            <v>25.3</v>
          </cell>
          <cell r="M1305">
            <v>0.53200000000000003</v>
          </cell>
          <cell r="N1305" t="str">
            <v>5W</v>
          </cell>
          <cell r="P1305" t="str">
            <v>PONFCS</v>
          </cell>
          <cell r="Q1305" t="str">
            <v>/  /</v>
          </cell>
        </row>
        <row r="1306">
          <cell r="A1306">
            <v>4087692</v>
          </cell>
          <cell r="B1306">
            <v>43852</v>
          </cell>
          <cell r="C1306" t="str">
            <v>PON</v>
          </cell>
          <cell r="D1306">
            <v>633728540</v>
          </cell>
          <cell r="E1306" t="str">
            <v>F20 PARALANE SQUARE 6.9 51S</v>
          </cell>
          <cell r="F1306">
            <v>1</v>
          </cell>
          <cell r="G1306">
            <v>0</v>
          </cell>
          <cell r="I1306" t="str">
            <v>IP123</v>
          </cell>
          <cell r="L1306">
            <v>25.3</v>
          </cell>
          <cell r="M1306">
            <v>0.53200000000000003</v>
          </cell>
          <cell r="N1306" t="str">
            <v>5W</v>
          </cell>
          <cell r="P1306" t="str">
            <v>PONFCS</v>
          </cell>
          <cell r="Q1306" t="str">
            <v>/  /</v>
          </cell>
        </row>
        <row r="1307">
          <cell r="A1307">
            <v>4089491</v>
          </cell>
          <cell r="B1307">
            <v>43852</v>
          </cell>
          <cell r="C1307" t="str">
            <v>PON</v>
          </cell>
          <cell r="D1307">
            <v>633728540</v>
          </cell>
          <cell r="E1307" t="str">
            <v>F20 PARALANE SQUARE 6.9 51S</v>
          </cell>
          <cell r="F1307">
            <v>1</v>
          </cell>
          <cell r="G1307">
            <v>0</v>
          </cell>
          <cell r="I1307" t="str">
            <v>IP123</v>
          </cell>
          <cell r="L1307">
            <v>25.3</v>
          </cell>
          <cell r="M1307">
            <v>0.53200000000000003</v>
          </cell>
          <cell r="N1307" t="str">
            <v>5W</v>
          </cell>
          <cell r="P1307" t="str">
            <v>PONFCS</v>
          </cell>
          <cell r="Q1307" t="str">
            <v>/  /</v>
          </cell>
        </row>
        <row r="1308">
          <cell r="A1308">
            <v>4578817</v>
          </cell>
          <cell r="B1308">
            <v>44176</v>
          </cell>
          <cell r="C1308" t="str">
            <v>PON</v>
          </cell>
          <cell r="D1308">
            <v>637518106</v>
          </cell>
          <cell r="E1308" t="str">
            <v>F20 JAM2 6.8 NINE 42M BLK BSCH</v>
          </cell>
          <cell r="F1308">
            <v>1</v>
          </cell>
          <cell r="G1308">
            <v>0</v>
          </cell>
          <cell r="I1308" t="str">
            <v>IP123</v>
          </cell>
          <cell r="L1308">
            <v>32.6</v>
          </cell>
          <cell r="M1308">
            <v>0.58099999999999996</v>
          </cell>
          <cell r="N1308" t="str">
            <v>5W</v>
          </cell>
          <cell r="P1308" t="str">
            <v>PONFCS</v>
          </cell>
          <cell r="Q1308" t="str">
            <v>/  /</v>
          </cell>
        </row>
        <row r="1309">
          <cell r="A1309">
            <v>4089453</v>
          </cell>
          <cell r="B1309">
            <v>43803</v>
          </cell>
          <cell r="C1309" t="str">
            <v>PON</v>
          </cell>
          <cell r="D1309">
            <v>633618553</v>
          </cell>
          <cell r="E1309" t="str">
            <v>FC EBikeF19 P/Sqre 6.8 60XL Rd</v>
          </cell>
          <cell r="F1309">
            <v>1</v>
          </cell>
          <cell r="G1309">
            <v>0</v>
          </cell>
          <cell r="I1309" t="str">
            <v>IP124</v>
          </cell>
          <cell r="L1309">
            <v>25.3</v>
          </cell>
          <cell r="M1309">
            <v>0.58099999999999996</v>
          </cell>
          <cell r="N1309" t="str">
            <v>5W</v>
          </cell>
          <cell r="P1309" t="str">
            <v>PONFEB</v>
          </cell>
          <cell r="Q1309" t="str">
            <v>/  /</v>
          </cell>
        </row>
        <row r="1310">
          <cell r="A1310">
            <v>4089497</v>
          </cell>
          <cell r="B1310">
            <v>43852</v>
          </cell>
          <cell r="C1310" t="str">
            <v>PON</v>
          </cell>
          <cell r="D1310">
            <v>633728550</v>
          </cell>
          <cell r="E1310" t="str">
            <v>F20 PARALANE SQUARE 6.7 51S</v>
          </cell>
          <cell r="F1310">
            <v>1</v>
          </cell>
          <cell r="G1310">
            <v>0</v>
          </cell>
          <cell r="I1310" t="str">
            <v>IP124</v>
          </cell>
          <cell r="L1310">
            <v>25.5</v>
          </cell>
          <cell r="M1310">
            <v>0.53200000000000003</v>
          </cell>
          <cell r="N1310" t="str">
            <v>5W</v>
          </cell>
          <cell r="P1310" t="str">
            <v>PONFCS</v>
          </cell>
          <cell r="Q1310" t="str">
            <v>/  /</v>
          </cell>
        </row>
        <row r="1311">
          <cell r="A1311">
            <v>4578818</v>
          </cell>
          <cell r="B1311">
            <v>44176</v>
          </cell>
          <cell r="C1311" t="str">
            <v>PON</v>
          </cell>
          <cell r="D1311">
            <v>637518106</v>
          </cell>
          <cell r="E1311" t="str">
            <v>F20 JAM2 6.8 NINE 42M BLK BSCH</v>
          </cell>
          <cell r="F1311">
            <v>1</v>
          </cell>
          <cell r="G1311">
            <v>0</v>
          </cell>
          <cell r="I1311" t="str">
            <v>IP124</v>
          </cell>
          <cell r="L1311">
            <v>32.6</v>
          </cell>
          <cell r="M1311">
            <v>0.58099999999999996</v>
          </cell>
          <cell r="N1311" t="str">
            <v>5W</v>
          </cell>
          <cell r="P1311" t="str">
            <v>PONFCS</v>
          </cell>
          <cell r="Q1311" t="str">
            <v>/  /</v>
          </cell>
        </row>
        <row r="1312">
          <cell r="A1312">
            <v>4578855</v>
          </cell>
          <cell r="B1312">
            <v>44176</v>
          </cell>
          <cell r="C1312" t="str">
            <v>PON</v>
          </cell>
          <cell r="D1312">
            <v>637518152</v>
          </cell>
          <cell r="E1312" t="str">
            <v>F20 JAM2 6.7 NINE 45L BLUE BSH</v>
          </cell>
          <cell r="F1312">
            <v>1</v>
          </cell>
          <cell r="G1312">
            <v>0</v>
          </cell>
          <cell r="I1312" t="str">
            <v>IP124</v>
          </cell>
          <cell r="L1312">
            <v>33</v>
          </cell>
          <cell r="M1312">
            <v>0.58099999999999996</v>
          </cell>
          <cell r="N1312" t="str">
            <v>5W</v>
          </cell>
          <cell r="P1312" t="str">
            <v>PONFCS</v>
          </cell>
          <cell r="Q1312" t="str">
            <v>/  /</v>
          </cell>
        </row>
        <row r="1313">
          <cell r="A1313">
            <v>3960863</v>
          </cell>
          <cell r="B1313">
            <v>43795</v>
          </cell>
          <cell r="C1313" t="str">
            <v>PON</v>
          </cell>
          <cell r="D1313">
            <v>633618552</v>
          </cell>
          <cell r="E1313" t="str">
            <v>FC EBikeF19 P/Sqre 6.8 57L Red</v>
          </cell>
          <cell r="F1313">
            <v>1</v>
          </cell>
          <cell r="G1313">
            <v>0</v>
          </cell>
          <cell r="I1313" t="str">
            <v>IP133</v>
          </cell>
          <cell r="L1313">
            <v>25.9</v>
          </cell>
          <cell r="M1313">
            <v>0.58099999999999996</v>
          </cell>
          <cell r="N1313" t="str">
            <v>5W</v>
          </cell>
          <cell r="P1313" t="str">
            <v>PONFEB</v>
          </cell>
          <cell r="Q1313" t="str">
            <v>/  /</v>
          </cell>
        </row>
        <row r="1314">
          <cell r="A1314">
            <v>4087649</v>
          </cell>
          <cell r="B1314">
            <v>43795</v>
          </cell>
          <cell r="C1314" t="str">
            <v>PON</v>
          </cell>
          <cell r="D1314">
            <v>633618552</v>
          </cell>
          <cell r="E1314" t="str">
            <v>FC EBikeF19 P/Sqre 6.8 57L Red</v>
          </cell>
          <cell r="F1314">
            <v>1</v>
          </cell>
          <cell r="G1314">
            <v>0</v>
          </cell>
          <cell r="I1314" t="str">
            <v>IP133</v>
          </cell>
          <cell r="L1314">
            <v>25.9</v>
          </cell>
          <cell r="M1314">
            <v>0.58099999999999996</v>
          </cell>
          <cell r="N1314" t="str">
            <v>5W</v>
          </cell>
          <cell r="P1314" t="str">
            <v>PONFEB</v>
          </cell>
          <cell r="Q1314" t="str">
            <v>/  /</v>
          </cell>
        </row>
        <row r="1315">
          <cell r="A1315">
            <v>4031727</v>
          </cell>
          <cell r="B1315">
            <v>43847</v>
          </cell>
          <cell r="C1315" t="str">
            <v>PON</v>
          </cell>
          <cell r="D1315" t="str">
            <v>A2949</v>
          </cell>
          <cell r="E1315" t="str">
            <v>GZ G17 Orange CX HMB 61 Men</v>
          </cell>
          <cell r="F1315">
            <v>1</v>
          </cell>
          <cell r="G1315">
            <v>0</v>
          </cell>
          <cell r="I1315" t="str">
            <v>IP133</v>
          </cell>
          <cell r="L1315">
            <v>33.5</v>
          </cell>
          <cell r="M1315">
            <v>0.621</v>
          </cell>
          <cell r="N1315" t="str">
            <v>5W</v>
          </cell>
          <cell r="P1315" t="str">
            <v>PONGAZ</v>
          </cell>
          <cell r="Q1315" t="str">
            <v>/  /</v>
          </cell>
        </row>
        <row r="1316">
          <cell r="A1316">
            <v>4040355</v>
          </cell>
          <cell r="B1316">
            <v>43852</v>
          </cell>
          <cell r="C1316" t="str">
            <v>PON</v>
          </cell>
          <cell r="D1316">
            <v>633728552</v>
          </cell>
          <cell r="E1316" t="str">
            <v>F20 PARALANE SQUARE 6.7 57L</v>
          </cell>
          <cell r="F1316">
            <v>1</v>
          </cell>
          <cell r="G1316">
            <v>0</v>
          </cell>
          <cell r="I1316" t="str">
            <v>IP134</v>
          </cell>
          <cell r="L1316">
            <v>25.9</v>
          </cell>
          <cell r="M1316">
            <v>0.53200000000000003</v>
          </cell>
          <cell r="N1316" t="str">
            <v>5W</v>
          </cell>
          <cell r="P1316" t="str">
            <v>PONFCS</v>
          </cell>
          <cell r="Q1316" t="str">
            <v>/  /</v>
          </cell>
        </row>
        <row r="1317">
          <cell r="A1317">
            <v>4086261</v>
          </cell>
          <cell r="B1317">
            <v>43852</v>
          </cell>
          <cell r="C1317" t="str">
            <v>PON</v>
          </cell>
          <cell r="D1317">
            <v>633728552</v>
          </cell>
          <cell r="E1317" t="str">
            <v>F20 PARALANE SQUARE 6.7 57L</v>
          </cell>
          <cell r="F1317">
            <v>1</v>
          </cell>
          <cell r="G1317">
            <v>0</v>
          </cell>
          <cell r="I1317" t="str">
            <v>IP134</v>
          </cell>
          <cell r="L1317">
            <v>25.9</v>
          </cell>
          <cell r="M1317">
            <v>0.53200000000000003</v>
          </cell>
          <cell r="N1317" t="str">
            <v>5W</v>
          </cell>
          <cell r="P1317" t="str">
            <v>PONFCS</v>
          </cell>
          <cell r="Q1317" t="str">
            <v>/  /</v>
          </cell>
        </row>
        <row r="1318">
          <cell r="A1318">
            <v>4087702</v>
          </cell>
          <cell r="B1318">
            <v>43852</v>
          </cell>
          <cell r="C1318" t="str">
            <v>PON</v>
          </cell>
          <cell r="D1318">
            <v>633728552</v>
          </cell>
          <cell r="E1318" t="str">
            <v>F20 PARALANE SQUARE 6.7 57L</v>
          </cell>
          <cell r="F1318">
            <v>1</v>
          </cell>
          <cell r="G1318">
            <v>0</v>
          </cell>
          <cell r="I1318" t="str">
            <v>IP134</v>
          </cell>
          <cell r="L1318">
            <v>25.9</v>
          </cell>
          <cell r="M1318">
            <v>0.53200000000000003</v>
          </cell>
          <cell r="N1318" t="str">
            <v>5W</v>
          </cell>
          <cell r="P1318" t="str">
            <v>PONFCS</v>
          </cell>
          <cell r="Q1318" t="str">
            <v>/  /</v>
          </cell>
        </row>
        <row r="1319">
          <cell r="A1319">
            <v>4089501</v>
          </cell>
          <cell r="B1319">
            <v>43852</v>
          </cell>
          <cell r="C1319" t="str">
            <v>PON</v>
          </cell>
          <cell r="D1319">
            <v>633728552</v>
          </cell>
          <cell r="E1319" t="str">
            <v>F20 PARALANE SQUARE 6.7 57L</v>
          </cell>
          <cell r="F1319">
            <v>1</v>
          </cell>
          <cell r="G1319">
            <v>0</v>
          </cell>
          <cell r="I1319" t="str">
            <v>IP134</v>
          </cell>
          <cell r="L1319">
            <v>25.9</v>
          </cell>
          <cell r="M1319">
            <v>0.53200000000000003</v>
          </cell>
          <cell r="N1319" t="str">
            <v>5W</v>
          </cell>
          <cell r="P1319" t="str">
            <v>PONFCS</v>
          </cell>
          <cell r="Q1319" t="str">
            <v>/  /</v>
          </cell>
        </row>
        <row r="1320">
          <cell r="A1320">
            <v>4089449</v>
          </cell>
          <cell r="B1320">
            <v>43795</v>
          </cell>
          <cell r="C1320" t="str">
            <v>PON</v>
          </cell>
          <cell r="D1320">
            <v>633618552</v>
          </cell>
          <cell r="E1320" t="str">
            <v>FC EBikeF19 P/Sqre 6.8 57L Red</v>
          </cell>
          <cell r="F1320">
            <v>1</v>
          </cell>
          <cell r="G1320">
            <v>0</v>
          </cell>
          <cell r="I1320" t="str">
            <v>IP143</v>
          </cell>
          <cell r="L1320">
            <v>25.9</v>
          </cell>
          <cell r="M1320">
            <v>0.58099999999999996</v>
          </cell>
          <cell r="N1320" t="str">
            <v>5W</v>
          </cell>
          <cell r="P1320" t="str">
            <v>PONFEB</v>
          </cell>
          <cell r="Q1320" t="str">
            <v>/  /</v>
          </cell>
        </row>
        <row r="1321">
          <cell r="A1321">
            <v>4041739</v>
          </cell>
          <cell r="B1321">
            <v>43852</v>
          </cell>
          <cell r="C1321" t="str">
            <v>PON</v>
          </cell>
          <cell r="D1321">
            <v>633728531</v>
          </cell>
          <cell r="E1321" t="str">
            <v>FC EBikeF19 P/Sqre 9.6 54M Red</v>
          </cell>
          <cell r="F1321">
            <v>1</v>
          </cell>
          <cell r="G1321">
            <v>0</v>
          </cell>
          <cell r="I1321" t="str">
            <v>IP143</v>
          </cell>
          <cell r="L1321">
            <v>24</v>
          </cell>
          <cell r="M1321">
            <v>0.53200000000000003</v>
          </cell>
          <cell r="N1321" t="str">
            <v>5W</v>
          </cell>
          <cell r="P1321" t="str">
            <v>PONFEB</v>
          </cell>
          <cell r="Q1321" t="str">
            <v>/  /</v>
          </cell>
        </row>
        <row r="1322">
          <cell r="A1322">
            <v>4086243</v>
          </cell>
          <cell r="B1322">
            <v>43852</v>
          </cell>
          <cell r="C1322" t="str">
            <v>PON</v>
          </cell>
          <cell r="D1322">
            <v>633728531</v>
          </cell>
          <cell r="E1322" t="str">
            <v>FC EBikeF19 P/Sqre 9.6 54M Red</v>
          </cell>
          <cell r="F1322">
            <v>1</v>
          </cell>
          <cell r="G1322">
            <v>0</v>
          </cell>
          <cell r="I1322" t="str">
            <v>IP143</v>
          </cell>
          <cell r="L1322">
            <v>24</v>
          </cell>
          <cell r="M1322">
            <v>0.53200000000000003</v>
          </cell>
          <cell r="N1322" t="str">
            <v>5W</v>
          </cell>
          <cell r="P1322" t="str">
            <v>PONFEB</v>
          </cell>
          <cell r="Q1322" t="str">
            <v>/  /</v>
          </cell>
        </row>
        <row r="1323">
          <cell r="A1323">
            <v>4087686</v>
          </cell>
          <cell r="B1323">
            <v>43852</v>
          </cell>
          <cell r="C1323" t="str">
            <v>PON</v>
          </cell>
          <cell r="D1323">
            <v>633728531</v>
          </cell>
          <cell r="E1323" t="str">
            <v>FC EBikeF19 P/Sqre 9.6 54M Red</v>
          </cell>
          <cell r="F1323">
            <v>1</v>
          </cell>
          <cell r="G1323">
            <v>0</v>
          </cell>
          <cell r="I1323" t="str">
            <v>IP143</v>
          </cell>
          <cell r="L1323">
            <v>24</v>
          </cell>
          <cell r="M1323">
            <v>0.53200000000000003</v>
          </cell>
          <cell r="N1323" t="str">
            <v>5W</v>
          </cell>
          <cell r="P1323" t="str">
            <v>PONFEB</v>
          </cell>
          <cell r="Q1323" t="str">
            <v>/  /</v>
          </cell>
        </row>
        <row r="1324">
          <cell r="A1324">
            <v>4089485</v>
          </cell>
          <cell r="B1324">
            <v>43852</v>
          </cell>
          <cell r="C1324" t="str">
            <v>PON</v>
          </cell>
          <cell r="D1324">
            <v>633728531</v>
          </cell>
          <cell r="E1324" t="str">
            <v>FC EBikeF19 P/Sqre 9.6 54M Red</v>
          </cell>
          <cell r="F1324">
            <v>1</v>
          </cell>
          <cell r="G1324">
            <v>0</v>
          </cell>
          <cell r="I1324" t="str">
            <v>IP143</v>
          </cell>
          <cell r="L1324">
            <v>24</v>
          </cell>
          <cell r="M1324">
            <v>0.53200000000000003</v>
          </cell>
          <cell r="N1324" t="str">
            <v>5W</v>
          </cell>
          <cell r="P1324" t="str">
            <v>PONFEB</v>
          </cell>
          <cell r="Q1324" t="str">
            <v>/  /</v>
          </cell>
        </row>
        <row r="1325">
          <cell r="A1325">
            <v>3960862</v>
          </cell>
          <cell r="B1325">
            <v>43795</v>
          </cell>
          <cell r="C1325" t="str">
            <v>PON</v>
          </cell>
          <cell r="D1325">
            <v>633618552</v>
          </cell>
          <cell r="E1325" t="str">
            <v>FC EBikeF19 P/Sqre 6.8 57L Red</v>
          </cell>
          <cell r="F1325">
            <v>1</v>
          </cell>
          <cell r="G1325">
            <v>0</v>
          </cell>
          <cell r="I1325" t="str">
            <v>IP153</v>
          </cell>
          <cell r="L1325">
            <v>25.9</v>
          </cell>
          <cell r="M1325">
            <v>0.58099999999999996</v>
          </cell>
          <cell r="N1325" t="str">
            <v>5W</v>
          </cell>
          <cell r="P1325" t="str">
            <v>PONFEB</v>
          </cell>
          <cell r="Q1325" t="str">
            <v>/  /</v>
          </cell>
        </row>
        <row r="1326">
          <cell r="A1326">
            <v>4086227</v>
          </cell>
          <cell r="B1326">
            <v>43795</v>
          </cell>
          <cell r="C1326" t="str">
            <v>PON</v>
          </cell>
          <cell r="D1326">
            <v>633618552</v>
          </cell>
          <cell r="E1326" t="str">
            <v>FC EBikeF19 P/Sqre 6.8 57L Red</v>
          </cell>
          <cell r="F1326">
            <v>1</v>
          </cell>
          <cell r="G1326">
            <v>0</v>
          </cell>
          <cell r="I1326" t="str">
            <v>IP153</v>
          </cell>
          <cell r="L1326">
            <v>25.9</v>
          </cell>
          <cell r="M1326">
            <v>0.58099999999999996</v>
          </cell>
          <cell r="N1326" t="str">
            <v>5W</v>
          </cell>
          <cell r="P1326" t="str">
            <v>PONFEB</v>
          </cell>
          <cell r="Q1326" t="str">
            <v>/  /</v>
          </cell>
        </row>
        <row r="1327">
          <cell r="A1327">
            <v>4087648</v>
          </cell>
          <cell r="B1327">
            <v>43795</v>
          </cell>
          <cell r="C1327" t="str">
            <v>PON</v>
          </cell>
          <cell r="D1327">
            <v>633618552</v>
          </cell>
          <cell r="E1327" t="str">
            <v>FC EBikeF19 P/Sqre 6.8 57L Red</v>
          </cell>
          <cell r="F1327">
            <v>1</v>
          </cell>
          <cell r="G1327">
            <v>0</v>
          </cell>
          <cell r="I1327" t="str">
            <v>IP153</v>
          </cell>
          <cell r="L1327">
            <v>25.9</v>
          </cell>
          <cell r="M1327">
            <v>0.58099999999999996</v>
          </cell>
          <cell r="N1327" t="str">
            <v>5W</v>
          </cell>
          <cell r="P1327" t="str">
            <v>PONFEB</v>
          </cell>
          <cell r="Q1327" t="str">
            <v>/  /</v>
          </cell>
        </row>
        <row r="1328">
          <cell r="A1328">
            <v>4089448</v>
          </cell>
          <cell r="B1328">
            <v>43795</v>
          </cell>
          <cell r="C1328" t="str">
            <v>PON</v>
          </cell>
          <cell r="D1328">
            <v>633618552</v>
          </cell>
          <cell r="E1328" t="str">
            <v>FC EBikeF19 P/Sqre 6.8 57L Red</v>
          </cell>
          <cell r="F1328">
            <v>1</v>
          </cell>
          <cell r="G1328">
            <v>0</v>
          </cell>
          <cell r="I1328" t="str">
            <v>IP153</v>
          </cell>
          <cell r="L1328">
            <v>25.9</v>
          </cell>
          <cell r="M1328">
            <v>0.58099999999999996</v>
          </cell>
          <cell r="N1328" t="str">
            <v>5W</v>
          </cell>
          <cell r="P1328" t="str">
            <v>PONFEB</v>
          </cell>
          <cell r="Q1328" t="str">
            <v>/  /</v>
          </cell>
        </row>
        <row r="1329">
          <cell r="A1329">
            <v>4040319</v>
          </cell>
          <cell r="B1329">
            <v>43852</v>
          </cell>
          <cell r="C1329" t="str">
            <v>PON</v>
          </cell>
          <cell r="D1329">
            <v>633728536</v>
          </cell>
          <cell r="E1329" t="str">
            <v>FC EBF19 P/Sqre9.6 54MBlkAnth</v>
          </cell>
          <cell r="F1329">
            <v>1</v>
          </cell>
          <cell r="G1329">
            <v>0</v>
          </cell>
          <cell r="I1329" t="str">
            <v>IP154</v>
          </cell>
          <cell r="L1329">
            <v>24.1</v>
          </cell>
          <cell r="M1329">
            <v>0.53200000000000003</v>
          </cell>
          <cell r="N1329" t="str">
            <v>5W</v>
          </cell>
          <cell r="P1329" t="str">
            <v>PONFEB</v>
          </cell>
          <cell r="Q1329" t="str">
            <v>/  /</v>
          </cell>
        </row>
        <row r="1330">
          <cell r="A1330">
            <v>4086249</v>
          </cell>
          <cell r="B1330">
            <v>43852</v>
          </cell>
          <cell r="C1330" t="str">
            <v>PON</v>
          </cell>
          <cell r="D1330">
            <v>633728536</v>
          </cell>
          <cell r="E1330" t="str">
            <v>FC EBF19 P/Sqre9.6 54MBlkAnth</v>
          </cell>
          <cell r="F1330">
            <v>1</v>
          </cell>
          <cell r="G1330">
            <v>0</v>
          </cell>
          <cell r="I1330" t="str">
            <v>IP154</v>
          </cell>
          <cell r="L1330">
            <v>24.1</v>
          </cell>
          <cell r="M1330">
            <v>0.53200000000000003</v>
          </cell>
          <cell r="N1330" t="str">
            <v>5W</v>
          </cell>
          <cell r="P1330" t="str">
            <v>PONFEB</v>
          </cell>
          <cell r="Q1330" t="str">
            <v>/  /</v>
          </cell>
        </row>
        <row r="1331">
          <cell r="A1331">
            <v>4087690</v>
          </cell>
          <cell r="B1331">
            <v>43852</v>
          </cell>
          <cell r="C1331" t="str">
            <v>PON</v>
          </cell>
          <cell r="D1331">
            <v>633728536</v>
          </cell>
          <cell r="E1331" t="str">
            <v>FC EBF19 P/Sqre9.6 54MBlkAnth</v>
          </cell>
          <cell r="F1331">
            <v>1</v>
          </cell>
          <cell r="G1331">
            <v>0</v>
          </cell>
          <cell r="I1331" t="str">
            <v>IP154</v>
          </cell>
          <cell r="L1331">
            <v>24.1</v>
          </cell>
          <cell r="M1331">
            <v>0.53200000000000003</v>
          </cell>
          <cell r="N1331" t="str">
            <v>5W</v>
          </cell>
          <cell r="P1331" t="str">
            <v>PONFEB</v>
          </cell>
          <cell r="Q1331" t="str">
            <v>/  /</v>
          </cell>
        </row>
        <row r="1332">
          <cell r="A1332">
            <v>4089489</v>
          </cell>
          <cell r="B1332">
            <v>43852</v>
          </cell>
          <cell r="C1332" t="str">
            <v>PON</v>
          </cell>
          <cell r="D1332">
            <v>633728536</v>
          </cell>
          <cell r="E1332" t="str">
            <v>FC EBF19 P/Sqre9.6 54MBlkAnth</v>
          </cell>
          <cell r="F1332">
            <v>1</v>
          </cell>
          <cell r="G1332">
            <v>0</v>
          </cell>
          <cell r="I1332" t="str">
            <v>IP154</v>
          </cell>
          <cell r="L1332">
            <v>24.1</v>
          </cell>
          <cell r="M1332">
            <v>0.53200000000000003</v>
          </cell>
          <cell r="N1332" t="str">
            <v>5W</v>
          </cell>
          <cell r="P1332" t="str">
            <v>PONFEB</v>
          </cell>
          <cell r="Q1332" t="str">
            <v>/  /</v>
          </cell>
        </row>
        <row r="1333">
          <cell r="A1333">
            <v>4024713</v>
          </cell>
          <cell r="B1333">
            <v>43840</v>
          </cell>
          <cell r="C1333" t="str">
            <v>PON</v>
          </cell>
          <cell r="D1333">
            <v>633728532</v>
          </cell>
          <cell r="E1333" t="str">
            <v>FC EBikeF19 P/Sqre 9.6 57L Red</v>
          </cell>
          <cell r="F1333">
            <v>1</v>
          </cell>
          <cell r="G1333">
            <v>0</v>
          </cell>
          <cell r="I1333" t="str">
            <v>IP164</v>
          </cell>
          <cell r="L1333">
            <v>23.6</v>
          </cell>
          <cell r="M1333">
            <v>0.58099999999999996</v>
          </cell>
          <cell r="N1333" t="str">
            <v>5W</v>
          </cell>
          <cell r="P1333" t="str">
            <v>PONFEB</v>
          </cell>
          <cell r="Q1333" t="str">
            <v>/  /</v>
          </cell>
        </row>
        <row r="1334">
          <cell r="A1334">
            <v>4088120</v>
          </cell>
          <cell r="B1334">
            <v>43840</v>
          </cell>
          <cell r="C1334" t="str">
            <v>PON</v>
          </cell>
          <cell r="D1334">
            <v>633728532</v>
          </cell>
          <cell r="E1334" t="str">
            <v>FC EBikeF19 P/Sqre 9.6 57L Red</v>
          </cell>
          <cell r="F1334">
            <v>1</v>
          </cell>
          <cell r="G1334">
            <v>0</v>
          </cell>
          <cell r="I1334" t="str">
            <v>IP164</v>
          </cell>
          <cell r="L1334">
            <v>23.6</v>
          </cell>
          <cell r="M1334">
            <v>0.58099999999999996</v>
          </cell>
          <cell r="N1334" t="str">
            <v>5W</v>
          </cell>
          <cell r="P1334" t="str">
            <v>PONFEB</v>
          </cell>
          <cell r="Q1334" t="str">
            <v>/  /</v>
          </cell>
        </row>
        <row r="1335">
          <cell r="A1335">
            <v>4657911</v>
          </cell>
          <cell r="B1335">
            <v>44235</v>
          </cell>
          <cell r="C1335" t="str">
            <v>PON</v>
          </cell>
          <cell r="D1335">
            <v>637517000</v>
          </cell>
          <cell r="E1335" t="str">
            <v>F20 Thron2 6.7 40S Green</v>
          </cell>
          <cell r="F1335">
            <v>1</v>
          </cell>
          <cell r="G1335">
            <v>0</v>
          </cell>
          <cell r="I1335" t="str">
            <v>JA000</v>
          </cell>
          <cell r="J1335">
            <v>1</v>
          </cell>
          <cell r="L1335">
            <v>31.8</v>
          </cell>
          <cell r="M1335">
            <v>0.58099999999999996</v>
          </cell>
          <cell r="N1335" t="str">
            <v>5W</v>
          </cell>
          <cell r="P1335" t="str">
            <v>PONFCS</v>
          </cell>
          <cell r="Q1335">
            <v>631987016</v>
          </cell>
        </row>
        <row r="1336">
          <cell r="A1336">
            <v>4657912</v>
          </cell>
          <cell r="B1336">
            <v>44235</v>
          </cell>
          <cell r="C1336" t="str">
            <v>PON</v>
          </cell>
          <cell r="D1336">
            <v>637517000</v>
          </cell>
          <cell r="E1336" t="str">
            <v>F20 Thron2 6.7 40S Green</v>
          </cell>
          <cell r="F1336">
            <v>1</v>
          </cell>
          <cell r="G1336">
            <v>0</v>
          </cell>
          <cell r="I1336" t="str">
            <v>JA000</v>
          </cell>
          <cell r="J1336">
            <v>1</v>
          </cell>
          <cell r="L1336">
            <v>31.8</v>
          </cell>
          <cell r="M1336">
            <v>0.58099999999999996</v>
          </cell>
          <cell r="N1336" t="str">
            <v>5W</v>
          </cell>
          <cell r="P1336" t="str">
            <v>PONFCS</v>
          </cell>
          <cell r="Q1336">
            <v>631987013</v>
          </cell>
        </row>
        <row r="1337">
          <cell r="A1337">
            <v>4657913</v>
          </cell>
          <cell r="B1337">
            <v>44235</v>
          </cell>
          <cell r="C1337" t="str">
            <v>PON</v>
          </cell>
          <cell r="D1337">
            <v>637517000</v>
          </cell>
          <cell r="E1337" t="str">
            <v>F20 Thron2 6.7 40S Green</v>
          </cell>
          <cell r="F1337">
            <v>1</v>
          </cell>
          <cell r="G1337">
            <v>0</v>
          </cell>
          <cell r="I1337" t="str">
            <v>JA000</v>
          </cell>
          <cell r="J1337">
            <v>1</v>
          </cell>
          <cell r="L1337">
            <v>31.8</v>
          </cell>
          <cell r="M1337">
            <v>0.58099999999999996</v>
          </cell>
          <cell r="N1337" t="str">
            <v>5W</v>
          </cell>
          <cell r="P1337" t="str">
            <v>PONFCS</v>
          </cell>
          <cell r="Q1337">
            <v>631987015</v>
          </cell>
        </row>
        <row r="1338">
          <cell r="A1338">
            <v>4657914</v>
          </cell>
          <cell r="B1338">
            <v>44235</v>
          </cell>
          <cell r="C1338" t="str">
            <v>PON</v>
          </cell>
          <cell r="D1338">
            <v>637517000</v>
          </cell>
          <cell r="E1338" t="str">
            <v>F20 Thron2 6.7 40S Green</v>
          </cell>
          <cell r="F1338">
            <v>1</v>
          </cell>
          <cell r="G1338">
            <v>0</v>
          </cell>
          <cell r="I1338" t="str">
            <v>JA000</v>
          </cell>
          <cell r="J1338">
            <v>1</v>
          </cell>
          <cell r="L1338">
            <v>31.8</v>
          </cell>
          <cell r="M1338">
            <v>0.58099999999999996</v>
          </cell>
          <cell r="N1338" t="str">
            <v>5W</v>
          </cell>
          <cell r="P1338" t="str">
            <v>PONFCS</v>
          </cell>
          <cell r="Q1338">
            <v>631987014</v>
          </cell>
        </row>
        <row r="1339">
          <cell r="A1339">
            <v>4657915</v>
          </cell>
          <cell r="B1339">
            <v>44235</v>
          </cell>
          <cell r="C1339" t="str">
            <v>PON</v>
          </cell>
          <cell r="D1339">
            <v>637517000</v>
          </cell>
          <cell r="E1339" t="str">
            <v>F20 Thron2 6.7 40S Green</v>
          </cell>
          <cell r="F1339">
            <v>1</v>
          </cell>
          <cell r="G1339">
            <v>0</v>
          </cell>
          <cell r="I1339" t="str">
            <v>JA000</v>
          </cell>
          <cell r="J1339">
            <v>1</v>
          </cell>
          <cell r="L1339">
            <v>31.8</v>
          </cell>
          <cell r="M1339">
            <v>0.58099999999999996</v>
          </cell>
          <cell r="N1339" t="str">
            <v>5W</v>
          </cell>
          <cell r="P1339" t="str">
            <v>PONFCS</v>
          </cell>
          <cell r="Q1339">
            <v>631987012</v>
          </cell>
        </row>
        <row r="1340">
          <cell r="A1340">
            <v>4657916</v>
          </cell>
          <cell r="B1340">
            <v>44235</v>
          </cell>
          <cell r="C1340" t="str">
            <v>PON</v>
          </cell>
          <cell r="D1340">
            <v>637517000</v>
          </cell>
          <cell r="E1340" t="str">
            <v>F20 Thron2 6.7 40S Green</v>
          </cell>
          <cell r="F1340">
            <v>1</v>
          </cell>
          <cell r="G1340">
            <v>0</v>
          </cell>
          <cell r="I1340" t="str">
            <v>JA000</v>
          </cell>
          <cell r="J1340">
            <v>1</v>
          </cell>
          <cell r="L1340">
            <v>31.8</v>
          </cell>
          <cell r="M1340">
            <v>0.58099999999999996</v>
          </cell>
          <cell r="N1340" t="str">
            <v>5W</v>
          </cell>
          <cell r="P1340" t="str">
            <v>PONFCS</v>
          </cell>
          <cell r="Q1340">
            <v>631987008</v>
          </cell>
        </row>
        <row r="1341">
          <cell r="A1341">
            <v>4657917</v>
          </cell>
          <cell r="B1341">
            <v>44235</v>
          </cell>
          <cell r="C1341" t="str">
            <v>PON</v>
          </cell>
          <cell r="D1341">
            <v>637517000</v>
          </cell>
          <cell r="E1341" t="str">
            <v>F20 Thron2 6.7 40S Green</v>
          </cell>
          <cell r="F1341">
            <v>1</v>
          </cell>
          <cell r="G1341">
            <v>0</v>
          </cell>
          <cell r="I1341" t="str">
            <v>JA000</v>
          </cell>
          <cell r="J1341">
            <v>1</v>
          </cell>
          <cell r="L1341">
            <v>31.8</v>
          </cell>
          <cell r="M1341">
            <v>0.58099999999999996</v>
          </cell>
          <cell r="N1341" t="str">
            <v>5W</v>
          </cell>
          <cell r="P1341" t="str">
            <v>PONFCS</v>
          </cell>
          <cell r="Q1341">
            <v>631987009</v>
          </cell>
        </row>
        <row r="1342">
          <cell r="A1342">
            <v>4657919</v>
          </cell>
          <cell r="B1342">
            <v>44235</v>
          </cell>
          <cell r="C1342" t="str">
            <v>PON</v>
          </cell>
          <cell r="D1342">
            <v>637518010</v>
          </cell>
          <cell r="E1342" t="str">
            <v>F20 Thron2 6.8 40S Green</v>
          </cell>
          <cell r="F1342">
            <v>1</v>
          </cell>
          <cell r="G1342">
            <v>0</v>
          </cell>
          <cell r="I1342" t="str">
            <v>JA000</v>
          </cell>
          <cell r="J1342">
            <v>1</v>
          </cell>
          <cell r="L1342">
            <v>33</v>
          </cell>
          <cell r="M1342">
            <v>0.58099999999999996</v>
          </cell>
          <cell r="N1342" t="str">
            <v>5W</v>
          </cell>
          <cell r="P1342" t="str">
            <v>PONFCS</v>
          </cell>
          <cell r="Q1342">
            <v>632031007</v>
          </cell>
        </row>
        <row r="1343">
          <cell r="A1343">
            <v>4657920</v>
          </cell>
          <cell r="B1343">
            <v>44235</v>
          </cell>
          <cell r="C1343" t="str">
            <v>PON</v>
          </cell>
          <cell r="D1343">
            <v>637518010</v>
          </cell>
          <cell r="E1343" t="str">
            <v>F20 Thron2 6.8 40S Green</v>
          </cell>
          <cell r="F1343">
            <v>1</v>
          </cell>
          <cell r="G1343">
            <v>0</v>
          </cell>
          <cell r="I1343" t="str">
            <v>JA000</v>
          </cell>
          <cell r="J1343">
            <v>1</v>
          </cell>
          <cell r="L1343">
            <v>33</v>
          </cell>
          <cell r="M1343">
            <v>0.58099999999999996</v>
          </cell>
          <cell r="N1343" t="str">
            <v>5W</v>
          </cell>
          <cell r="P1343" t="str">
            <v>PONFCS</v>
          </cell>
          <cell r="Q1343">
            <v>632031029</v>
          </cell>
        </row>
        <row r="1344">
          <cell r="A1344">
            <v>4657921</v>
          </cell>
          <cell r="B1344">
            <v>44235</v>
          </cell>
          <cell r="C1344" t="str">
            <v>PON</v>
          </cell>
          <cell r="D1344">
            <v>637518010</v>
          </cell>
          <cell r="E1344" t="str">
            <v>F20 Thron2 6.8 40S Green</v>
          </cell>
          <cell r="F1344">
            <v>1</v>
          </cell>
          <cell r="G1344">
            <v>0</v>
          </cell>
          <cell r="I1344" t="str">
            <v>JA000</v>
          </cell>
          <cell r="J1344">
            <v>1</v>
          </cell>
          <cell r="L1344">
            <v>33</v>
          </cell>
          <cell r="M1344">
            <v>0.58099999999999996</v>
          </cell>
          <cell r="N1344" t="str">
            <v>5W</v>
          </cell>
          <cell r="P1344" t="str">
            <v>PONFCS</v>
          </cell>
          <cell r="Q1344">
            <v>632031015</v>
          </cell>
        </row>
        <row r="1345">
          <cell r="A1345">
            <v>4657922</v>
          </cell>
          <cell r="B1345">
            <v>44235</v>
          </cell>
          <cell r="C1345" t="str">
            <v>PON</v>
          </cell>
          <cell r="D1345">
            <v>637518010</v>
          </cell>
          <cell r="E1345" t="str">
            <v>F20 Thron2 6.8 40S Green</v>
          </cell>
          <cell r="F1345">
            <v>1</v>
          </cell>
          <cell r="G1345">
            <v>0</v>
          </cell>
          <cell r="I1345" t="str">
            <v>JA000</v>
          </cell>
          <cell r="J1345">
            <v>1</v>
          </cell>
          <cell r="L1345">
            <v>33</v>
          </cell>
          <cell r="M1345">
            <v>0.58099999999999996</v>
          </cell>
          <cell r="N1345" t="str">
            <v>5W</v>
          </cell>
          <cell r="P1345" t="str">
            <v>PONFCS</v>
          </cell>
          <cell r="Q1345">
            <v>632031018</v>
          </cell>
        </row>
        <row r="1346">
          <cell r="A1346">
            <v>4657923</v>
          </cell>
          <cell r="B1346">
            <v>44235</v>
          </cell>
          <cell r="C1346" t="str">
            <v>PON</v>
          </cell>
          <cell r="D1346">
            <v>637518010</v>
          </cell>
          <cell r="E1346" t="str">
            <v>F20 Thron2 6.8 40S Green</v>
          </cell>
          <cell r="F1346">
            <v>1</v>
          </cell>
          <cell r="G1346">
            <v>0</v>
          </cell>
          <cell r="I1346" t="str">
            <v>JA000</v>
          </cell>
          <cell r="J1346">
            <v>1</v>
          </cell>
          <cell r="L1346">
            <v>33</v>
          </cell>
          <cell r="M1346">
            <v>0.58099999999999996</v>
          </cell>
          <cell r="N1346" t="str">
            <v>5W</v>
          </cell>
          <cell r="P1346" t="str">
            <v>PONFCS</v>
          </cell>
          <cell r="Q1346">
            <v>632031004</v>
          </cell>
        </row>
        <row r="1347">
          <cell r="A1347">
            <v>4657924</v>
          </cell>
          <cell r="B1347">
            <v>44235</v>
          </cell>
          <cell r="C1347" t="str">
            <v>PON</v>
          </cell>
          <cell r="D1347">
            <v>637518010</v>
          </cell>
          <cell r="E1347" t="str">
            <v>F20 Thron2 6.8 40S Green</v>
          </cell>
          <cell r="F1347">
            <v>1</v>
          </cell>
          <cell r="G1347">
            <v>0</v>
          </cell>
          <cell r="I1347" t="str">
            <v>JA000</v>
          </cell>
          <cell r="J1347">
            <v>1</v>
          </cell>
          <cell r="L1347">
            <v>33</v>
          </cell>
          <cell r="M1347">
            <v>0.58099999999999996</v>
          </cell>
          <cell r="N1347" t="str">
            <v>5W</v>
          </cell>
          <cell r="P1347" t="str">
            <v>PONFCS</v>
          </cell>
          <cell r="Q1347">
            <v>632031028</v>
          </cell>
        </row>
        <row r="1348">
          <cell r="A1348">
            <v>4657925</v>
          </cell>
          <cell r="B1348">
            <v>44235</v>
          </cell>
          <cell r="C1348" t="str">
            <v>PON</v>
          </cell>
          <cell r="D1348">
            <v>637518010</v>
          </cell>
          <cell r="E1348" t="str">
            <v>F20 Thron2 6.8 40S Green</v>
          </cell>
          <cell r="F1348">
            <v>1</v>
          </cell>
          <cell r="G1348">
            <v>0</v>
          </cell>
          <cell r="I1348" t="str">
            <v>JA000</v>
          </cell>
          <cell r="J1348">
            <v>1</v>
          </cell>
          <cell r="L1348">
            <v>33</v>
          </cell>
          <cell r="M1348">
            <v>0.58099999999999996</v>
          </cell>
          <cell r="N1348" t="str">
            <v>5W</v>
          </cell>
          <cell r="P1348" t="str">
            <v>PONFCS</v>
          </cell>
          <cell r="Q1348">
            <v>632031006</v>
          </cell>
        </row>
        <row r="1349">
          <cell r="A1349">
            <v>4657927</v>
          </cell>
          <cell r="B1349">
            <v>44235</v>
          </cell>
          <cell r="C1349" t="str">
            <v>PON</v>
          </cell>
          <cell r="D1349">
            <v>637518153</v>
          </cell>
          <cell r="E1349" t="str">
            <v>F20 JAM2 6.7 NINE 49XL BLUE BH</v>
          </cell>
          <cell r="F1349">
            <v>1</v>
          </cell>
          <cell r="G1349">
            <v>0</v>
          </cell>
          <cell r="I1349" t="str">
            <v>JA000</v>
          </cell>
          <cell r="J1349">
            <v>1</v>
          </cell>
          <cell r="L1349">
            <v>33.1</v>
          </cell>
          <cell r="M1349">
            <v>0.57599999999999996</v>
          </cell>
          <cell r="N1349" t="str">
            <v>5W</v>
          </cell>
          <cell r="P1349" t="str">
            <v>PONFCS</v>
          </cell>
          <cell r="Q1349">
            <v>631799002</v>
          </cell>
        </row>
        <row r="1350">
          <cell r="A1350">
            <v>4657928</v>
          </cell>
          <cell r="B1350">
            <v>44235</v>
          </cell>
          <cell r="C1350" t="str">
            <v>PON</v>
          </cell>
          <cell r="D1350">
            <v>637518153</v>
          </cell>
          <cell r="E1350" t="str">
            <v>F20 JAM2 6.7 NINE 49XL BLUE BH</v>
          </cell>
          <cell r="F1350">
            <v>1</v>
          </cell>
          <cell r="G1350">
            <v>0</v>
          </cell>
          <cell r="I1350" t="str">
            <v>JA000</v>
          </cell>
          <cell r="J1350">
            <v>1</v>
          </cell>
          <cell r="L1350">
            <v>33.1</v>
          </cell>
          <cell r="M1350">
            <v>0.57599999999999996</v>
          </cell>
          <cell r="N1350" t="str">
            <v>5W</v>
          </cell>
          <cell r="P1350" t="str">
            <v>PONFCS</v>
          </cell>
          <cell r="Q1350">
            <v>631799015</v>
          </cell>
        </row>
        <row r="1351">
          <cell r="A1351">
            <v>4657929</v>
          </cell>
          <cell r="B1351">
            <v>44235</v>
          </cell>
          <cell r="C1351" t="str">
            <v>PON</v>
          </cell>
          <cell r="D1351">
            <v>637518153</v>
          </cell>
          <cell r="E1351" t="str">
            <v>F20 JAM2 6.7 NINE 49XL BLUE BH</v>
          </cell>
          <cell r="F1351">
            <v>1</v>
          </cell>
          <cell r="G1351">
            <v>0</v>
          </cell>
          <cell r="I1351" t="str">
            <v>JA000</v>
          </cell>
          <cell r="J1351">
            <v>1</v>
          </cell>
          <cell r="L1351">
            <v>33.1</v>
          </cell>
          <cell r="M1351">
            <v>0.57599999999999996</v>
          </cell>
          <cell r="N1351" t="str">
            <v>5W</v>
          </cell>
          <cell r="P1351" t="str">
            <v>PONFCS</v>
          </cell>
          <cell r="Q1351">
            <v>631799016</v>
          </cell>
        </row>
        <row r="1352">
          <cell r="A1352">
            <v>4657930</v>
          </cell>
          <cell r="B1352">
            <v>44235</v>
          </cell>
          <cell r="C1352" t="str">
            <v>PON</v>
          </cell>
          <cell r="D1352">
            <v>637518153</v>
          </cell>
          <cell r="E1352" t="str">
            <v>F20 JAM2 6.7 NINE 49XL BLUE BH</v>
          </cell>
          <cell r="F1352">
            <v>1</v>
          </cell>
          <cell r="G1352">
            <v>0</v>
          </cell>
          <cell r="I1352" t="str">
            <v>JA000</v>
          </cell>
          <cell r="J1352">
            <v>1</v>
          </cell>
          <cell r="L1352">
            <v>33.1</v>
          </cell>
          <cell r="M1352">
            <v>0.57599999999999996</v>
          </cell>
          <cell r="N1352" t="str">
            <v>5W</v>
          </cell>
          <cell r="P1352" t="str">
            <v>PONFCS</v>
          </cell>
          <cell r="Q1352">
            <v>631799004</v>
          </cell>
        </row>
        <row r="1353">
          <cell r="A1353">
            <v>4657931</v>
          </cell>
          <cell r="B1353">
            <v>44235</v>
          </cell>
          <cell r="C1353" t="str">
            <v>PON</v>
          </cell>
          <cell r="D1353">
            <v>637518153</v>
          </cell>
          <cell r="E1353" t="str">
            <v>F20 JAM2 6.7 NINE 49XL BLUE BH</v>
          </cell>
          <cell r="F1353">
            <v>1</v>
          </cell>
          <cell r="G1353">
            <v>0</v>
          </cell>
          <cell r="I1353" t="str">
            <v>JA000</v>
          </cell>
          <cell r="J1353">
            <v>1</v>
          </cell>
          <cell r="L1353">
            <v>33.1</v>
          </cell>
          <cell r="M1353">
            <v>0.57599999999999996</v>
          </cell>
          <cell r="N1353" t="str">
            <v>5W</v>
          </cell>
          <cell r="P1353" t="str">
            <v>PONFCS</v>
          </cell>
          <cell r="Q1353">
            <v>631799011</v>
          </cell>
        </row>
        <row r="1354">
          <cell r="A1354">
            <v>4657932</v>
          </cell>
          <cell r="B1354">
            <v>44235</v>
          </cell>
          <cell r="C1354" t="str">
            <v>PON</v>
          </cell>
          <cell r="D1354">
            <v>637518153</v>
          </cell>
          <cell r="E1354" t="str">
            <v>F20 JAM2 6.7 NINE 49XL BLUE BH</v>
          </cell>
          <cell r="F1354">
            <v>1</v>
          </cell>
          <cell r="G1354">
            <v>0</v>
          </cell>
          <cell r="I1354" t="str">
            <v>JA000</v>
          </cell>
          <cell r="J1354">
            <v>1</v>
          </cell>
          <cell r="L1354">
            <v>33.1</v>
          </cell>
          <cell r="M1354">
            <v>0.57599999999999996</v>
          </cell>
          <cell r="N1354" t="str">
            <v>5W</v>
          </cell>
          <cell r="P1354" t="str">
            <v>PONFCS</v>
          </cell>
          <cell r="Q1354">
            <v>631799010</v>
          </cell>
        </row>
        <row r="1355">
          <cell r="A1355">
            <v>4657934</v>
          </cell>
          <cell r="B1355">
            <v>44235</v>
          </cell>
          <cell r="C1355" t="str">
            <v>PON</v>
          </cell>
          <cell r="D1355">
            <v>637526054</v>
          </cell>
          <cell r="E1355" t="str">
            <v>K21 Endeavour 1.B Move 400 S</v>
          </cell>
          <cell r="F1355">
            <v>1</v>
          </cell>
          <cell r="G1355">
            <v>0</v>
          </cell>
          <cell r="I1355" t="str">
            <v>JA000</v>
          </cell>
          <cell r="J1355">
            <v>1</v>
          </cell>
          <cell r="L1355">
            <v>31</v>
          </cell>
          <cell r="M1355">
            <v>0.57299999999999995</v>
          </cell>
          <cell r="N1355" t="str">
            <v>5W</v>
          </cell>
          <cell r="P1355" t="str">
            <v>PONFCS</v>
          </cell>
          <cell r="Q1355">
            <v>631251017</v>
          </cell>
        </row>
        <row r="1356">
          <cell r="A1356">
            <v>4657935</v>
          </cell>
          <cell r="B1356">
            <v>44235</v>
          </cell>
          <cell r="C1356" t="str">
            <v>PON</v>
          </cell>
          <cell r="D1356">
            <v>637526054</v>
          </cell>
          <cell r="E1356" t="str">
            <v>K21 Endeavour 1.B Move 400 S</v>
          </cell>
          <cell r="F1356">
            <v>1</v>
          </cell>
          <cell r="G1356">
            <v>0</v>
          </cell>
          <cell r="I1356" t="str">
            <v>JA000</v>
          </cell>
          <cell r="J1356">
            <v>1</v>
          </cell>
          <cell r="L1356">
            <v>31</v>
          </cell>
          <cell r="M1356">
            <v>0.57299999999999995</v>
          </cell>
          <cell r="N1356" t="str">
            <v>5W</v>
          </cell>
          <cell r="P1356" t="str">
            <v>PONFCS</v>
          </cell>
          <cell r="Q1356">
            <v>631251025</v>
          </cell>
        </row>
        <row r="1357">
          <cell r="A1357">
            <v>4657936</v>
          </cell>
          <cell r="B1357">
            <v>44235</v>
          </cell>
          <cell r="C1357" t="str">
            <v>PON</v>
          </cell>
          <cell r="D1357">
            <v>637526054</v>
          </cell>
          <cell r="E1357" t="str">
            <v>K21 Endeavour 1.B Move 400 S</v>
          </cell>
          <cell r="F1357">
            <v>1</v>
          </cell>
          <cell r="G1357">
            <v>0</v>
          </cell>
          <cell r="I1357" t="str">
            <v>JA000</v>
          </cell>
          <cell r="J1357">
            <v>1</v>
          </cell>
          <cell r="L1357">
            <v>31</v>
          </cell>
          <cell r="M1357">
            <v>0.57299999999999995</v>
          </cell>
          <cell r="N1357" t="str">
            <v>5W</v>
          </cell>
          <cell r="P1357" t="str">
            <v>PONFCS</v>
          </cell>
          <cell r="Q1357">
            <v>631251023</v>
          </cell>
        </row>
        <row r="1358">
          <cell r="A1358">
            <v>4657937</v>
          </cell>
          <cell r="B1358">
            <v>44235</v>
          </cell>
          <cell r="C1358" t="str">
            <v>PON</v>
          </cell>
          <cell r="D1358">
            <v>637526054</v>
          </cell>
          <cell r="E1358" t="str">
            <v>K21 Endeavour 1.B Move 400 S</v>
          </cell>
          <cell r="F1358">
            <v>1</v>
          </cell>
          <cell r="G1358">
            <v>0</v>
          </cell>
          <cell r="I1358" t="str">
            <v>JA000</v>
          </cell>
          <cell r="J1358">
            <v>1</v>
          </cell>
          <cell r="L1358">
            <v>31</v>
          </cell>
          <cell r="M1358">
            <v>0.57299999999999995</v>
          </cell>
          <cell r="N1358" t="str">
            <v>5W</v>
          </cell>
          <cell r="P1358" t="str">
            <v>PONFCS</v>
          </cell>
          <cell r="Q1358">
            <v>631251005</v>
          </cell>
        </row>
        <row r="1359">
          <cell r="A1359">
            <v>4657938</v>
          </cell>
          <cell r="B1359">
            <v>44235</v>
          </cell>
          <cell r="C1359" t="str">
            <v>PON</v>
          </cell>
          <cell r="D1359">
            <v>637526054</v>
          </cell>
          <cell r="E1359" t="str">
            <v>K21 Endeavour 1.B Move 400 S</v>
          </cell>
          <cell r="F1359">
            <v>1</v>
          </cell>
          <cell r="G1359">
            <v>0</v>
          </cell>
          <cell r="I1359" t="str">
            <v>JA000</v>
          </cell>
          <cell r="J1359">
            <v>1</v>
          </cell>
          <cell r="L1359">
            <v>31</v>
          </cell>
          <cell r="M1359">
            <v>0.57299999999999995</v>
          </cell>
          <cell r="N1359" t="str">
            <v>5W</v>
          </cell>
          <cell r="P1359" t="str">
            <v>PONFCS</v>
          </cell>
          <cell r="Q1359">
            <v>631251027</v>
          </cell>
        </row>
        <row r="1360">
          <cell r="A1360">
            <v>4657940</v>
          </cell>
          <cell r="B1360">
            <v>44235</v>
          </cell>
          <cell r="C1360" t="str">
            <v>PON</v>
          </cell>
          <cell r="D1360">
            <v>637527022</v>
          </cell>
          <cell r="E1360" t="str">
            <v>K20 Endeavour 3.B Move 55L DI</v>
          </cell>
          <cell r="F1360">
            <v>1</v>
          </cell>
          <cell r="G1360">
            <v>0</v>
          </cell>
          <cell r="I1360" t="str">
            <v>JA000</v>
          </cell>
          <cell r="J1360">
            <v>1</v>
          </cell>
          <cell r="L1360">
            <v>33.4</v>
          </cell>
          <cell r="M1360">
            <v>0.57599999999999996</v>
          </cell>
          <cell r="N1360" t="str">
            <v>5W</v>
          </cell>
          <cell r="P1360" t="str">
            <v>PONFCS</v>
          </cell>
          <cell r="Q1360">
            <v>633255016</v>
          </cell>
        </row>
        <row r="1361">
          <cell r="A1361">
            <v>4657941</v>
          </cell>
          <cell r="B1361">
            <v>44235</v>
          </cell>
          <cell r="C1361" t="str">
            <v>PON</v>
          </cell>
          <cell r="D1361">
            <v>637527022</v>
          </cell>
          <cell r="E1361" t="str">
            <v>K20 Endeavour 3.B Move 55L DI</v>
          </cell>
          <cell r="F1361">
            <v>1</v>
          </cell>
          <cell r="G1361">
            <v>0</v>
          </cell>
          <cell r="I1361" t="str">
            <v>JA000</v>
          </cell>
          <cell r="J1361">
            <v>1</v>
          </cell>
          <cell r="L1361">
            <v>33.4</v>
          </cell>
          <cell r="M1361">
            <v>0.57599999999999996</v>
          </cell>
          <cell r="N1361" t="str">
            <v>5W</v>
          </cell>
          <cell r="P1361" t="str">
            <v>PONFCS</v>
          </cell>
          <cell r="Q1361">
            <v>633225013</v>
          </cell>
        </row>
        <row r="1362">
          <cell r="A1362">
            <v>4657942</v>
          </cell>
          <cell r="B1362">
            <v>44235</v>
          </cell>
          <cell r="C1362" t="str">
            <v>PON</v>
          </cell>
          <cell r="D1362">
            <v>637527022</v>
          </cell>
          <cell r="E1362" t="str">
            <v>K20 Endeavour 3.B Move 55L DI</v>
          </cell>
          <cell r="F1362">
            <v>1</v>
          </cell>
          <cell r="G1362">
            <v>0</v>
          </cell>
          <cell r="I1362" t="str">
            <v>JA000</v>
          </cell>
          <cell r="J1362">
            <v>1</v>
          </cell>
          <cell r="L1362">
            <v>33.4</v>
          </cell>
          <cell r="M1362">
            <v>0.57599999999999996</v>
          </cell>
          <cell r="N1362" t="str">
            <v>5W</v>
          </cell>
          <cell r="P1362" t="str">
            <v>PONFCS</v>
          </cell>
          <cell r="Q1362">
            <v>633225027</v>
          </cell>
        </row>
        <row r="1363">
          <cell r="A1363">
            <v>4657946</v>
          </cell>
          <cell r="B1363">
            <v>44235</v>
          </cell>
          <cell r="C1363" t="str">
            <v>PON</v>
          </cell>
          <cell r="D1363">
            <v>637527027</v>
          </cell>
          <cell r="E1363" t="str">
            <v>K20 Endeavour 3.B Move 45S WA</v>
          </cell>
          <cell r="F1363">
            <v>1</v>
          </cell>
          <cell r="G1363">
            <v>0</v>
          </cell>
          <cell r="I1363" t="str">
            <v>JA000</v>
          </cell>
          <cell r="J1363">
            <v>1</v>
          </cell>
          <cell r="L1363">
            <v>33</v>
          </cell>
          <cell r="M1363">
            <v>0.53200000000000003</v>
          </cell>
          <cell r="N1363" t="str">
            <v>5W</v>
          </cell>
          <cell r="P1363" t="str">
            <v>PONFCS</v>
          </cell>
          <cell r="Q1363">
            <v>632906028</v>
          </cell>
        </row>
        <row r="1364">
          <cell r="A1364">
            <v>4657948</v>
          </cell>
          <cell r="B1364">
            <v>44235</v>
          </cell>
          <cell r="C1364" t="str">
            <v>PON</v>
          </cell>
          <cell r="D1364">
            <v>637527028</v>
          </cell>
          <cell r="E1364" t="str">
            <v>K20 Endeavour 3.B Move 50M WA</v>
          </cell>
          <cell r="F1364">
            <v>1</v>
          </cell>
          <cell r="G1364">
            <v>0</v>
          </cell>
          <cell r="I1364" t="str">
            <v>JA000</v>
          </cell>
          <cell r="J1364">
            <v>1</v>
          </cell>
          <cell r="L1364">
            <v>33</v>
          </cell>
          <cell r="M1364">
            <v>0.53200000000000003</v>
          </cell>
          <cell r="N1364" t="str">
            <v>5W</v>
          </cell>
          <cell r="P1364" t="str">
            <v>PONFCS</v>
          </cell>
          <cell r="Q1364">
            <v>637422001</v>
          </cell>
        </row>
        <row r="1365">
          <cell r="A1365">
            <v>4657949</v>
          </cell>
          <cell r="B1365">
            <v>44235</v>
          </cell>
          <cell r="C1365" t="str">
            <v>PON</v>
          </cell>
          <cell r="D1365">
            <v>637527028</v>
          </cell>
          <cell r="E1365" t="str">
            <v>K20 Endeavour 3.B Move 50M WA</v>
          </cell>
          <cell r="F1365">
            <v>1</v>
          </cell>
          <cell r="G1365">
            <v>0</v>
          </cell>
          <cell r="I1365" t="str">
            <v>JA000</v>
          </cell>
          <cell r="J1365">
            <v>1</v>
          </cell>
          <cell r="L1365">
            <v>33</v>
          </cell>
          <cell r="M1365">
            <v>0.53200000000000003</v>
          </cell>
          <cell r="N1365" t="str">
            <v>5W</v>
          </cell>
          <cell r="P1365" t="str">
            <v>PONFCS</v>
          </cell>
          <cell r="Q1365">
            <v>632907012</v>
          </cell>
        </row>
        <row r="1366">
          <cell r="A1366">
            <v>4657951</v>
          </cell>
          <cell r="B1366">
            <v>44235</v>
          </cell>
          <cell r="C1366" t="str">
            <v>PON</v>
          </cell>
          <cell r="D1366">
            <v>637527054</v>
          </cell>
          <cell r="E1366" t="str">
            <v>K21 Endeavour 1.B Move 500 S</v>
          </cell>
          <cell r="F1366">
            <v>1</v>
          </cell>
          <cell r="G1366">
            <v>0</v>
          </cell>
          <cell r="I1366" t="str">
            <v>JA000</v>
          </cell>
          <cell r="J1366">
            <v>1</v>
          </cell>
          <cell r="L1366">
            <v>31</v>
          </cell>
          <cell r="M1366">
            <v>0.57299999999999995</v>
          </cell>
          <cell r="N1366" t="str">
            <v>5W</v>
          </cell>
          <cell r="P1366" t="str">
            <v>PONFCS</v>
          </cell>
          <cell r="Q1366">
            <v>631255002</v>
          </cell>
        </row>
        <row r="1367">
          <cell r="A1367">
            <v>4657952</v>
          </cell>
          <cell r="B1367">
            <v>44235</v>
          </cell>
          <cell r="C1367" t="str">
            <v>PON</v>
          </cell>
          <cell r="D1367">
            <v>637527054</v>
          </cell>
          <cell r="E1367" t="str">
            <v>K21 Endeavour 1.B Move 500 S</v>
          </cell>
          <cell r="F1367">
            <v>1</v>
          </cell>
          <cell r="G1367">
            <v>0</v>
          </cell>
          <cell r="I1367" t="str">
            <v>JA000</v>
          </cell>
          <cell r="J1367">
            <v>1</v>
          </cell>
          <cell r="L1367">
            <v>31</v>
          </cell>
          <cell r="M1367">
            <v>0.57299999999999995</v>
          </cell>
          <cell r="N1367" t="str">
            <v>5W</v>
          </cell>
          <cell r="P1367" t="str">
            <v>PONFCS</v>
          </cell>
          <cell r="Q1367">
            <v>631255003</v>
          </cell>
        </row>
        <row r="1368">
          <cell r="A1368">
            <v>4657953</v>
          </cell>
          <cell r="B1368">
            <v>44235</v>
          </cell>
          <cell r="C1368" t="str">
            <v>PON</v>
          </cell>
          <cell r="D1368">
            <v>637527054</v>
          </cell>
          <cell r="E1368" t="str">
            <v>K21 Endeavour 1.B Move 500 S</v>
          </cell>
          <cell r="F1368">
            <v>1</v>
          </cell>
          <cell r="G1368">
            <v>0</v>
          </cell>
          <cell r="I1368" t="str">
            <v>JA000</v>
          </cell>
          <cell r="J1368">
            <v>1</v>
          </cell>
          <cell r="L1368">
            <v>31</v>
          </cell>
          <cell r="M1368">
            <v>0.57299999999999995</v>
          </cell>
          <cell r="N1368" t="str">
            <v>5W</v>
          </cell>
          <cell r="P1368" t="str">
            <v>PONFCS</v>
          </cell>
          <cell r="Q1368">
            <v>631255004</v>
          </cell>
        </row>
        <row r="1369">
          <cell r="A1369">
            <v>4657955</v>
          </cell>
          <cell r="B1369">
            <v>44235</v>
          </cell>
          <cell r="C1369" t="str">
            <v>PON</v>
          </cell>
          <cell r="D1369">
            <v>637527066</v>
          </cell>
          <cell r="E1369" t="str">
            <v>K21 Endeavour 1.B Move 500 S</v>
          </cell>
          <cell r="F1369">
            <v>1</v>
          </cell>
          <cell r="G1369">
            <v>0</v>
          </cell>
          <cell r="I1369" t="str">
            <v>JA000</v>
          </cell>
          <cell r="J1369">
            <v>1</v>
          </cell>
          <cell r="L1369">
            <v>32</v>
          </cell>
          <cell r="M1369">
            <v>0.58099999999999996</v>
          </cell>
          <cell r="N1369" t="str">
            <v>5W</v>
          </cell>
          <cell r="P1369" t="str">
            <v>PONFCS</v>
          </cell>
          <cell r="Q1369">
            <v>625460013</v>
          </cell>
        </row>
        <row r="1370">
          <cell r="A1370">
            <v>4657956</v>
          </cell>
          <cell r="B1370">
            <v>44235</v>
          </cell>
          <cell r="C1370" t="str">
            <v>PON</v>
          </cell>
          <cell r="D1370">
            <v>637527066</v>
          </cell>
          <cell r="E1370" t="str">
            <v>K21 Endeavour 1.B Move 500 S</v>
          </cell>
          <cell r="F1370">
            <v>1</v>
          </cell>
          <cell r="G1370">
            <v>0</v>
          </cell>
          <cell r="I1370" t="str">
            <v>JA000</v>
          </cell>
          <cell r="J1370">
            <v>1</v>
          </cell>
          <cell r="L1370">
            <v>32</v>
          </cell>
          <cell r="M1370">
            <v>0.58099999999999996</v>
          </cell>
          <cell r="N1370" t="str">
            <v>5W</v>
          </cell>
          <cell r="P1370" t="str">
            <v>PONFCS</v>
          </cell>
          <cell r="Q1370">
            <v>625460031</v>
          </cell>
        </row>
        <row r="1371">
          <cell r="A1371">
            <v>4657957</v>
          </cell>
          <cell r="B1371">
            <v>44235</v>
          </cell>
          <cell r="C1371" t="str">
            <v>PON</v>
          </cell>
          <cell r="D1371">
            <v>637527066</v>
          </cell>
          <cell r="E1371" t="str">
            <v>K21 Endeavour 1.B Move 500 S</v>
          </cell>
          <cell r="F1371">
            <v>1</v>
          </cell>
          <cell r="G1371">
            <v>0</v>
          </cell>
          <cell r="I1371" t="str">
            <v>JA000</v>
          </cell>
          <cell r="J1371">
            <v>1</v>
          </cell>
          <cell r="L1371">
            <v>32</v>
          </cell>
          <cell r="M1371">
            <v>0.58099999999999996</v>
          </cell>
          <cell r="N1371" t="str">
            <v>5W</v>
          </cell>
          <cell r="P1371" t="str">
            <v>PONFCS</v>
          </cell>
          <cell r="Q1371">
            <v>625460014</v>
          </cell>
        </row>
        <row r="1372">
          <cell r="A1372">
            <v>4657958</v>
          </cell>
          <cell r="B1372">
            <v>44235</v>
          </cell>
          <cell r="C1372" t="str">
            <v>PON</v>
          </cell>
          <cell r="D1372">
            <v>637527066</v>
          </cell>
          <cell r="E1372" t="str">
            <v>K21 Endeavour 1.B Move 500 S</v>
          </cell>
          <cell r="F1372">
            <v>1</v>
          </cell>
          <cell r="G1372">
            <v>0</v>
          </cell>
          <cell r="I1372" t="str">
            <v>JA000</v>
          </cell>
          <cell r="J1372">
            <v>1</v>
          </cell>
          <cell r="L1372">
            <v>32</v>
          </cell>
          <cell r="M1372">
            <v>0.58099999999999996</v>
          </cell>
          <cell r="N1372" t="str">
            <v>5W</v>
          </cell>
          <cell r="P1372" t="str">
            <v>PONFCS</v>
          </cell>
          <cell r="Q1372">
            <v>627164007</v>
          </cell>
        </row>
        <row r="1373">
          <cell r="A1373">
            <v>4657959</v>
          </cell>
          <cell r="B1373">
            <v>44235</v>
          </cell>
          <cell r="C1373" t="str">
            <v>PON</v>
          </cell>
          <cell r="D1373">
            <v>637527066</v>
          </cell>
          <cell r="E1373" t="str">
            <v>K21 Endeavour 1.B Move 500 S</v>
          </cell>
          <cell r="F1373">
            <v>1</v>
          </cell>
          <cell r="G1373">
            <v>0</v>
          </cell>
          <cell r="I1373" t="str">
            <v>JA000</v>
          </cell>
          <cell r="J1373">
            <v>1</v>
          </cell>
          <cell r="L1373">
            <v>32</v>
          </cell>
          <cell r="M1373">
            <v>0.58099999999999996</v>
          </cell>
          <cell r="N1373" t="str">
            <v>5W</v>
          </cell>
          <cell r="P1373" t="str">
            <v>PONFCS</v>
          </cell>
          <cell r="Q1373">
            <v>627164009</v>
          </cell>
        </row>
        <row r="1374">
          <cell r="A1374">
            <v>4657960</v>
          </cell>
          <cell r="B1374">
            <v>44235</v>
          </cell>
          <cell r="C1374" t="str">
            <v>PON</v>
          </cell>
          <cell r="D1374">
            <v>637527066</v>
          </cell>
          <cell r="E1374" t="str">
            <v>K21 Endeavour 1.B Move 500 S</v>
          </cell>
          <cell r="F1374">
            <v>1</v>
          </cell>
          <cell r="G1374">
            <v>0</v>
          </cell>
          <cell r="I1374" t="str">
            <v>JA000</v>
          </cell>
          <cell r="J1374">
            <v>1</v>
          </cell>
          <cell r="L1374">
            <v>32</v>
          </cell>
          <cell r="M1374">
            <v>0.58099999999999996</v>
          </cell>
          <cell r="N1374" t="str">
            <v>5W</v>
          </cell>
          <cell r="P1374" t="str">
            <v>PONFCS</v>
          </cell>
          <cell r="Q1374">
            <v>625460029</v>
          </cell>
        </row>
        <row r="1375">
          <cell r="A1375">
            <v>4657961</v>
          </cell>
          <cell r="B1375">
            <v>44235</v>
          </cell>
          <cell r="C1375" t="str">
            <v>PON</v>
          </cell>
          <cell r="D1375">
            <v>637527066</v>
          </cell>
          <cell r="E1375" t="str">
            <v>K21 Endeavour 1.B Move 500 S</v>
          </cell>
          <cell r="F1375">
            <v>1</v>
          </cell>
          <cell r="G1375">
            <v>0</v>
          </cell>
          <cell r="I1375" t="str">
            <v>JA000</v>
          </cell>
          <cell r="J1375">
            <v>1</v>
          </cell>
          <cell r="L1375">
            <v>32</v>
          </cell>
          <cell r="M1375">
            <v>0.58099999999999996</v>
          </cell>
          <cell r="N1375" t="str">
            <v>5W</v>
          </cell>
          <cell r="P1375" t="str">
            <v>PONFCS</v>
          </cell>
          <cell r="Q1375">
            <v>627164015</v>
          </cell>
        </row>
        <row r="1376">
          <cell r="A1376">
            <v>4657962</v>
          </cell>
          <cell r="B1376">
            <v>44235</v>
          </cell>
          <cell r="C1376" t="str">
            <v>PON</v>
          </cell>
          <cell r="D1376">
            <v>637527066</v>
          </cell>
          <cell r="E1376" t="str">
            <v>K21 Endeavour 1.B Move 500 S</v>
          </cell>
          <cell r="F1376">
            <v>1</v>
          </cell>
          <cell r="G1376">
            <v>0</v>
          </cell>
          <cell r="I1376" t="str">
            <v>JA000</v>
          </cell>
          <cell r="J1376">
            <v>1</v>
          </cell>
          <cell r="L1376">
            <v>32</v>
          </cell>
          <cell r="M1376">
            <v>0.58099999999999996</v>
          </cell>
          <cell r="N1376" t="str">
            <v>5W</v>
          </cell>
          <cell r="P1376" t="str">
            <v>PONFCS</v>
          </cell>
          <cell r="Q1376">
            <v>627164013</v>
          </cell>
        </row>
        <row r="1377">
          <cell r="A1377">
            <v>4657963</v>
          </cell>
          <cell r="B1377">
            <v>44235</v>
          </cell>
          <cell r="C1377" t="str">
            <v>PON</v>
          </cell>
          <cell r="D1377">
            <v>637527066</v>
          </cell>
          <cell r="E1377" t="str">
            <v>K21 Endeavour 1.B Move 500 S</v>
          </cell>
          <cell r="F1377">
            <v>1</v>
          </cell>
          <cell r="G1377">
            <v>0</v>
          </cell>
          <cell r="I1377" t="str">
            <v>JA000</v>
          </cell>
          <cell r="J1377">
            <v>1</v>
          </cell>
          <cell r="L1377">
            <v>32</v>
          </cell>
          <cell r="M1377">
            <v>0.58099999999999996</v>
          </cell>
          <cell r="N1377" t="str">
            <v>5W</v>
          </cell>
          <cell r="P1377" t="str">
            <v>PONFCS</v>
          </cell>
          <cell r="Q1377">
            <v>625460011</v>
          </cell>
        </row>
        <row r="1378">
          <cell r="A1378">
            <v>4657964</v>
          </cell>
          <cell r="B1378">
            <v>44235</v>
          </cell>
          <cell r="C1378" t="str">
            <v>PON</v>
          </cell>
          <cell r="D1378">
            <v>637527066</v>
          </cell>
          <cell r="E1378" t="str">
            <v>K21 Endeavour 1.B Move 500 S</v>
          </cell>
          <cell r="F1378">
            <v>1</v>
          </cell>
          <cell r="G1378">
            <v>0</v>
          </cell>
          <cell r="I1378" t="str">
            <v>JA000</v>
          </cell>
          <cell r="J1378">
            <v>1</v>
          </cell>
          <cell r="L1378">
            <v>32</v>
          </cell>
          <cell r="M1378">
            <v>0.58099999999999996</v>
          </cell>
          <cell r="N1378" t="str">
            <v>5W</v>
          </cell>
          <cell r="P1378" t="str">
            <v>PONFCS</v>
          </cell>
          <cell r="Q1378">
            <v>625460028</v>
          </cell>
        </row>
        <row r="1379">
          <cell r="A1379">
            <v>4657966</v>
          </cell>
          <cell r="B1379">
            <v>44235</v>
          </cell>
          <cell r="C1379" t="str">
            <v>PON</v>
          </cell>
          <cell r="D1379">
            <v>637527086</v>
          </cell>
          <cell r="E1379" t="str">
            <v>K21 Endeavour 1.B Move 500 S</v>
          </cell>
          <cell r="F1379">
            <v>1</v>
          </cell>
          <cell r="G1379">
            <v>0</v>
          </cell>
          <cell r="I1379" t="str">
            <v>JA000</v>
          </cell>
          <cell r="J1379">
            <v>1</v>
          </cell>
          <cell r="L1379">
            <v>32.5</v>
          </cell>
          <cell r="M1379">
            <v>0.58099999999999996</v>
          </cell>
          <cell r="N1379" t="str">
            <v>5W</v>
          </cell>
          <cell r="P1379" t="str">
            <v>PONFCS</v>
          </cell>
          <cell r="Q1379">
            <v>627818017</v>
          </cell>
        </row>
        <row r="1380">
          <cell r="A1380">
            <v>4657967</v>
          </cell>
          <cell r="B1380">
            <v>44235</v>
          </cell>
          <cell r="C1380" t="str">
            <v>PON</v>
          </cell>
          <cell r="D1380">
            <v>637527086</v>
          </cell>
          <cell r="E1380" t="str">
            <v>K21 Endeavour 1.B Move 500 S</v>
          </cell>
          <cell r="F1380">
            <v>1</v>
          </cell>
          <cell r="G1380">
            <v>0</v>
          </cell>
          <cell r="I1380" t="str">
            <v>JA000</v>
          </cell>
          <cell r="J1380">
            <v>1</v>
          </cell>
          <cell r="L1380">
            <v>32.5</v>
          </cell>
          <cell r="M1380">
            <v>0.58099999999999996</v>
          </cell>
          <cell r="N1380" t="str">
            <v>5W</v>
          </cell>
          <cell r="P1380" t="str">
            <v>PONFCS</v>
          </cell>
          <cell r="Q1380">
            <v>627818018</v>
          </cell>
        </row>
        <row r="1381">
          <cell r="A1381">
            <v>4657969</v>
          </cell>
          <cell r="B1381">
            <v>44235</v>
          </cell>
          <cell r="C1381" t="str">
            <v>PON</v>
          </cell>
          <cell r="D1381">
            <v>637527086</v>
          </cell>
          <cell r="E1381" t="str">
            <v>K21 Endeavour 1.B Move 500 S</v>
          </cell>
          <cell r="F1381">
            <v>1</v>
          </cell>
          <cell r="G1381">
            <v>0</v>
          </cell>
          <cell r="I1381" t="str">
            <v>JA000</v>
          </cell>
          <cell r="J1381">
            <v>1</v>
          </cell>
          <cell r="L1381">
            <v>32.5</v>
          </cell>
          <cell r="M1381">
            <v>0.58099999999999996</v>
          </cell>
          <cell r="N1381" t="str">
            <v>5W</v>
          </cell>
          <cell r="P1381" t="str">
            <v>PONFCS</v>
          </cell>
          <cell r="Q1381">
            <v>627817030</v>
          </cell>
        </row>
        <row r="1382">
          <cell r="A1382">
            <v>4657970</v>
          </cell>
          <cell r="B1382">
            <v>44235</v>
          </cell>
          <cell r="C1382" t="str">
            <v>PON</v>
          </cell>
          <cell r="D1382">
            <v>637527086</v>
          </cell>
          <cell r="E1382" t="str">
            <v>K21 Endeavour 1.B Move 500 S</v>
          </cell>
          <cell r="F1382">
            <v>1</v>
          </cell>
          <cell r="G1382">
            <v>0</v>
          </cell>
          <cell r="I1382" t="str">
            <v>JA000</v>
          </cell>
          <cell r="J1382">
            <v>1</v>
          </cell>
          <cell r="L1382">
            <v>32.5</v>
          </cell>
          <cell r="M1382">
            <v>0.58099999999999996</v>
          </cell>
          <cell r="N1382" t="str">
            <v>5W</v>
          </cell>
          <cell r="P1382" t="str">
            <v>PONFCS</v>
          </cell>
          <cell r="Q1382">
            <v>627817001</v>
          </cell>
        </row>
        <row r="1383">
          <cell r="A1383">
            <v>4657971</v>
          </cell>
          <cell r="B1383">
            <v>44235</v>
          </cell>
          <cell r="C1383" t="str">
            <v>PON</v>
          </cell>
          <cell r="D1383">
            <v>637527086</v>
          </cell>
          <cell r="E1383" t="str">
            <v>K21 Endeavour 1.B Move 500 S</v>
          </cell>
          <cell r="F1383">
            <v>1</v>
          </cell>
          <cell r="G1383">
            <v>0</v>
          </cell>
          <cell r="I1383" t="str">
            <v>JA000</v>
          </cell>
          <cell r="J1383">
            <v>1</v>
          </cell>
          <cell r="L1383">
            <v>32.5</v>
          </cell>
          <cell r="M1383">
            <v>0.58099999999999996</v>
          </cell>
          <cell r="N1383" t="str">
            <v>5W</v>
          </cell>
          <cell r="P1383" t="str">
            <v>PONFCS</v>
          </cell>
          <cell r="Q1383">
            <v>627817028</v>
          </cell>
        </row>
        <row r="1384">
          <cell r="A1384">
            <v>4657973</v>
          </cell>
          <cell r="B1384">
            <v>44235</v>
          </cell>
          <cell r="C1384" t="str">
            <v>PON</v>
          </cell>
          <cell r="D1384">
            <v>637529071</v>
          </cell>
          <cell r="E1384" t="str">
            <v>K20 End 7.B Advance 48M DI</v>
          </cell>
          <cell r="F1384">
            <v>1</v>
          </cell>
          <cell r="G1384">
            <v>0</v>
          </cell>
          <cell r="I1384" t="str">
            <v>JA000</v>
          </cell>
          <cell r="J1384">
            <v>1</v>
          </cell>
          <cell r="L1384">
            <v>35</v>
          </cell>
          <cell r="M1384">
            <v>0.58399999999999996</v>
          </cell>
          <cell r="N1384" t="str">
            <v>5W</v>
          </cell>
          <cell r="P1384" t="str">
            <v>PONFCS</v>
          </cell>
          <cell r="Q1384">
            <v>626523026</v>
          </cell>
        </row>
        <row r="1385">
          <cell r="A1385">
            <v>4657974</v>
          </cell>
          <cell r="B1385">
            <v>44235</v>
          </cell>
          <cell r="C1385" t="str">
            <v>PON</v>
          </cell>
          <cell r="D1385">
            <v>637529071</v>
          </cell>
          <cell r="E1385" t="str">
            <v>K20 End 7.B Advance 48M DI</v>
          </cell>
          <cell r="F1385">
            <v>1</v>
          </cell>
          <cell r="G1385">
            <v>0</v>
          </cell>
          <cell r="I1385" t="str">
            <v>JA000</v>
          </cell>
          <cell r="J1385">
            <v>1</v>
          </cell>
          <cell r="L1385">
            <v>35</v>
          </cell>
          <cell r="M1385">
            <v>0.58399999999999996</v>
          </cell>
          <cell r="N1385" t="str">
            <v>5W</v>
          </cell>
          <cell r="P1385" t="str">
            <v>PONFCS</v>
          </cell>
          <cell r="Q1385">
            <v>626523010</v>
          </cell>
        </row>
        <row r="1386">
          <cell r="A1386">
            <v>4657976</v>
          </cell>
          <cell r="B1386">
            <v>44235</v>
          </cell>
          <cell r="C1386" t="str">
            <v>PON</v>
          </cell>
          <cell r="D1386">
            <v>637529071</v>
          </cell>
          <cell r="E1386" t="str">
            <v>K20 End 7.B Advance 48M DI</v>
          </cell>
          <cell r="F1386">
            <v>1</v>
          </cell>
          <cell r="G1386">
            <v>0</v>
          </cell>
          <cell r="I1386" t="str">
            <v>JA000</v>
          </cell>
          <cell r="J1386">
            <v>1</v>
          </cell>
          <cell r="L1386">
            <v>35</v>
          </cell>
          <cell r="M1386">
            <v>0.58399999999999996</v>
          </cell>
          <cell r="N1386" t="str">
            <v>5W</v>
          </cell>
          <cell r="P1386" t="str">
            <v>PONFCS</v>
          </cell>
          <cell r="Q1386">
            <v>626523022</v>
          </cell>
        </row>
        <row r="1387">
          <cell r="A1387">
            <v>4657978</v>
          </cell>
          <cell r="B1387">
            <v>44235</v>
          </cell>
          <cell r="C1387" t="str">
            <v>PON</v>
          </cell>
          <cell r="D1387">
            <v>637529072</v>
          </cell>
          <cell r="E1387" t="str">
            <v>K20 End 7.B Advance 53L DI</v>
          </cell>
          <cell r="F1387">
            <v>1</v>
          </cell>
          <cell r="G1387">
            <v>0</v>
          </cell>
          <cell r="I1387" t="str">
            <v>JA000</v>
          </cell>
          <cell r="J1387">
            <v>1</v>
          </cell>
          <cell r="L1387">
            <v>35</v>
          </cell>
          <cell r="M1387">
            <v>0.58399999999999996</v>
          </cell>
          <cell r="N1387" t="str">
            <v>5W</v>
          </cell>
          <cell r="P1387" t="str">
            <v>PONFCS</v>
          </cell>
          <cell r="Q1387">
            <v>633274004</v>
          </cell>
        </row>
        <row r="1388">
          <cell r="A1388">
            <v>4657979</v>
          </cell>
          <cell r="B1388">
            <v>44235</v>
          </cell>
          <cell r="C1388" t="str">
            <v>PON</v>
          </cell>
          <cell r="D1388">
            <v>637529072</v>
          </cell>
          <cell r="E1388" t="str">
            <v>K20 End 7.B Advance 53L DI</v>
          </cell>
          <cell r="F1388">
            <v>1</v>
          </cell>
          <cell r="G1388">
            <v>0</v>
          </cell>
          <cell r="I1388" t="str">
            <v>JA000</v>
          </cell>
          <cell r="J1388">
            <v>1</v>
          </cell>
          <cell r="L1388">
            <v>35</v>
          </cell>
          <cell r="M1388">
            <v>0.58399999999999996</v>
          </cell>
          <cell r="N1388" t="str">
            <v>5W</v>
          </cell>
          <cell r="P1388" t="str">
            <v>PONFCS</v>
          </cell>
          <cell r="Q1388">
            <v>633274012</v>
          </cell>
        </row>
        <row r="1389">
          <cell r="A1389">
            <v>4657980</v>
          </cell>
          <cell r="B1389">
            <v>44235</v>
          </cell>
          <cell r="C1389" t="str">
            <v>PON</v>
          </cell>
          <cell r="D1389">
            <v>637529072</v>
          </cell>
          <cell r="E1389" t="str">
            <v>K20 End 7.B Advance 53L DI</v>
          </cell>
          <cell r="F1389">
            <v>1</v>
          </cell>
          <cell r="G1389">
            <v>0</v>
          </cell>
          <cell r="I1389" t="str">
            <v>JA000</v>
          </cell>
          <cell r="J1389">
            <v>1</v>
          </cell>
          <cell r="L1389">
            <v>35</v>
          </cell>
          <cell r="M1389">
            <v>0.58399999999999996</v>
          </cell>
          <cell r="N1389" t="str">
            <v>5W</v>
          </cell>
          <cell r="P1389" t="str">
            <v>PONFCS</v>
          </cell>
          <cell r="Q1389">
            <v>633274013</v>
          </cell>
        </row>
        <row r="1390">
          <cell r="A1390">
            <v>4657982</v>
          </cell>
          <cell r="B1390">
            <v>44235</v>
          </cell>
          <cell r="C1390" t="str">
            <v>PON</v>
          </cell>
          <cell r="D1390">
            <v>637529081</v>
          </cell>
          <cell r="E1390" t="str">
            <v>K21 Endeavour 7.B Move M 48 Di</v>
          </cell>
          <cell r="F1390">
            <v>1</v>
          </cell>
          <cell r="G1390">
            <v>0</v>
          </cell>
          <cell r="I1390" t="str">
            <v>JA000</v>
          </cell>
          <cell r="J1390">
            <v>1</v>
          </cell>
          <cell r="L1390">
            <v>34.5</v>
          </cell>
          <cell r="M1390">
            <v>0.57299999999999995</v>
          </cell>
          <cell r="N1390" t="str">
            <v>5W</v>
          </cell>
          <cell r="P1390" t="str">
            <v>PONFCS</v>
          </cell>
          <cell r="Q1390">
            <v>619691030</v>
          </cell>
        </row>
        <row r="1391">
          <cell r="A1391">
            <v>4657983</v>
          </cell>
          <cell r="B1391">
            <v>44235</v>
          </cell>
          <cell r="C1391" t="str">
            <v>PON</v>
          </cell>
          <cell r="D1391">
            <v>637529081</v>
          </cell>
          <cell r="E1391" t="str">
            <v>K21 Endeavour 7.B Move M 48 Di</v>
          </cell>
          <cell r="F1391">
            <v>1</v>
          </cell>
          <cell r="G1391">
            <v>0</v>
          </cell>
          <cell r="I1391" t="str">
            <v>JA000</v>
          </cell>
          <cell r="J1391">
            <v>1</v>
          </cell>
          <cell r="L1391">
            <v>34.5</v>
          </cell>
          <cell r="M1391">
            <v>0.57299999999999995</v>
          </cell>
          <cell r="N1391" t="str">
            <v>5W</v>
          </cell>
          <cell r="P1391" t="str">
            <v>PONFCS</v>
          </cell>
          <cell r="Q1391">
            <v>619691018</v>
          </cell>
        </row>
        <row r="1392">
          <cell r="A1392">
            <v>4657984</v>
          </cell>
          <cell r="B1392">
            <v>44235</v>
          </cell>
          <cell r="C1392" t="str">
            <v>PON</v>
          </cell>
          <cell r="D1392">
            <v>637529081</v>
          </cell>
          <cell r="E1392" t="str">
            <v>K21 Endeavour 7.B Move M 48 Di</v>
          </cell>
          <cell r="F1392">
            <v>1</v>
          </cell>
          <cell r="G1392">
            <v>0</v>
          </cell>
          <cell r="I1392" t="str">
            <v>JA000</v>
          </cell>
          <cell r="J1392">
            <v>1</v>
          </cell>
          <cell r="L1392">
            <v>34.5</v>
          </cell>
          <cell r="M1392">
            <v>0.57299999999999995</v>
          </cell>
          <cell r="N1392" t="str">
            <v>5W</v>
          </cell>
          <cell r="P1392" t="str">
            <v>PONFCS</v>
          </cell>
          <cell r="Q1392">
            <v>619691021</v>
          </cell>
        </row>
        <row r="1393">
          <cell r="A1393">
            <v>4657986</v>
          </cell>
          <cell r="B1393">
            <v>44235</v>
          </cell>
          <cell r="C1393" t="str">
            <v>PON</v>
          </cell>
          <cell r="D1393">
            <v>637529083</v>
          </cell>
          <cell r="E1393" t="str">
            <v>K21 Endeavour 7.B Move XL 58</v>
          </cell>
          <cell r="F1393">
            <v>1</v>
          </cell>
          <cell r="G1393">
            <v>0</v>
          </cell>
          <cell r="I1393" t="str">
            <v>JA000</v>
          </cell>
          <cell r="J1393">
            <v>1</v>
          </cell>
          <cell r="L1393">
            <v>34.5</v>
          </cell>
          <cell r="M1393">
            <v>0.57299999999999995</v>
          </cell>
          <cell r="N1393" t="str">
            <v>5W</v>
          </cell>
          <cell r="P1393" t="str">
            <v>PONFCS</v>
          </cell>
          <cell r="Q1393">
            <v>626532005</v>
          </cell>
        </row>
        <row r="1394">
          <cell r="A1394">
            <v>4657987</v>
          </cell>
          <cell r="B1394">
            <v>44235</v>
          </cell>
          <cell r="C1394" t="str">
            <v>PON</v>
          </cell>
          <cell r="D1394">
            <v>637529083</v>
          </cell>
          <cell r="E1394" t="str">
            <v>K21 Endeavour 7.B Move XL 58</v>
          </cell>
          <cell r="F1394">
            <v>1</v>
          </cell>
          <cell r="G1394">
            <v>0</v>
          </cell>
          <cell r="I1394" t="str">
            <v>JA000</v>
          </cell>
          <cell r="J1394">
            <v>1</v>
          </cell>
          <cell r="L1394">
            <v>34.5</v>
          </cell>
          <cell r="M1394">
            <v>0.57299999999999995</v>
          </cell>
          <cell r="N1394" t="str">
            <v>5W</v>
          </cell>
          <cell r="P1394" t="str">
            <v>PONFCS</v>
          </cell>
          <cell r="Q1394">
            <v>626532015</v>
          </cell>
        </row>
        <row r="1395">
          <cell r="A1395">
            <v>4657989</v>
          </cell>
          <cell r="B1395">
            <v>44235</v>
          </cell>
          <cell r="C1395" t="str">
            <v>PON</v>
          </cell>
          <cell r="D1395">
            <v>641518003</v>
          </cell>
          <cell r="E1395" t="str">
            <v>F21 SAM2 6.9 Brown L</v>
          </cell>
          <cell r="F1395">
            <v>1</v>
          </cell>
          <cell r="G1395">
            <v>0</v>
          </cell>
          <cell r="I1395" t="str">
            <v>JA000</v>
          </cell>
          <cell r="J1395">
            <v>1</v>
          </cell>
          <cell r="L1395">
            <v>36</v>
          </cell>
          <cell r="M1395">
            <v>0.57299999999999995</v>
          </cell>
          <cell r="N1395" t="str">
            <v>5W</v>
          </cell>
          <cell r="P1395" t="str">
            <v>PONFCS</v>
          </cell>
          <cell r="Q1395">
            <v>632184002</v>
          </cell>
        </row>
        <row r="1396">
          <cell r="A1396">
            <v>4657990</v>
          </cell>
          <cell r="B1396">
            <v>44235</v>
          </cell>
          <cell r="C1396" t="str">
            <v>PON</v>
          </cell>
          <cell r="D1396">
            <v>641518003</v>
          </cell>
          <cell r="E1396" t="str">
            <v>F21 SAM2 6.9 Brown L</v>
          </cell>
          <cell r="F1396">
            <v>1</v>
          </cell>
          <cell r="G1396">
            <v>0</v>
          </cell>
          <cell r="I1396" t="str">
            <v>JA000</v>
          </cell>
          <cell r="J1396">
            <v>1</v>
          </cell>
          <cell r="L1396">
            <v>36</v>
          </cell>
          <cell r="M1396">
            <v>0.57299999999999995</v>
          </cell>
          <cell r="N1396" t="str">
            <v>5W</v>
          </cell>
          <cell r="P1396" t="str">
            <v>PONFCS</v>
          </cell>
          <cell r="Q1396">
            <v>632184031</v>
          </cell>
        </row>
        <row r="1397">
          <cell r="A1397">
            <v>4657991</v>
          </cell>
          <cell r="B1397">
            <v>44235</v>
          </cell>
          <cell r="C1397" t="str">
            <v>PON</v>
          </cell>
          <cell r="D1397">
            <v>641518003</v>
          </cell>
          <cell r="E1397" t="str">
            <v>F21 SAM2 6.9 Brown L</v>
          </cell>
          <cell r="F1397">
            <v>1</v>
          </cell>
          <cell r="G1397">
            <v>0</v>
          </cell>
          <cell r="I1397" t="str">
            <v>JA000</v>
          </cell>
          <cell r="J1397">
            <v>1</v>
          </cell>
          <cell r="L1397">
            <v>36</v>
          </cell>
          <cell r="M1397">
            <v>0.57299999999999995</v>
          </cell>
          <cell r="N1397" t="str">
            <v>5W</v>
          </cell>
          <cell r="P1397" t="str">
            <v>PONFCS</v>
          </cell>
          <cell r="Q1397">
            <v>632187015</v>
          </cell>
        </row>
        <row r="1398">
          <cell r="A1398">
            <v>4657992</v>
          </cell>
          <cell r="B1398">
            <v>44235</v>
          </cell>
          <cell r="C1398" t="str">
            <v>PON</v>
          </cell>
          <cell r="D1398">
            <v>641518003</v>
          </cell>
          <cell r="E1398" t="str">
            <v>F21 SAM2 6.9 Brown L</v>
          </cell>
          <cell r="F1398">
            <v>1</v>
          </cell>
          <cell r="G1398">
            <v>0</v>
          </cell>
          <cell r="I1398" t="str">
            <v>JA000</v>
          </cell>
          <cell r="J1398">
            <v>1</v>
          </cell>
          <cell r="L1398">
            <v>36</v>
          </cell>
          <cell r="M1398">
            <v>0.57299999999999995</v>
          </cell>
          <cell r="N1398" t="str">
            <v>5W</v>
          </cell>
          <cell r="P1398" t="str">
            <v>PONFCS</v>
          </cell>
          <cell r="Q1398">
            <v>632187013</v>
          </cell>
        </row>
        <row r="1399">
          <cell r="A1399">
            <v>4657993</v>
          </cell>
          <cell r="B1399">
            <v>44235</v>
          </cell>
          <cell r="C1399" t="str">
            <v>PON</v>
          </cell>
          <cell r="D1399">
            <v>641518003</v>
          </cell>
          <cell r="E1399" t="str">
            <v>F21 SAM2 6.9 Brown L</v>
          </cell>
          <cell r="F1399">
            <v>1</v>
          </cell>
          <cell r="G1399">
            <v>0</v>
          </cell>
          <cell r="I1399" t="str">
            <v>JA000</v>
          </cell>
          <cell r="J1399">
            <v>1</v>
          </cell>
          <cell r="L1399">
            <v>36</v>
          </cell>
          <cell r="M1399">
            <v>0.57299999999999995</v>
          </cell>
          <cell r="N1399" t="str">
            <v>5W</v>
          </cell>
          <cell r="P1399" t="str">
            <v>PONFCS</v>
          </cell>
          <cell r="Q1399">
            <v>632187011</v>
          </cell>
        </row>
        <row r="1400">
          <cell r="A1400">
            <v>4657994</v>
          </cell>
          <cell r="B1400">
            <v>44235</v>
          </cell>
          <cell r="C1400" t="str">
            <v>PON</v>
          </cell>
          <cell r="D1400">
            <v>641518003</v>
          </cell>
          <cell r="E1400" t="str">
            <v>F21 SAM2 6.9 Brown L</v>
          </cell>
          <cell r="F1400">
            <v>1</v>
          </cell>
          <cell r="G1400">
            <v>0</v>
          </cell>
          <cell r="I1400" t="str">
            <v>JA000</v>
          </cell>
          <cell r="J1400">
            <v>1</v>
          </cell>
          <cell r="L1400">
            <v>36</v>
          </cell>
          <cell r="M1400">
            <v>0.57299999999999995</v>
          </cell>
          <cell r="N1400" t="str">
            <v>5W</v>
          </cell>
          <cell r="P1400" t="str">
            <v>PONFCS</v>
          </cell>
          <cell r="Q1400">
            <v>632184006</v>
          </cell>
        </row>
        <row r="1401">
          <cell r="A1401">
            <v>4657995</v>
          </cell>
          <cell r="B1401">
            <v>44235</v>
          </cell>
          <cell r="C1401" t="str">
            <v>PON</v>
          </cell>
          <cell r="D1401">
            <v>641518003</v>
          </cell>
          <cell r="E1401" t="str">
            <v>F21 SAM2 6.9 Brown L</v>
          </cell>
          <cell r="F1401">
            <v>1</v>
          </cell>
          <cell r="G1401">
            <v>0</v>
          </cell>
          <cell r="I1401" t="str">
            <v>JA000</v>
          </cell>
          <cell r="J1401">
            <v>1</v>
          </cell>
          <cell r="L1401">
            <v>36</v>
          </cell>
          <cell r="M1401">
            <v>0.57299999999999995</v>
          </cell>
          <cell r="N1401" t="str">
            <v>5W</v>
          </cell>
          <cell r="P1401" t="str">
            <v>PONFCS</v>
          </cell>
          <cell r="Q1401">
            <v>632187010</v>
          </cell>
        </row>
        <row r="1402">
          <cell r="A1402">
            <v>4657996</v>
          </cell>
          <cell r="B1402">
            <v>44235</v>
          </cell>
          <cell r="C1402" t="str">
            <v>PON</v>
          </cell>
          <cell r="D1402">
            <v>641518003</v>
          </cell>
          <cell r="E1402" t="str">
            <v>F21 SAM2 6.9 Brown L</v>
          </cell>
          <cell r="F1402">
            <v>1</v>
          </cell>
          <cell r="G1402">
            <v>0</v>
          </cell>
          <cell r="I1402" t="str">
            <v>JA000</v>
          </cell>
          <cell r="J1402">
            <v>1</v>
          </cell>
          <cell r="L1402">
            <v>36</v>
          </cell>
          <cell r="M1402">
            <v>0.57299999999999995</v>
          </cell>
          <cell r="N1402" t="str">
            <v>5W</v>
          </cell>
          <cell r="P1402" t="str">
            <v>PONFCS</v>
          </cell>
          <cell r="Q1402">
            <v>632187002</v>
          </cell>
        </row>
        <row r="1403">
          <cell r="A1403">
            <v>4657997</v>
          </cell>
          <cell r="B1403">
            <v>44235</v>
          </cell>
          <cell r="C1403" t="str">
            <v>PON</v>
          </cell>
          <cell r="D1403">
            <v>641518003</v>
          </cell>
          <cell r="E1403" t="str">
            <v>F21 SAM2 6.9 Brown L</v>
          </cell>
          <cell r="F1403">
            <v>1</v>
          </cell>
          <cell r="G1403">
            <v>0</v>
          </cell>
          <cell r="I1403" t="str">
            <v>JA000</v>
          </cell>
          <cell r="J1403">
            <v>1</v>
          </cell>
          <cell r="L1403">
            <v>36</v>
          </cell>
          <cell r="M1403">
            <v>0.57299999999999995</v>
          </cell>
          <cell r="N1403" t="str">
            <v>5W</v>
          </cell>
          <cell r="P1403" t="str">
            <v>PONFCS</v>
          </cell>
          <cell r="Q1403">
            <v>632187014</v>
          </cell>
        </row>
        <row r="1404">
          <cell r="A1404">
            <v>4657998</v>
          </cell>
          <cell r="B1404">
            <v>44235</v>
          </cell>
          <cell r="C1404" t="str">
            <v>PON</v>
          </cell>
          <cell r="D1404">
            <v>641518003</v>
          </cell>
          <cell r="E1404" t="str">
            <v>F21 SAM2 6.9 Brown L</v>
          </cell>
          <cell r="F1404">
            <v>1</v>
          </cell>
          <cell r="G1404">
            <v>0</v>
          </cell>
          <cell r="I1404" t="str">
            <v>JA000</v>
          </cell>
          <cell r="J1404">
            <v>1</v>
          </cell>
          <cell r="L1404">
            <v>36</v>
          </cell>
          <cell r="M1404">
            <v>0.57299999999999995</v>
          </cell>
          <cell r="N1404" t="str">
            <v>5W</v>
          </cell>
          <cell r="P1404" t="str">
            <v>PONFCS</v>
          </cell>
          <cell r="Q1404">
            <v>632187005</v>
          </cell>
        </row>
        <row r="1405">
          <cell r="A1405">
            <v>4658000</v>
          </cell>
          <cell r="B1405">
            <v>44235</v>
          </cell>
          <cell r="C1405" t="str">
            <v>PON</v>
          </cell>
          <cell r="D1405">
            <v>641518004</v>
          </cell>
          <cell r="E1405" t="str">
            <v>F21 Sam2 6.9 Brown Xl</v>
          </cell>
          <cell r="F1405">
            <v>1</v>
          </cell>
          <cell r="G1405">
            <v>0</v>
          </cell>
          <cell r="I1405" t="str">
            <v>JA000</v>
          </cell>
          <cell r="J1405">
            <v>1</v>
          </cell>
          <cell r="L1405">
            <v>36</v>
          </cell>
          <cell r="M1405">
            <v>0.58099999999999996</v>
          </cell>
          <cell r="N1405" t="str">
            <v>5W</v>
          </cell>
          <cell r="P1405" t="str">
            <v>PONFCS</v>
          </cell>
          <cell r="Q1405">
            <v>632182003</v>
          </cell>
        </row>
        <row r="1406">
          <cell r="A1406">
            <v>4658001</v>
          </cell>
          <cell r="B1406">
            <v>44235</v>
          </cell>
          <cell r="C1406" t="str">
            <v>PON</v>
          </cell>
          <cell r="D1406">
            <v>641518004</v>
          </cell>
          <cell r="E1406" t="str">
            <v>F21 Sam2 6.9 Brown Xl</v>
          </cell>
          <cell r="F1406">
            <v>1</v>
          </cell>
          <cell r="G1406">
            <v>0</v>
          </cell>
          <cell r="I1406" t="str">
            <v>JA000</v>
          </cell>
          <cell r="J1406">
            <v>1</v>
          </cell>
          <cell r="L1406">
            <v>36</v>
          </cell>
          <cell r="M1406">
            <v>0.58099999999999996</v>
          </cell>
          <cell r="N1406" t="str">
            <v>5W</v>
          </cell>
          <cell r="P1406" t="str">
            <v>PONFCS</v>
          </cell>
          <cell r="Q1406">
            <v>632182009</v>
          </cell>
        </row>
        <row r="1407">
          <cell r="A1407">
            <v>4658002</v>
          </cell>
          <cell r="B1407">
            <v>44235</v>
          </cell>
          <cell r="C1407" t="str">
            <v>PON</v>
          </cell>
          <cell r="D1407">
            <v>641518004</v>
          </cell>
          <cell r="E1407" t="str">
            <v>F21 Sam2 6.9 Brown Xl</v>
          </cell>
          <cell r="F1407">
            <v>1</v>
          </cell>
          <cell r="G1407">
            <v>0</v>
          </cell>
          <cell r="I1407" t="str">
            <v>JA000</v>
          </cell>
          <cell r="J1407">
            <v>1</v>
          </cell>
          <cell r="L1407">
            <v>36</v>
          </cell>
          <cell r="M1407">
            <v>0.58099999999999996</v>
          </cell>
          <cell r="N1407" t="str">
            <v>5W</v>
          </cell>
          <cell r="P1407" t="str">
            <v>PONFCS</v>
          </cell>
          <cell r="Q1407">
            <v>632182002</v>
          </cell>
        </row>
        <row r="1408">
          <cell r="A1408">
            <v>4658003</v>
          </cell>
          <cell r="B1408">
            <v>44235</v>
          </cell>
          <cell r="C1408" t="str">
            <v>PON</v>
          </cell>
          <cell r="D1408">
            <v>641518004</v>
          </cell>
          <cell r="E1408" t="str">
            <v>F21 Sam2 6.9 Brown Xl</v>
          </cell>
          <cell r="F1408">
            <v>1</v>
          </cell>
          <cell r="G1408">
            <v>0</v>
          </cell>
          <cell r="I1408" t="str">
            <v>JA000</v>
          </cell>
          <cell r="J1408">
            <v>1</v>
          </cell>
          <cell r="L1408">
            <v>36</v>
          </cell>
          <cell r="M1408">
            <v>0.58099999999999996</v>
          </cell>
          <cell r="N1408" t="str">
            <v>5W</v>
          </cell>
          <cell r="P1408" t="str">
            <v>PONFCS</v>
          </cell>
          <cell r="Q1408">
            <v>632182008</v>
          </cell>
        </row>
        <row r="1409">
          <cell r="A1409">
            <v>4658020</v>
          </cell>
          <cell r="B1409">
            <v>44235</v>
          </cell>
          <cell r="C1409" t="str">
            <v>PON</v>
          </cell>
          <cell r="D1409">
            <v>641518004</v>
          </cell>
          <cell r="E1409" t="str">
            <v>F21 Sam2 6.9 Brown Xl</v>
          </cell>
          <cell r="F1409">
            <v>1</v>
          </cell>
          <cell r="G1409">
            <v>0</v>
          </cell>
          <cell r="I1409" t="str">
            <v>JA000</v>
          </cell>
          <cell r="J1409">
            <v>1</v>
          </cell>
          <cell r="L1409">
            <v>36</v>
          </cell>
          <cell r="M1409">
            <v>0.58099999999999996</v>
          </cell>
          <cell r="N1409" t="str">
            <v>5W</v>
          </cell>
          <cell r="P1409" t="str">
            <v>PONFCS</v>
          </cell>
          <cell r="Q1409">
            <v>632182006</v>
          </cell>
        </row>
        <row r="1410">
          <cell r="A1410">
            <v>4658030</v>
          </cell>
          <cell r="B1410">
            <v>44235</v>
          </cell>
          <cell r="C1410" t="str">
            <v>PON</v>
          </cell>
          <cell r="D1410">
            <v>641518004</v>
          </cell>
          <cell r="E1410" t="str">
            <v>F21 Sam2 6.9 Brown Xl</v>
          </cell>
          <cell r="F1410">
            <v>1</v>
          </cell>
          <cell r="G1410">
            <v>0</v>
          </cell>
          <cell r="I1410" t="str">
            <v>JA000</v>
          </cell>
          <cell r="J1410">
            <v>1</v>
          </cell>
          <cell r="L1410">
            <v>36</v>
          </cell>
          <cell r="M1410">
            <v>0.58099999999999996</v>
          </cell>
          <cell r="N1410" t="str">
            <v>5W</v>
          </cell>
          <cell r="P1410" t="str">
            <v>PONFCS</v>
          </cell>
          <cell r="Q1410">
            <v>632182007</v>
          </cell>
        </row>
        <row r="1411">
          <cell r="A1411">
            <v>4658031</v>
          </cell>
          <cell r="B1411">
            <v>44235</v>
          </cell>
          <cell r="C1411" t="str">
            <v>PON</v>
          </cell>
          <cell r="D1411">
            <v>641518004</v>
          </cell>
          <cell r="E1411" t="str">
            <v>F21 Sam2 6.9 Brown Xl</v>
          </cell>
          <cell r="F1411">
            <v>1</v>
          </cell>
          <cell r="G1411">
            <v>0</v>
          </cell>
          <cell r="I1411" t="str">
            <v>JA000</v>
          </cell>
          <cell r="J1411">
            <v>1</v>
          </cell>
          <cell r="L1411">
            <v>36</v>
          </cell>
          <cell r="M1411">
            <v>0.58099999999999996</v>
          </cell>
          <cell r="N1411" t="str">
            <v>5W</v>
          </cell>
          <cell r="P1411" t="str">
            <v>PONFCS</v>
          </cell>
          <cell r="Q1411">
            <v>632182001</v>
          </cell>
        </row>
        <row r="1412">
          <cell r="A1412">
            <v>4658033</v>
          </cell>
          <cell r="B1412">
            <v>44235</v>
          </cell>
          <cell r="C1412" t="str">
            <v>PON</v>
          </cell>
          <cell r="D1412">
            <v>641518007</v>
          </cell>
          <cell r="E1412" t="str">
            <v>F21 Sam2 6.8 L45 Bro 625Wh</v>
          </cell>
          <cell r="F1412">
            <v>1</v>
          </cell>
          <cell r="G1412">
            <v>0</v>
          </cell>
          <cell r="I1412" t="str">
            <v>JA000</v>
          </cell>
          <cell r="J1412">
            <v>1</v>
          </cell>
          <cell r="L1412">
            <v>36</v>
          </cell>
          <cell r="M1412">
            <v>0.57299999999999995</v>
          </cell>
          <cell r="N1412" t="str">
            <v>5W</v>
          </cell>
          <cell r="P1412" t="str">
            <v>PONFCS</v>
          </cell>
          <cell r="Q1412">
            <v>632137003</v>
          </cell>
        </row>
        <row r="1413">
          <cell r="A1413">
            <v>4658034</v>
          </cell>
          <cell r="B1413">
            <v>44235</v>
          </cell>
          <cell r="C1413" t="str">
            <v>PON</v>
          </cell>
          <cell r="D1413">
            <v>641518007</v>
          </cell>
          <cell r="E1413" t="str">
            <v>F21 Sam2 6.8 L45 Bro 625Wh</v>
          </cell>
          <cell r="F1413">
            <v>1</v>
          </cell>
          <cell r="G1413">
            <v>0</v>
          </cell>
          <cell r="I1413" t="str">
            <v>JA000</v>
          </cell>
          <cell r="J1413">
            <v>1</v>
          </cell>
          <cell r="L1413">
            <v>36</v>
          </cell>
          <cell r="M1413">
            <v>0.57299999999999995</v>
          </cell>
          <cell r="N1413" t="str">
            <v>5W</v>
          </cell>
          <cell r="P1413" t="str">
            <v>PONFCS</v>
          </cell>
          <cell r="Q1413">
            <v>632137020</v>
          </cell>
        </row>
        <row r="1414">
          <cell r="A1414">
            <v>4658035</v>
          </cell>
          <cell r="B1414">
            <v>44235</v>
          </cell>
          <cell r="C1414" t="str">
            <v>PON</v>
          </cell>
          <cell r="D1414">
            <v>641518007</v>
          </cell>
          <cell r="E1414" t="str">
            <v>F21 Sam2 6.8 L45 Bro 625Wh</v>
          </cell>
          <cell r="F1414">
            <v>1</v>
          </cell>
          <cell r="G1414">
            <v>0</v>
          </cell>
          <cell r="I1414" t="str">
            <v>JA000</v>
          </cell>
          <cell r="J1414">
            <v>1</v>
          </cell>
          <cell r="L1414">
            <v>36</v>
          </cell>
          <cell r="M1414">
            <v>0.57299999999999995</v>
          </cell>
          <cell r="N1414" t="str">
            <v>5W</v>
          </cell>
          <cell r="P1414" t="str">
            <v>PONFCS</v>
          </cell>
          <cell r="Q1414">
            <v>632137019</v>
          </cell>
        </row>
        <row r="1415">
          <cell r="A1415">
            <v>4658036</v>
          </cell>
          <cell r="B1415">
            <v>44235</v>
          </cell>
          <cell r="C1415" t="str">
            <v>PON</v>
          </cell>
          <cell r="D1415">
            <v>641518007</v>
          </cell>
          <cell r="E1415" t="str">
            <v>F21 Sam2 6.8 L45 Bro 625Wh</v>
          </cell>
          <cell r="F1415">
            <v>1</v>
          </cell>
          <cell r="G1415">
            <v>0</v>
          </cell>
          <cell r="I1415" t="str">
            <v>JA000</v>
          </cell>
          <cell r="J1415">
            <v>1</v>
          </cell>
          <cell r="L1415">
            <v>36</v>
          </cell>
          <cell r="M1415">
            <v>0.57299999999999995</v>
          </cell>
          <cell r="N1415" t="str">
            <v>5W</v>
          </cell>
          <cell r="P1415" t="str">
            <v>PONFCS</v>
          </cell>
          <cell r="Q1415">
            <v>632137025</v>
          </cell>
        </row>
        <row r="1416">
          <cell r="A1416">
            <v>4658037</v>
          </cell>
          <cell r="B1416">
            <v>44235</v>
          </cell>
          <cell r="C1416" t="str">
            <v>PON</v>
          </cell>
          <cell r="D1416">
            <v>641518007</v>
          </cell>
          <cell r="E1416" t="str">
            <v>F21 Sam2 6.8 L45 Bro 625Wh</v>
          </cell>
          <cell r="F1416">
            <v>1</v>
          </cell>
          <cell r="G1416">
            <v>0</v>
          </cell>
          <cell r="I1416" t="str">
            <v>JA000</v>
          </cell>
          <cell r="J1416">
            <v>1</v>
          </cell>
          <cell r="L1416">
            <v>36</v>
          </cell>
          <cell r="M1416">
            <v>0.57299999999999995</v>
          </cell>
          <cell r="N1416" t="str">
            <v>5W</v>
          </cell>
          <cell r="P1416" t="str">
            <v>PONFCS</v>
          </cell>
          <cell r="Q1416">
            <v>632137018</v>
          </cell>
        </row>
        <row r="1417">
          <cell r="A1417">
            <v>4658038</v>
          </cell>
          <cell r="B1417">
            <v>44235</v>
          </cell>
          <cell r="C1417" t="str">
            <v>PON</v>
          </cell>
          <cell r="D1417">
            <v>641518007</v>
          </cell>
          <cell r="E1417" t="str">
            <v>F21 Sam2 6.8 L45 Bro 625Wh</v>
          </cell>
          <cell r="F1417">
            <v>1</v>
          </cell>
          <cell r="G1417">
            <v>0</v>
          </cell>
          <cell r="I1417" t="str">
            <v>JA000</v>
          </cell>
          <cell r="J1417">
            <v>1</v>
          </cell>
          <cell r="L1417">
            <v>36</v>
          </cell>
          <cell r="M1417">
            <v>0.57299999999999995</v>
          </cell>
          <cell r="N1417" t="str">
            <v>5W</v>
          </cell>
          <cell r="P1417" t="str">
            <v>PONFCS</v>
          </cell>
          <cell r="Q1417">
            <v>632137021</v>
          </cell>
        </row>
        <row r="1418">
          <cell r="A1418">
            <v>4658040</v>
          </cell>
          <cell r="B1418">
            <v>44235</v>
          </cell>
          <cell r="C1418" t="str">
            <v>PON</v>
          </cell>
          <cell r="D1418">
            <v>641526105</v>
          </cell>
          <cell r="E1418" t="str">
            <v>K21 Agattu 3.B Move S</v>
          </cell>
          <cell r="F1418">
            <v>1</v>
          </cell>
          <cell r="G1418">
            <v>0</v>
          </cell>
          <cell r="I1418" t="str">
            <v>JA000</v>
          </cell>
          <cell r="J1418">
            <v>1</v>
          </cell>
          <cell r="L1418">
            <v>34</v>
          </cell>
          <cell r="M1418">
            <v>0.58099999999999996</v>
          </cell>
          <cell r="N1418" t="str">
            <v>5W</v>
          </cell>
          <cell r="P1418" t="str">
            <v>PONFCS</v>
          </cell>
          <cell r="Q1418">
            <v>629683020</v>
          </cell>
        </row>
        <row r="1419">
          <cell r="A1419">
            <v>4658041</v>
          </cell>
          <cell r="B1419">
            <v>44235</v>
          </cell>
          <cell r="C1419" t="str">
            <v>PON</v>
          </cell>
          <cell r="D1419">
            <v>641526105</v>
          </cell>
          <cell r="E1419" t="str">
            <v>K21 Agattu 3.B Move S</v>
          </cell>
          <cell r="F1419">
            <v>1</v>
          </cell>
          <cell r="G1419">
            <v>0</v>
          </cell>
          <cell r="I1419" t="str">
            <v>JA000</v>
          </cell>
          <cell r="J1419">
            <v>1</v>
          </cell>
          <cell r="L1419">
            <v>34</v>
          </cell>
          <cell r="M1419">
            <v>0.58099999999999996</v>
          </cell>
          <cell r="N1419" t="str">
            <v>5W</v>
          </cell>
          <cell r="P1419" t="str">
            <v>PONFCS</v>
          </cell>
          <cell r="Q1419">
            <v>629683008</v>
          </cell>
        </row>
        <row r="1420">
          <cell r="A1420">
            <v>4658042</v>
          </cell>
          <cell r="B1420">
            <v>44235</v>
          </cell>
          <cell r="C1420" t="str">
            <v>PON</v>
          </cell>
          <cell r="D1420">
            <v>641526105</v>
          </cell>
          <cell r="E1420" t="str">
            <v>K21 Agattu 3.B Move S</v>
          </cell>
          <cell r="F1420">
            <v>1</v>
          </cell>
          <cell r="G1420">
            <v>0</v>
          </cell>
          <cell r="I1420" t="str">
            <v>JA000</v>
          </cell>
          <cell r="J1420">
            <v>1</v>
          </cell>
          <cell r="L1420">
            <v>34</v>
          </cell>
          <cell r="M1420">
            <v>0.58099999999999996</v>
          </cell>
          <cell r="N1420" t="str">
            <v>5W</v>
          </cell>
          <cell r="P1420" t="str">
            <v>PONFCS</v>
          </cell>
          <cell r="Q1420">
            <v>629683015</v>
          </cell>
        </row>
        <row r="1421">
          <cell r="A1421">
            <v>4658043</v>
          </cell>
          <cell r="B1421">
            <v>44235</v>
          </cell>
          <cell r="C1421" t="str">
            <v>PON</v>
          </cell>
          <cell r="D1421">
            <v>641526105</v>
          </cell>
          <cell r="E1421" t="str">
            <v>K21 Agattu 3.B Move S</v>
          </cell>
          <cell r="F1421">
            <v>1</v>
          </cell>
          <cell r="G1421">
            <v>0</v>
          </cell>
          <cell r="I1421" t="str">
            <v>JA000</v>
          </cell>
          <cell r="J1421">
            <v>1</v>
          </cell>
          <cell r="L1421">
            <v>34</v>
          </cell>
          <cell r="M1421">
            <v>0.58099999999999996</v>
          </cell>
          <cell r="N1421" t="str">
            <v>5W</v>
          </cell>
          <cell r="P1421" t="str">
            <v>PONFCS</v>
          </cell>
          <cell r="Q1421">
            <v>629683019</v>
          </cell>
        </row>
        <row r="1422">
          <cell r="A1422">
            <v>4658044</v>
          </cell>
          <cell r="B1422">
            <v>44235</v>
          </cell>
          <cell r="C1422" t="str">
            <v>PON</v>
          </cell>
          <cell r="D1422">
            <v>641526105</v>
          </cell>
          <cell r="E1422" t="str">
            <v>K21 Agattu 3.B Move S</v>
          </cell>
          <cell r="F1422">
            <v>1</v>
          </cell>
          <cell r="G1422">
            <v>0</v>
          </cell>
          <cell r="I1422" t="str">
            <v>JA000</v>
          </cell>
          <cell r="J1422">
            <v>1</v>
          </cell>
          <cell r="L1422">
            <v>34</v>
          </cell>
          <cell r="M1422">
            <v>0.58099999999999996</v>
          </cell>
          <cell r="N1422" t="str">
            <v>5W</v>
          </cell>
          <cell r="P1422" t="str">
            <v>PONFCS</v>
          </cell>
          <cell r="Q1422">
            <v>629683005</v>
          </cell>
        </row>
        <row r="1423">
          <cell r="A1423">
            <v>4658045</v>
          </cell>
          <cell r="B1423">
            <v>44235</v>
          </cell>
          <cell r="C1423" t="str">
            <v>PON</v>
          </cell>
          <cell r="D1423">
            <v>641526105</v>
          </cell>
          <cell r="E1423" t="str">
            <v>K21 Agattu 3.B Move S</v>
          </cell>
          <cell r="F1423">
            <v>1</v>
          </cell>
          <cell r="G1423">
            <v>0</v>
          </cell>
          <cell r="I1423" t="str">
            <v>JA000</v>
          </cell>
          <cell r="J1423">
            <v>1</v>
          </cell>
          <cell r="L1423">
            <v>34</v>
          </cell>
          <cell r="M1423">
            <v>0.58099999999999996</v>
          </cell>
          <cell r="N1423" t="str">
            <v>5W</v>
          </cell>
          <cell r="P1423" t="str">
            <v>PONFCS</v>
          </cell>
          <cell r="Q1423">
            <v>629683030</v>
          </cell>
        </row>
        <row r="1424">
          <cell r="A1424">
            <v>4658046</v>
          </cell>
          <cell r="B1424">
            <v>44235</v>
          </cell>
          <cell r="C1424" t="str">
            <v>PON</v>
          </cell>
          <cell r="D1424">
            <v>641526105</v>
          </cell>
          <cell r="E1424" t="str">
            <v>K21 Agattu 3.B Move S</v>
          </cell>
          <cell r="F1424">
            <v>1</v>
          </cell>
          <cell r="G1424">
            <v>0</v>
          </cell>
          <cell r="I1424" t="str">
            <v>JA000</v>
          </cell>
          <cell r="J1424">
            <v>1</v>
          </cell>
          <cell r="L1424">
            <v>34</v>
          </cell>
          <cell r="M1424">
            <v>0.58099999999999996</v>
          </cell>
          <cell r="N1424" t="str">
            <v>5W</v>
          </cell>
          <cell r="P1424" t="str">
            <v>PONFCS</v>
          </cell>
          <cell r="Q1424">
            <v>629683009</v>
          </cell>
        </row>
        <row r="1425">
          <cell r="A1425">
            <v>4658047</v>
          </cell>
          <cell r="B1425">
            <v>44235</v>
          </cell>
          <cell r="C1425" t="str">
            <v>PON</v>
          </cell>
          <cell r="D1425">
            <v>641526105</v>
          </cell>
          <cell r="E1425" t="str">
            <v>K21 Agattu 3.B Move S</v>
          </cell>
          <cell r="F1425">
            <v>1</v>
          </cell>
          <cell r="G1425">
            <v>0</v>
          </cell>
          <cell r="I1425" t="str">
            <v>JA000</v>
          </cell>
          <cell r="J1425">
            <v>1</v>
          </cell>
          <cell r="L1425">
            <v>34</v>
          </cell>
          <cell r="M1425">
            <v>0.58099999999999996</v>
          </cell>
          <cell r="N1425" t="str">
            <v>5W</v>
          </cell>
          <cell r="P1425" t="str">
            <v>PONFCS</v>
          </cell>
          <cell r="Q1425">
            <v>629683024</v>
          </cell>
        </row>
        <row r="1426">
          <cell r="A1426">
            <v>4658048</v>
          </cell>
          <cell r="B1426">
            <v>44235</v>
          </cell>
          <cell r="C1426" t="str">
            <v>PON</v>
          </cell>
          <cell r="D1426">
            <v>641526105</v>
          </cell>
          <cell r="E1426" t="str">
            <v>K21 Agattu 3.B Move S</v>
          </cell>
          <cell r="F1426">
            <v>1</v>
          </cell>
          <cell r="G1426">
            <v>0</v>
          </cell>
          <cell r="I1426" t="str">
            <v>JA000</v>
          </cell>
          <cell r="J1426">
            <v>1</v>
          </cell>
          <cell r="L1426">
            <v>34</v>
          </cell>
          <cell r="M1426">
            <v>0.58099999999999996</v>
          </cell>
          <cell r="N1426" t="str">
            <v>5W</v>
          </cell>
          <cell r="P1426" t="str">
            <v>PONFCS</v>
          </cell>
          <cell r="Q1426">
            <v>629683004</v>
          </cell>
        </row>
        <row r="1427">
          <cell r="A1427">
            <v>4658049</v>
          </cell>
          <cell r="B1427">
            <v>44235</v>
          </cell>
          <cell r="C1427" t="str">
            <v>PON</v>
          </cell>
          <cell r="D1427">
            <v>641526105</v>
          </cell>
          <cell r="E1427" t="str">
            <v>K21 Agattu 3.B Move S</v>
          </cell>
          <cell r="F1427">
            <v>1</v>
          </cell>
          <cell r="G1427">
            <v>0</v>
          </cell>
          <cell r="I1427" t="str">
            <v>JA000</v>
          </cell>
          <cell r="J1427">
            <v>1</v>
          </cell>
          <cell r="L1427">
            <v>34</v>
          </cell>
          <cell r="M1427">
            <v>0.58099999999999996</v>
          </cell>
          <cell r="N1427" t="str">
            <v>5W</v>
          </cell>
          <cell r="P1427" t="str">
            <v>PONFCS</v>
          </cell>
          <cell r="Q1427">
            <v>629683006</v>
          </cell>
        </row>
        <row r="1428">
          <cell r="A1428">
            <v>4658051</v>
          </cell>
          <cell r="B1428">
            <v>44235</v>
          </cell>
          <cell r="C1428" t="str">
            <v>PON</v>
          </cell>
          <cell r="D1428">
            <v>641526106</v>
          </cell>
          <cell r="E1428" t="str">
            <v>K21 Agattu 3.B Move M 50 Wa400</v>
          </cell>
          <cell r="F1428">
            <v>1</v>
          </cell>
          <cell r="G1428">
            <v>0</v>
          </cell>
          <cell r="I1428" t="str">
            <v>JA000</v>
          </cell>
          <cell r="J1428">
            <v>1</v>
          </cell>
          <cell r="L1428">
            <v>34</v>
          </cell>
          <cell r="M1428">
            <v>0.58099999999999996</v>
          </cell>
          <cell r="N1428" t="str">
            <v>5W</v>
          </cell>
          <cell r="P1428" t="str">
            <v>PONFCS</v>
          </cell>
          <cell r="Q1428">
            <v>629684011</v>
          </cell>
        </row>
        <row r="1429">
          <cell r="A1429">
            <v>4658052</v>
          </cell>
          <cell r="B1429">
            <v>44235</v>
          </cell>
          <cell r="C1429" t="str">
            <v>PON</v>
          </cell>
          <cell r="D1429">
            <v>641526106</v>
          </cell>
          <cell r="E1429" t="str">
            <v>K21 Agattu 3.B Move M 50 Wa400</v>
          </cell>
          <cell r="F1429">
            <v>1</v>
          </cell>
          <cell r="G1429">
            <v>0</v>
          </cell>
          <cell r="I1429" t="str">
            <v>JA000</v>
          </cell>
          <cell r="J1429">
            <v>1</v>
          </cell>
          <cell r="L1429">
            <v>34</v>
          </cell>
          <cell r="M1429">
            <v>0.58099999999999996</v>
          </cell>
          <cell r="N1429" t="str">
            <v>5W</v>
          </cell>
          <cell r="P1429" t="str">
            <v>PONFCS</v>
          </cell>
          <cell r="Q1429">
            <v>629684009</v>
          </cell>
        </row>
        <row r="1430">
          <cell r="A1430">
            <v>4658053</v>
          </cell>
          <cell r="B1430">
            <v>44235</v>
          </cell>
          <cell r="C1430" t="str">
            <v>PON</v>
          </cell>
          <cell r="D1430">
            <v>641526106</v>
          </cell>
          <cell r="E1430" t="str">
            <v>K21 Agattu 3.B Move M 50 Wa400</v>
          </cell>
          <cell r="F1430">
            <v>1</v>
          </cell>
          <cell r="G1430">
            <v>0</v>
          </cell>
          <cell r="I1430" t="str">
            <v>JA000</v>
          </cell>
          <cell r="J1430">
            <v>1</v>
          </cell>
          <cell r="L1430">
            <v>34</v>
          </cell>
          <cell r="M1430">
            <v>0.58099999999999996</v>
          </cell>
          <cell r="N1430" t="str">
            <v>5W</v>
          </cell>
          <cell r="P1430" t="str">
            <v>PONFCS</v>
          </cell>
          <cell r="Q1430">
            <v>629684006</v>
          </cell>
        </row>
        <row r="1431">
          <cell r="A1431">
            <v>4658054</v>
          </cell>
          <cell r="B1431">
            <v>44235</v>
          </cell>
          <cell r="C1431" t="str">
            <v>PON</v>
          </cell>
          <cell r="D1431">
            <v>641526106</v>
          </cell>
          <cell r="E1431" t="str">
            <v>K21 Agattu 3.B Move M 50 Wa400</v>
          </cell>
          <cell r="F1431">
            <v>1</v>
          </cell>
          <cell r="G1431">
            <v>0</v>
          </cell>
          <cell r="I1431" t="str">
            <v>JA000</v>
          </cell>
          <cell r="J1431">
            <v>1</v>
          </cell>
          <cell r="L1431">
            <v>34</v>
          </cell>
          <cell r="M1431">
            <v>0.58099999999999996</v>
          </cell>
          <cell r="N1431" t="str">
            <v>5W</v>
          </cell>
          <cell r="P1431" t="str">
            <v>PONFCS</v>
          </cell>
          <cell r="Q1431">
            <v>629684007</v>
          </cell>
        </row>
        <row r="1432">
          <cell r="A1432">
            <v>4658055</v>
          </cell>
          <cell r="B1432">
            <v>44235</v>
          </cell>
          <cell r="C1432" t="str">
            <v>PON</v>
          </cell>
          <cell r="D1432">
            <v>641526106</v>
          </cell>
          <cell r="E1432" t="str">
            <v>K21 Agattu 3.B Move M 50 Wa400</v>
          </cell>
          <cell r="F1432">
            <v>1</v>
          </cell>
          <cell r="G1432">
            <v>0</v>
          </cell>
          <cell r="I1432" t="str">
            <v>JA000</v>
          </cell>
          <cell r="J1432">
            <v>1</v>
          </cell>
          <cell r="L1432">
            <v>34</v>
          </cell>
          <cell r="M1432">
            <v>0.58099999999999996</v>
          </cell>
          <cell r="N1432" t="str">
            <v>5W</v>
          </cell>
          <cell r="P1432" t="str">
            <v>PONFCS</v>
          </cell>
          <cell r="Q1432">
            <v>629684003</v>
          </cell>
        </row>
        <row r="1433">
          <cell r="A1433">
            <v>4658057</v>
          </cell>
          <cell r="B1433">
            <v>44235</v>
          </cell>
          <cell r="C1433" t="str">
            <v>PON</v>
          </cell>
          <cell r="D1433">
            <v>641526106</v>
          </cell>
          <cell r="E1433" t="str">
            <v>K21 Agattu 3.B Move M 50 Wa400</v>
          </cell>
          <cell r="F1433">
            <v>1</v>
          </cell>
          <cell r="G1433">
            <v>0</v>
          </cell>
          <cell r="I1433" t="str">
            <v>JA000</v>
          </cell>
          <cell r="J1433">
            <v>1</v>
          </cell>
          <cell r="L1433">
            <v>34</v>
          </cell>
          <cell r="M1433">
            <v>0.58099999999999996</v>
          </cell>
          <cell r="N1433" t="str">
            <v>5W</v>
          </cell>
          <cell r="P1433" t="str">
            <v>PONFCS</v>
          </cell>
          <cell r="Q1433">
            <v>629684002</v>
          </cell>
        </row>
        <row r="1434">
          <cell r="A1434">
            <v>4658058</v>
          </cell>
          <cell r="B1434">
            <v>44235</v>
          </cell>
          <cell r="C1434" t="str">
            <v>PON</v>
          </cell>
          <cell r="D1434">
            <v>641526106</v>
          </cell>
          <cell r="E1434" t="str">
            <v>K21 Agattu 3.B Move M 50 Wa400</v>
          </cell>
          <cell r="F1434">
            <v>1</v>
          </cell>
          <cell r="G1434">
            <v>0</v>
          </cell>
          <cell r="I1434" t="str">
            <v>JA000</v>
          </cell>
          <cell r="J1434">
            <v>1</v>
          </cell>
          <cell r="L1434">
            <v>34</v>
          </cell>
          <cell r="M1434">
            <v>0.58099999999999996</v>
          </cell>
          <cell r="N1434" t="str">
            <v>5W</v>
          </cell>
          <cell r="P1434" t="str">
            <v>PONFCS</v>
          </cell>
          <cell r="Q1434">
            <v>629684031</v>
          </cell>
        </row>
        <row r="1435">
          <cell r="A1435">
            <v>4658059</v>
          </cell>
          <cell r="B1435">
            <v>44235</v>
          </cell>
          <cell r="C1435" t="str">
            <v>PON</v>
          </cell>
          <cell r="D1435">
            <v>641526106</v>
          </cell>
          <cell r="E1435" t="str">
            <v>K21 Agattu 3.B Move M 50 Wa400</v>
          </cell>
          <cell r="F1435">
            <v>1</v>
          </cell>
          <cell r="G1435">
            <v>0</v>
          </cell>
          <cell r="I1435" t="str">
            <v>JA000</v>
          </cell>
          <cell r="J1435">
            <v>1</v>
          </cell>
          <cell r="L1435">
            <v>34</v>
          </cell>
          <cell r="M1435">
            <v>0.58099999999999996</v>
          </cell>
          <cell r="N1435" t="str">
            <v>5W</v>
          </cell>
          <cell r="P1435" t="str">
            <v>PONFCS</v>
          </cell>
          <cell r="Q1435">
            <v>629684022</v>
          </cell>
        </row>
        <row r="1436">
          <cell r="A1436">
            <v>4658060</v>
          </cell>
          <cell r="B1436">
            <v>44235</v>
          </cell>
          <cell r="C1436" t="str">
            <v>PON</v>
          </cell>
          <cell r="D1436">
            <v>641526106</v>
          </cell>
          <cell r="E1436" t="str">
            <v>K21 Agattu 3.B Move M 50 Wa400</v>
          </cell>
          <cell r="F1436">
            <v>1</v>
          </cell>
          <cell r="G1436">
            <v>0</v>
          </cell>
          <cell r="I1436" t="str">
            <v>JA000</v>
          </cell>
          <cell r="J1436">
            <v>1</v>
          </cell>
          <cell r="L1436">
            <v>34</v>
          </cell>
          <cell r="M1436">
            <v>0.58099999999999996</v>
          </cell>
          <cell r="N1436" t="str">
            <v>5W</v>
          </cell>
          <cell r="P1436" t="str">
            <v>PONFCS</v>
          </cell>
          <cell r="Q1436">
            <v>629684005</v>
          </cell>
        </row>
        <row r="1437">
          <cell r="A1437">
            <v>4658061</v>
          </cell>
          <cell r="B1437">
            <v>44235</v>
          </cell>
          <cell r="C1437" t="str">
            <v>PON</v>
          </cell>
          <cell r="D1437">
            <v>641526106</v>
          </cell>
          <cell r="E1437" t="str">
            <v>K21 Agattu 3.B Move M 50 Wa400</v>
          </cell>
          <cell r="F1437">
            <v>1</v>
          </cell>
          <cell r="G1437">
            <v>0</v>
          </cell>
          <cell r="I1437" t="str">
            <v>JA000</v>
          </cell>
          <cell r="J1437">
            <v>1</v>
          </cell>
          <cell r="L1437">
            <v>34</v>
          </cell>
          <cell r="M1437">
            <v>0.58099999999999996</v>
          </cell>
          <cell r="N1437" t="str">
            <v>5W</v>
          </cell>
          <cell r="P1437" t="str">
            <v>PONFCS</v>
          </cell>
          <cell r="Q1437">
            <v>629684013</v>
          </cell>
        </row>
        <row r="1438">
          <cell r="A1438">
            <v>4658064</v>
          </cell>
          <cell r="B1438">
            <v>44235</v>
          </cell>
          <cell r="C1438" t="str">
            <v>PON</v>
          </cell>
          <cell r="D1438">
            <v>641528121</v>
          </cell>
          <cell r="E1438" t="str">
            <v>K21 Endv 5.B Season M 48</v>
          </cell>
          <cell r="F1438">
            <v>1</v>
          </cell>
          <cell r="G1438">
            <v>0</v>
          </cell>
          <cell r="I1438" t="str">
            <v>JA000</v>
          </cell>
          <cell r="J1438">
            <v>1</v>
          </cell>
          <cell r="L1438">
            <v>35</v>
          </cell>
          <cell r="M1438">
            <v>0.57299999999999995</v>
          </cell>
          <cell r="N1438" t="str">
            <v>5W</v>
          </cell>
          <cell r="P1438" t="str">
            <v>PONFCS</v>
          </cell>
          <cell r="Q1438">
            <v>628637011</v>
          </cell>
        </row>
        <row r="1439">
          <cell r="A1439">
            <v>4658065</v>
          </cell>
          <cell r="B1439">
            <v>44235</v>
          </cell>
          <cell r="C1439" t="str">
            <v>PON</v>
          </cell>
          <cell r="D1439">
            <v>641528121</v>
          </cell>
          <cell r="E1439" t="str">
            <v>K21 Endv 5.B Season M 48</v>
          </cell>
          <cell r="F1439">
            <v>1</v>
          </cell>
          <cell r="G1439">
            <v>0</v>
          </cell>
          <cell r="I1439" t="str">
            <v>JA000</v>
          </cell>
          <cell r="J1439">
            <v>1</v>
          </cell>
          <cell r="L1439">
            <v>35</v>
          </cell>
          <cell r="M1439">
            <v>0.57299999999999995</v>
          </cell>
          <cell r="N1439" t="str">
            <v>5W</v>
          </cell>
          <cell r="P1439" t="str">
            <v>PONFCS</v>
          </cell>
          <cell r="Q1439">
            <v>628637030</v>
          </cell>
        </row>
        <row r="1440">
          <cell r="A1440">
            <v>4658066</v>
          </cell>
          <cell r="B1440">
            <v>44235</v>
          </cell>
          <cell r="C1440" t="str">
            <v>PON</v>
          </cell>
          <cell r="D1440">
            <v>641528121</v>
          </cell>
          <cell r="E1440" t="str">
            <v>K21 Endv 5.B Season M 48</v>
          </cell>
          <cell r="F1440">
            <v>1</v>
          </cell>
          <cell r="G1440">
            <v>0</v>
          </cell>
          <cell r="I1440" t="str">
            <v>JA000</v>
          </cell>
          <cell r="J1440">
            <v>1</v>
          </cell>
          <cell r="L1440">
            <v>35</v>
          </cell>
          <cell r="M1440">
            <v>0.57299999999999995</v>
          </cell>
          <cell r="N1440" t="str">
            <v>5W</v>
          </cell>
          <cell r="P1440" t="str">
            <v>PONFCS</v>
          </cell>
          <cell r="Q1440">
            <v>628637031</v>
          </cell>
        </row>
        <row r="1441">
          <cell r="A1441">
            <v>4658069</v>
          </cell>
          <cell r="B1441">
            <v>44235</v>
          </cell>
          <cell r="C1441" t="str">
            <v>PON</v>
          </cell>
          <cell r="D1441">
            <v>641528136</v>
          </cell>
          <cell r="E1441" t="str">
            <v>K21 Endeavour 5.B Season M</v>
          </cell>
          <cell r="F1441">
            <v>1</v>
          </cell>
          <cell r="G1441">
            <v>0</v>
          </cell>
          <cell r="I1441" t="str">
            <v>JA000</v>
          </cell>
          <cell r="J1441">
            <v>1</v>
          </cell>
          <cell r="L1441">
            <v>34.5</v>
          </cell>
          <cell r="M1441">
            <v>0.58099999999999996</v>
          </cell>
          <cell r="N1441" t="str">
            <v>5W</v>
          </cell>
          <cell r="P1441" t="str">
            <v>PONFCS</v>
          </cell>
          <cell r="Q1441">
            <v>633031011</v>
          </cell>
        </row>
        <row r="1442">
          <cell r="A1442">
            <v>4658070</v>
          </cell>
          <cell r="B1442">
            <v>44235</v>
          </cell>
          <cell r="C1442" t="str">
            <v>PON</v>
          </cell>
          <cell r="D1442">
            <v>641528136</v>
          </cell>
          <cell r="E1442" t="str">
            <v>K21 Endeavour 5.B Season M</v>
          </cell>
          <cell r="F1442">
            <v>1</v>
          </cell>
          <cell r="G1442">
            <v>0</v>
          </cell>
          <cell r="I1442" t="str">
            <v>JA000</v>
          </cell>
          <cell r="J1442">
            <v>1</v>
          </cell>
          <cell r="L1442">
            <v>34.5</v>
          </cell>
          <cell r="M1442">
            <v>0.58099999999999996</v>
          </cell>
          <cell r="N1442" t="str">
            <v>5W</v>
          </cell>
          <cell r="P1442" t="str">
            <v>PONFCS</v>
          </cell>
          <cell r="Q1442">
            <v>633031009</v>
          </cell>
        </row>
        <row r="1443">
          <cell r="A1443">
            <v>3950148</v>
          </cell>
          <cell r="B1443">
            <v>43789</v>
          </cell>
          <cell r="C1443" t="str">
            <v>PON</v>
          </cell>
          <cell r="D1443" t="str">
            <v>BK628078212</v>
          </cell>
          <cell r="E1443" t="str">
            <v>BKC 18 P2 105 5800 54 Nvy/Red</v>
          </cell>
          <cell r="F1443">
            <v>1</v>
          </cell>
          <cell r="G1443">
            <v>0</v>
          </cell>
          <cell r="I1443" t="str">
            <v>JB041</v>
          </cell>
          <cell r="L1443">
            <v>10.8</v>
          </cell>
          <cell r="M1443">
            <v>0.14799999999999999</v>
          </cell>
          <cell r="N1443" t="str">
            <v>5W</v>
          </cell>
          <cell r="P1443" t="str">
            <v>PONCVL</v>
          </cell>
          <cell r="Q1443" t="str">
            <v>/  /</v>
          </cell>
        </row>
        <row r="1444">
          <cell r="A1444">
            <v>3994302</v>
          </cell>
          <cell r="B1444">
            <v>43811</v>
          </cell>
          <cell r="C1444" t="str">
            <v>PON</v>
          </cell>
          <cell r="D1444">
            <v>615071034</v>
          </cell>
          <cell r="E1444" t="str">
            <v>Cervelo C15 F/S RCA Limited 58</v>
          </cell>
          <cell r="F1444">
            <v>1</v>
          </cell>
          <cell r="G1444">
            <v>0</v>
          </cell>
          <cell r="I1444" t="str">
            <v>JB051</v>
          </cell>
          <cell r="L1444">
            <v>4</v>
          </cell>
          <cell r="M1444">
            <v>0.13100000000000001</v>
          </cell>
          <cell r="N1444" t="str">
            <v>5W</v>
          </cell>
          <cell r="P1444" t="str">
            <v>PONCVL</v>
          </cell>
          <cell r="Q1444" t="str">
            <v>/  /</v>
          </cell>
        </row>
        <row r="1445">
          <cell r="A1445">
            <v>4039735</v>
          </cell>
          <cell r="B1445">
            <v>43852</v>
          </cell>
          <cell r="C1445" t="str">
            <v>PON</v>
          </cell>
          <cell r="D1445">
            <v>611076135</v>
          </cell>
          <cell r="E1445" t="str">
            <v>Cervelo C11 R5CA FS 61CM</v>
          </cell>
          <cell r="F1445">
            <v>1</v>
          </cell>
          <cell r="G1445">
            <v>0</v>
          </cell>
          <cell r="I1445" t="str">
            <v>JB061</v>
          </cell>
          <cell r="L1445">
            <v>5</v>
          </cell>
          <cell r="M1445">
            <v>0.122</v>
          </cell>
          <cell r="N1445" t="str">
            <v>5W</v>
          </cell>
          <cell r="P1445" t="str">
            <v>PONCVL</v>
          </cell>
          <cell r="Q1445" t="str">
            <v>/  /</v>
          </cell>
        </row>
        <row r="1446">
          <cell r="A1446">
            <v>3936892</v>
          </cell>
          <cell r="B1446">
            <v>43782</v>
          </cell>
          <cell r="C1446" t="str">
            <v>PON</v>
          </cell>
          <cell r="D1446" t="str">
            <v>BK628078222</v>
          </cell>
          <cell r="E1446" t="str">
            <v>BKC18 P2 105 5800 54 Grey/Grn</v>
          </cell>
          <cell r="F1446">
            <v>1</v>
          </cell>
          <cell r="G1446">
            <v>0</v>
          </cell>
          <cell r="I1446" t="str">
            <v>JB061</v>
          </cell>
          <cell r="L1446">
            <v>10.7</v>
          </cell>
          <cell r="M1446">
            <v>0.153</v>
          </cell>
          <cell r="N1446" t="str">
            <v>5W</v>
          </cell>
          <cell r="P1446" t="str">
            <v>PONCVL</v>
          </cell>
          <cell r="Q1446" t="str">
            <v>/  /</v>
          </cell>
        </row>
        <row r="1447">
          <cell r="A1447">
            <v>4077390</v>
          </cell>
          <cell r="B1447">
            <v>43875</v>
          </cell>
          <cell r="C1447" t="str">
            <v>PON</v>
          </cell>
          <cell r="D1447" t="str">
            <v>PAL03</v>
          </cell>
          <cell r="E1447" t="str">
            <v>Gazebo/Umbrella</v>
          </cell>
          <cell r="F1447">
            <v>1</v>
          </cell>
          <cell r="G1447">
            <v>1</v>
          </cell>
          <cell r="I1447" t="str">
            <v>JB154</v>
          </cell>
          <cell r="L1447">
            <v>155</v>
          </cell>
          <cell r="M1447">
            <v>2.758</v>
          </cell>
          <cell r="N1447" t="str">
            <v>5W</v>
          </cell>
          <cell r="P1447" t="str">
            <v>PONMAR</v>
          </cell>
          <cell r="Q1447" t="str">
            <v>/  /</v>
          </cell>
        </row>
        <row r="1448">
          <cell r="A1448">
            <v>4613983</v>
          </cell>
          <cell r="B1448">
            <v>44203</v>
          </cell>
          <cell r="C1448" t="str">
            <v>PON</v>
          </cell>
          <cell r="D1448">
            <v>641073045</v>
          </cell>
          <cell r="E1448" t="str">
            <v>C21 Cal 5 F/Set Purple Crbn 56</v>
          </cell>
          <cell r="F1448">
            <v>1</v>
          </cell>
          <cell r="G1448">
            <v>0</v>
          </cell>
          <cell r="I1448" t="str">
            <v>JC022</v>
          </cell>
          <cell r="L1448">
            <v>7.1</v>
          </cell>
          <cell r="M1448">
            <v>0.17899999999999999</v>
          </cell>
          <cell r="N1448" t="str">
            <v>5W</v>
          </cell>
          <cell r="P1448" t="str">
            <v>PONCVL</v>
          </cell>
          <cell r="Q1448" t="str">
            <v>/  /</v>
          </cell>
        </row>
        <row r="1449">
          <cell r="A1449">
            <v>4614041</v>
          </cell>
          <cell r="B1449">
            <v>44203</v>
          </cell>
          <cell r="C1449" t="str">
            <v>PON</v>
          </cell>
          <cell r="D1449">
            <v>641078203</v>
          </cell>
          <cell r="E1449" t="str">
            <v>C21 P5 Disc Orange/Chamelon 51</v>
          </cell>
          <cell r="F1449">
            <v>1</v>
          </cell>
          <cell r="G1449">
            <v>0</v>
          </cell>
          <cell r="I1449" t="str">
            <v>JC022</v>
          </cell>
          <cell r="L1449">
            <v>15.8</v>
          </cell>
          <cell r="M1449">
            <v>0.26500000000000001</v>
          </cell>
          <cell r="N1449" t="str">
            <v>5W</v>
          </cell>
          <cell r="P1449" t="str">
            <v>PONCVL</v>
          </cell>
          <cell r="Q1449" t="str">
            <v>/  /</v>
          </cell>
        </row>
        <row r="1450">
          <cell r="A1450">
            <v>4614042</v>
          </cell>
          <cell r="B1450">
            <v>44203</v>
          </cell>
          <cell r="C1450" t="str">
            <v>PON</v>
          </cell>
          <cell r="D1450">
            <v>641078203</v>
          </cell>
          <cell r="E1450" t="str">
            <v>C21 P5 Disc Orange/Chamelon 51</v>
          </cell>
          <cell r="F1450">
            <v>1</v>
          </cell>
          <cell r="G1450">
            <v>0</v>
          </cell>
          <cell r="I1450" t="str">
            <v>JC022</v>
          </cell>
          <cell r="L1450">
            <v>15.8</v>
          </cell>
          <cell r="M1450">
            <v>0.26500000000000001</v>
          </cell>
          <cell r="N1450" t="str">
            <v>5W</v>
          </cell>
          <cell r="P1450" t="str">
            <v>PONCVL</v>
          </cell>
          <cell r="Q1450" t="str">
            <v>/  /</v>
          </cell>
        </row>
        <row r="1451">
          <cell r="A1451">
            <v>4575037</v>
          </cell>
          <cell r="B1451">
            <v>44173</v>
          </cell>
          <cell r="C1451" t="str">
            <v>PON</v>
          </cell>
          <cell r="D1451">
            <v>637518022</v>
          </cell>
          <cell r="E1451" t="str">
            <v>F20 Thron2 6.8 47L Grey</v>
          </cell>
          <cell r="F1451">
            <v>1</v>
          </cell>
          <cell r="G1451">
            <v>0</v>
          </cell>
          <cell r="I1451" t="str">
            <v>JC023</v>
          </cell>
          <cell r="L1451">
            <v>32</v>
          </cell>
          <cell r="M1451">
            <v>0.58099999999999996</v>
          </cell>
          <cell r="N1451" t="str">
            <v>5W</v>
          </cell>
          <cell r="P1451" t="str">
            <v>PONFCS</v>
          </cell>
          <cell r="Q1451" t="str">
            <v>/  /</v>
          </cell>
        </row>
        <row r="1452">
          <cell r="A1452">
            <v>4536005</v>
          </cell>
          <cell r="B1452">
            <v>44159</v>
          </cell>
          <cell r="C1452" t="str">
            <v>PON</v>
          </cell>
          <cell r="D1452">
            <v>637518115</v>
          </cell>
          <cell r="E1452" t="str">
            <v>F20 JAM2 6.8 NINE 40S BLUE BSH</v>
          </cell>
          <cell r="F1452">
            <v>1</v>
          </cell>
          <cell r="G1452">
            <v>0</v>
          </cell>
          <cell r="I1452" t="str">
            <v>JC023</v>
          </cell>
          <cell r="L1452">
            <v>32.299999999999997</v>
          </cell>
          <cell r="M1452">
            <v>0.57799999999999996</v>
          </cell>
          <cell r="N1452" t="str">
            <v>5W</v>
          </cell>
          <cell r="P1452" t="str">
            <v>PONFCS</v>
          </cell>
          <cell r="Q1452" t="str">
            <v>/  /</v>
          </cell>
        </row>
        <row r="1453">
          <cell r="A1453">
            <v>4567578</v>
          </cell>
          <cell r="B1453">
            <v>44169</v>
          </cell>
          <cell r="C1453" t="str">
            <v>PON</v>
          </cell>
          <cell r="D1453" t="str">
            <v>A5467</v>
          </cell>
          <cell r="E1453" t="str">
            <v>GZ G19 Cityzen T10 HMB 57 Men</v>
          </cell>
          <cell r="F1453">
            <v>1</v>
          </cell>
          <cell r="G1453">
            <v>0</v>
          </cell>
          <cell r="I1453" t="str">
            <v>JC023</v>
          </cell>
          <cell r="L1453">
            <v>34.5</v>
          </cell>
          <cell r="M1453">
            <v>0.61899999999999999</v>
          </cell>
          <cell r="N1453" t="str">
            <v>5W</v>
          </cell>
          <cell r="P1453" t="str">
            <v>PONGAZ</v>
          </cell>
          <cell r="Q1453" t="str">
            <v>/  /</v>
          </cell>
        </row>
        <row r="1454">
          <cell r="A1454">
            <v>4575035</v>
          </cell>
          <cell r="B1454">
            <v>44173</v>
          </cell>
          <cell r="C1454" t="str">
            <v>PON</v>
          </cell>
          <cell r="D1454">
            <v>637518022</v>
          </cell>
          <cell r="E1454" t="str">
            <v>F20 Thron2 6.8 47L Grey</v>
          </cell>
          <cell r="F1454">
            <v>1</v>
          </cell>
          <cell r="G1454">
            <v>0</v>
          </cell>
          <cell r="I1454" t="str">
            <v>JC024</v>
          </cell>
          <cell r="L1454">
            <v>32</v>
          </cell>
          <cell r="M1454">
            <v>0.58099999999999996</v>
          </cell>
          <cell r="N1454" t="str">
            <v>5W</v>
          </cell>
          <cell r="P1454" t="str">
            <v>PONFCS</v>
          </cell>
          <cell r="Q1454" t="str">
            <v>/  /</v>
          </cell>
        </row>
        <row r="1455">
          <cell r="A1455">
            <v>4167058</v>
          </cell>
          <cell r="B1455">
            <v>43901</v>
          </cell>
          <cell r="C1455" t="str">
            <v>PON</v>
          </cell>
          <cell r="D1455">
            <v>637527022</v>
          </cell>
          <cell r="E1455" t="str">
            <v>K20 Endeavour 3.B Move 55L DI</v>
          </cell>
          <cell r="F1455">
            <v>1</v>
          </cell>
          <cell r="G1455">
            <v>0</v>
          </cell>
          <cell r="I1455" t="str">
            <v>JC024</v>
          </cell>
          <cell r="L1455">
            <v>33.4</v>
          </cell>
          <cell r="M1455">
            <v>0.57599999999999996</v>
          </cell>
          <cell r="N1455" t="str">
            <v>5W</v>
          </cell>
          <cell r="P1455" t="str">
            <v>PONFCS</v>
          </cell>
          <cell r="Q1455" t="str">
            <v>/  /</v>
          </cell>
        </row>
        <row r="1456">
          <cell r="A1456">
            <v>4363347</v>
          </cell>
          <cell r="B1456">
            <v>44056</v>
          </cell>
          <cell r="C1456" t="str">
            <v>PON</v>
          </cell>
          <cell r="D1456">
            <v>637019313</v>
          </cell>
          <cell r="E1456" t="str">
            <v>F21 WHISTLER 3.8 M 44 GREEN</v>
          </cell>
          <cell r="F1456">
            <v>1</v>
          </cell>
          <cell r="G1456">
            <v>0</v>
          </cell>
          <cell r="I1456" t="str">
            <v>JC031</v>
          </cell>
          <cell r="L1456">
            <v>19.5</v>
          </cell>
          <cell r="M1456">
            <v>0.4</v>
          </cell>
          <cell r="N1456" t="str">
            <v>5W</v>
          </cell>
          <cell r="P1456" t="str">
            <v>PONFCS</v>
          </cell>
          <cell r="Q1456" t="str">
            <v>/  /</v>
          </cell>
        </row>
        <row r="1457">
          <cell r="A1457">
            <v>4363351</v>
          </cell>
          <cell r="B1457">
            <v>44056</v>
          </cell>
          <cell r="C1457" t="str">
            <v>PON</v>
          </cell>
          <cell r="D1457">
            <v>637019343</v>
          </cell>
          <cell r="E1457" t="str">
            <v>F21 WHISTLER 3.6 M 44 BEIGE</v>
          </cell>
          <cell r="F1457">
            <v>1</v>
          </cell>
          <cell r="G1457">
            <v>0</v>
          </cell>
          <cell r="I1457" t="str">
            <v>JC031</v>
          </cell>
          <cell r="L1457">
            <v>19.5</v>
          </cell>
          <cell r="M1457">
            <v>0.4</v>
          </cell>
          <cell r="N1457" t="str">
            <v>5W</v>
          </cell>
          <cell r="P1457" t="str">
            <v>PONFCS</v>
          </cell>
          <cell r="Q1457" t="str">
            <v>/  /</v>
          </cell>
        </row>
        <row r="1458">
          <cell r="A1458">
            <v>3935756</v>
          </cell>
          <cell r="B1458">
            <v>43781</v>
          </cell>
          <cell r="C1458" t="str">
            <v>PON</v>
          </cell>
          <cell r="D1458">
            <v>625508093</v>
          </cell>
          <cell r="E1458" t="str">
            <v>FC F17 RavenMax 29 1BY FS 54XL</v>
          </cell>
          <cell r="F1458">
            <v>1</v>
          </cell>
          <cell r="G1458">
            <v>0</v>
          </cell>
          <cell r="I1458" t="str">
            <v>JC032</v>
          </cell>
          <cell r="L1458">
            <v>5.8</v>
          </cell>
          <cell r="M1458">
            <v>0.20100000000000001</v>
          </cell>
          <cell r="N1458" t="str">
            <v>5W</v>
          </cell>
          <cell r="P1458" t="str">
            <v>PONFCS</v>
          </cell>
          <cell r="Q1458" t="str">
            <v>/  /</v>
          </cell>
        </row>
        <row r="1459">
          <cell r="A1459">
            <v>4613985</v>
          </cell>
          <cell r="B1459">
            <v>44203</v>
          </cell>
          <cell r="C1459" t="str">
            <v>PON</v>
          </cell>
          <cell r="D1459">
            <v>641073031</v>
          </cell>
          <cell r="E1459" t="str">
            <v>C21 Cal 5 F/Set Carbon/Cham 51</v>
          </cell>
          <cell r="F1459">
            <v>1</v>
          </cell>
          <cell r="G1459">
            <v>0</v>
          </cell>
          <cell r="I1459" t="str">
            <v>JC032</v>
          </cell>
          <cell r="L1459">
            <v>6.9</v>
          </cell>
          <cell r="M1459">
            <v>0.17199999999999999</v>
          </cell>
          <cell r="N1459" t="str">
            <v>5W</v>
          </cell>
          <cell r="P1459" t="str">
            <v>PONCVL</v>
          </cell>
          <cell r="Q1459" t="str">
            <v>/  /</v>
          </cell>
        </row>
        <row r="1460">
          <cell r="A1460">
            <v>4613987</v>
          </cell>
          <cell r="B1460">
            <v>44203</v>
          </cell>
          <cell r="C1460" t="str">
            <v>PON</v>
          </cell>
          <cell r="D1460">
            <v>641073033</v>
          </cell>
          <cell r="E1460" t="str">
            <v>C21 Cal 5 F/Set Crbn/Chame 56</v>
          </cell>
          <cell r="F1460">
            <v>1</v>
          </cell>
          <cell r="G1460">
            <v>0</v>
          </cell>
          <cell r="I1460" t="str">
            <v>JC032</v>
          </cell>
          <cell r="L1460">
            <v>6.9</v>
          </cell>
          <cell r="M1460">
            <v>0.17199999999999999</v>
          </cell>
          <cell r="N1460" t="str">
            <v>5W</v>
          </cell>
          <cell r="P1460" t="str">
            <v>PONCVL</v>
          </cell>
          <cell r="Q1460" t="str">
            <v>/  /</v>
          </cell>
        </row>
        <row r="1461">
          <cell r="A1461">
            <v>4614120</v>
          </cell>
          <cell r="B1461">
            <v>44203</v>
          </cell>
          <cell r="C1461" t="str">
            <v>PON</v>
          </cell>
          <cell r="D1461">
            <v>641073169</v>
          </cell>
          <cell r="E1461" t="str">
            <v>C21 S5 Disc F/set Gy/Carbon 58</v>
          </cell>
          <cell r="F1461">
            <v>1</v>
          </cell>
          <cell r="G1461">
            <v>0</v>
          </cell>
          <cell r="I1461" t="str">
            <v>JC032</v>
          </cell>
          <cell r="L1461">
            <v>7.2</v>
          </cell>
          <cell r="M1461">
            <v>0.17199999999999999</v>
          </cell>
          <cell r="N1461" t="str">
            <v>5W</v>
          </cell>
          <cell r="P1461" t="str">
            <v>PONCVL</v>
          </cell>
          <cell r="Q1461" t="str">
            <v>/  /</v>
          </cell>
        </row>
        <row r="1462">
          <cell r="A1462">
            <v>4535273</v>
          </cell>
          <cell r="B1462">
            <v>44158</v>
          </cell>
          <cell r="C1462" t="str">
            <v>PON</v>
          </cell>
          <cell r="D1462">
            <v>637529012</v>
          </cell>
          <cell r="E1462" t="str">
            <v>K20 Endeavour 7.B Pure 56L TR</v>
          </cell>
          <cell r="F1462">
            <v>1</v>
          </cell>
          <cell r="G1462">
            <v>0</v>
          </cell>
          <cell r="I1462" t="str">
            <v>JC033</v>
          </cell>
          <cell r="L1462">
            <v>33.700000000000003</v>
          </cell>
          <cell r="M1462">
            <v>0.57799999999999996</v>
          </cell>
          <cell r="N1462" t="str">
            <v>5W</v>
          </cell>
          <cell r="P1462" t="str">
            <v>PONFCS</v>
          </cell>
          <cell r="Q1462" t="str">
            <v>/  /</v>
          </cell>
        </row>
        <row r="1463">
          <cell r="A1463">
            <v>4541383</v>
          </cell>
          <cell r="B1463">
            <v>44160</v>
          </cell>
          <cell r="C1463" t="str">
            <v>PON</v>
          </cell>
          <cell r="D1463">
            <v>637529051</v>
          </cell>
          <cell r="E1463" t="str">
            <v>K21 Endeavour 7.B Belt M 48 Di</v>
          </cell>
          <cell r="F1463">
            <v>1</v>
          </cell>
          <cell r="G1463">
            <v>0</v>
          </cell>
          <cell r="I1463" t="str">
            <v>JC033</v>
          </cell>
          <cell r="L1463">
            <v>35.5</v>
          </cell>
          <cell r="M1463">
            <v>0.57299999999999995</v>
          </cell>
          <cell r="N1463" t="str">
            <v>5W</v>
          </cell>
          <cell r="P1463" t="str">
            <v>PONFCS</v>
          </cell>
          <cell r="Q1463" t="str">
            <v>/  /</v>
          </cell>
        </row>
        <row r="1464">
          <cell r="A1464">
            <v>4541384</v>
          </cell>
          <cell r="B1464">
            <v>44160</v>
          </cell>
          <cell r="C1464" t="str">
            <v>PON</v>
          </cell>
          <cell r="D1464">
            <v>637529051</v>
          </cell>
          <cell r="E1464" t="str">
            <v>K21 Endeavour 7.B Belt M 48 Di</v>
          </cell>
          <cell r="F1464">
            <v>1</v>
          </cell>
          <cell r="G1464">
            <v>0</v>
          </cell>
          <cell r="I1464" t="str">
            <v>JC033</v>
          </cell>
          <cell r="L1464">
            <v>35.5</v>
          </cell>
          <cell r="M1464">
            <v>0.57299999999999995</v>
          </cell>
          <cell r="N1464" t="str">
            <v>5W</v>
          </cell>
          <cell r="P1464" t="str">
            <v>PONFCS</v>
          </cell>
          <cell r="Q1464" t="str">
            <v>/  /</v>
          </cell>
        </row>
        <row r="1465">
          <cell r="A1465">
            <v>4541385</v>
          </cell>
          <cell r="B1465">
            <v>44160</v>
          </cell>
          <cell r="C1465" t="str">
            <v>PON</v>
          </cell>
          <cell r="D1465">
            <v>637529051</v>
          </cell>
          <cell r="E1465" t="str">
            <v>K21 Endeavour 7.B Belt M 48 Di</v>
          </cell>
          <cell r="F1465">
            <v>1</v>
          </cell>
          <cell r="G1465">
            <v>0</v>
          </cell>
          <cell r="I1465" t="str">
            <v>JC033</v>
          </cell>
          <cell r="L1465">
            <v>35.5</v>
          </cell>
          <cell r="M1465">
            <v>0.57299999999999995</v>
          </cell>
          <cell r="N1465" t="str">
            <v>5W</v>
          </cell>
          <cell r="P1465" t="str">
            <v>PONFCS</v>
          </cell>
          <cell r="Q1465" t="str">
            <v>/  /</v>
          </cell>
        </row>
        <row r="1466">
          <cell r="A1466">
            <v>4535277</v>
          </cell>
          <cell r="B1466">
            <v>44158</v>
          </cell>
          <cell r="C1466" t="str">
            <v>PON</v>
          </cell>
          <cell r="D1466">
            <v>637529015</v>
          </cell>
          <cell r="E1466" t="str">
            <v>K21 Endeavour 7.B Pure 43S Tr</v>
          </cell>
          <cell r="F1466">
            <v>1</v>
          </cell>
          <cell r="G1466">
            <v>0</v>
          </cell>
          <cell r="I1466" t="str">
            <v>JC034</v>
          </cell>
          <cell r="L1466">
            <v>33.5</v>
          </cell>
          <cell r="M1466">
            <v>0.55000000000000004</v>
          </cell>
          <cell r="N1466" t="str">
            <v>5W</v>
          </cell>
          <cell r="P1466" t="str">
            <v>PONFCS</v>
          </cell>
          <cell r="Q1466" t="str">
            <v>/  /</v>
          </cell>
        </row>
        <row r="1467">
          <cell r="A1467">
            <v>4363279</v>
          </cell>
          <cell r="B1467">
            <v>44056</v>
          </cell>
          <cell r="C1467" t="str">
            <v>PON</v>
          </cell>
          <cell r="D1467">
            <v>637013005</v>
          </cell>
          <cell r="E1467" t="str">
            <v>F20 SAM 9.9</v>
          </cell>
          <cell r="F1467">
            <v>1</v>
          </cell>
          <cell r="G1467">
            <v>0</v>
          </cell>
          <cell r="I1467" t="str">
            <v>JC041</v>
          </cell>
          <cell r="L1467">
            <v>19.8</v>
          </cell>
          <cell r="M1467">
            <v>0.38300000000000001</v>
          </cell>
          <cell r="N1467" t="str">
            <v>5W</v>
          </cell>
          <cell r="P1467" t="str">
            <v>PONFCS</v>
          </cell>
          <cell r="Q1467" t="str">
            <v>/  /</v>
          </cell>
        </row>
        <row r="1468">
          <cell r="A1468">
            <v>4363280</v>
          </cell>
          <cell r="B1468">
            <v>44056</v>
          </cell>
          <cell r="C1468" t="str">
            <v>PON</v>
          </cell>
          <cell r="D1468">
            <v>637013005</v>
          </cell>
          <cell r="E1468" t="str">
            <v>F20 SAM 9.9</v>
          </cell>
          <cell r="F1468">
            <v>1</v>
          </cell>
          <cell r="G1468">
            <v>0</v>
          </cell>
          <cell r="I1468" t="str">
            <v>JC041</v>
          </cell>
          <cell r="L1468">
            <v>19.8</v>
          </cell>
          <cell r="M1468">
            <v>0.38300000000000001</v>
          </cell>
          <cell r="N1468" t="str">
            <v>5W</v>
          </cell>
          <cell r="P1468" t="str">
            <v>PONFCS</v>
          </cell>
          <cell r="Q1468" t="str">
            <v>/  /</v>
          </cell>
        </row>
        <row r="1469">
          <cell r="A1469">
            <v>4614109</v>
          </cell>
          <cell r="B1469">
            <v>44203</v>
          </cell>
          <cell r="C1469" t="str">
            <v>PON</v>
          </cell>
          <cell r="D1469">
            <v>641078298</v>
          </cell>
          <cell r="E1469" t="str">
            <v>C21 Dura Carbon/Holographic 56</v>
          </cell>
          <cell r="F1469">
            <v>1</v>
          </cell>
          <cell r="G1469">
            <v>0</v>
          </cell>
          <cell r="I1469" t="str">
            <v>JC042</v>
          </cell>
          <cell r="L1469">
            <v>14.7</v>
          </cell>
          <cell r="M1469">
            <v>0.23300000000000001</v>
          </cell>
          <cell r="N1469" t="str">
            <v>5W</v>
          </cell>
          <cell r="P1469" t="str">
            <v>PONCVL</v>
          </cell>
          <cell r="Q1469" t="str">
            <v>/  /</v>
          </cell>
        </row>
        <row r="1470">
          <cell r="A1470">
            <v>4614076</v>
          </cell>
          <cell r="B1470">
            <v>44203</v>
          </cell>
          <cell r="C1470" t="str">
            <v>PON</v>
          </cell>
          <cell r="D1470">
            <v>641078337</v>
          </cell>
          <cell r="E1470" t="str">
            <v>C21 R5 Disc Ult Grn/Gld/Wht 51</v>
          </cell>
          <cell r="F1470">
            <v>1</v>
          </cell>
          <cell r="G1470">
            <v>0</v>
          </cell>
          <cell r="I1470" t="str">
            <v>JC042</v>
          </cell>
          <cell r="L1470">
            <v>13.1</v>
          </cell>
          <cell r="M1470">
            <v>0.26300000000000001</v>
          </cell>
          <cell r="N1470" t="str">
            <v>5W</v>
          </cell>
          <cell r="P1470" t="str">
            <v>PONCVL</v>
          </cell>
          <cell r="Q1470" t="str">
            <v>/  /</v>
          </cell>
        </row>
        <row r="1471">
          <cell r="A1471">
            <v>4614077</v>
          </cell>
          <cell r="B1471">
            <v>44203</v>
          </cell>
          <cell r="C1471" t="str">
            <v>PON</v>
          </cell>
          <cell r="D1471">
            <v>641078337</v>
          </cell>
          <cell r="E1471" t="str">
            <v>C21 R5 Disc Ult Grn/Gld/Wht 51</v>
          </cell>
          <cell r="F1471">
            <v>1</v>
          </cell>
          <cell r="G1471">
            <v>0</v>
          </cell>
          <cell r="I1471" t="str">
            <v>JC042</v>
          </cell>
          <cell r="L1471">
            <v>13.1</v>
          </cell>
          <cell r="M1471">
            <v>0.26300000000000001</v>
          </cell>
          <cell r="N1471" t="str">
            <v>5W</v>
          </cell>
          <cell r="P1471" t="str">
            <v>PONCVL</v>
          </cell>
          <cell r="Q1471" t="str">
            <v>/  /</v>
          </cell>
        </row>
        <row r="1472">
          <cell r="A1472">
            <v>4535272</v>
          </cell>
          <cell r="B1472">
            <v>44158</v>
          </cell>
          <cell r="C1472" t="str">
            <v>PON</v>
          </cell>
          <cell r="D1472">
            <v>637529012</v>
          </cell>
          <cell r="E1472" t="str">
            <v>K20 Endeavour 7.B Pure 56L TR</v>
          </cell>
          <cell r="F1472">
            <v>1</v>
          </cell>
          <cell r="G1472">
            <v>0</v>
          </cell>
          <cell r="I1472" t="str">
            <v>JC043</v>
          </cell>
          <cell r="L1472">
            <v>33.700000000000003</v>
          </cell>
          <cell r="M1472">
            <v>0.57799999999999996</v>
          </cell>
          <cell r="N1472" t="str">
            <v>5W</v>
          </cell>
          <cell r="P1472" t="str">
            <v>PONFCS</v>
          </cell>
          <cell r="Q1472" t="str">
            <v>/  /</v>
          </cell>
        </row>
        <row r="1473">
          <cell r="A1473">
            <v>4535278</v>
          </cell>
          <cell r="B1473">
            <v>44158</v>
          </cell>
          <cell r="C1473" t="str">
            <v>PON</v>
          </cell>
          <cell r="D1473">
            <v>637529015</v>
          </cell>
          <cell r="E1473" t="str">
            <v>K21 Endeavour 7.B Pure 43S Tr</v>
          </cell>
          <cell r="F1473">
            <v>1</v>
          </cell>
          <cell r="G1473">
            <v>0</v>
          </cell>
          <cell r="I1473" t="str">
            <v>JC043</v>
          </cell>
          <cell r="L1473">
            <v>33.5</v>
          </cell>
          <cell r="M1473">
            <v>0.55000000000000004</v>
          </cell>
          <cell r="N1473" t="str">
            <v>5W</v>
          </cell>
          <cell r="P1473" t="str">
            <v>PONFCS</v>
          </cell>
          <cell r="Q1473" t="str">
            <v>/  /</v>
          </cell>
        </row>
        <row r="1474">
          <cell r="A1474">
            <v>4535279</v>
          </cell>
          <cell r="B1474">
            <v>44158</v>
          </cell>
          <cell r="C1474" t="str">
            <v>PON</v>
          </cell>
          <cell r="D1474">
            <v>637529015</v>
          </cell>
          <cell r="E1474" t="str">
            <v>K21 Endeavour 7.B Pure 43S Tr</v>
          </cell>
          <cell r="F1474">
            <v>1</v>
          </cell>
          <cell r="G1474">
            <v>0</v>
          </cell>
          <cell r="I1474" t="str">
            <v>JC043</v>
          </cell>
          <cell r="L1474">
            <v>33.5</v>
          </cell>
          <cell r="M1474">
            <v>0.55000000000000004</v>
          </cell>
          <cell r="N1474" t="str">
            <v>5W</v>
          </cell>
          <cell r="P1474" t="str">
            <v>PONFCS</v>
          </cell>
          <cell r="Q1474" t="str">
            <v>/  /</v>
          </cell>
        </row>
        <row r="1475">
          <cell r="A1475">
            <v>4535280</v>
          </cell>
          <cell r="B1475">
            <v>44158</v>
          </cell>
          <cell r="C1475" t="str">
            <v>PON</v>
          </cell>
          <cell r="D1475">
            <v>637529015</v>
          </cell>
          <cell r="E1475" t="str">
            <v>K21 Endeavour 7.B Pure 43S Tr</v>
          </cell>
          <cell r="F1475">
            <v>1</v>
          </cell>
          <cell r="G1475">
            <v>0</v>
          </cell>
          <cell r="I1475" t="str">
            <v>JC043</v>
          </cell>
          <cell r="L1475">
            <v>33.5</v>
          </cell>
          <cell r="M1475">
            <v>0.55000000000000004</v>
          </cell>
          <cell r="N1475" t="str">
            <v>5W</v>
          </cell>
          <cell r="P1475" t="str">
            <v>PONFCS</v>
          </cell>
          <cell r="Q1475" t="str">
            <v>/  /</v>
          </cell>
        </row>
        <row r="1476">
          <cell r="A1476">
            <v>4453106</v>
          </cell>
          <cell r="B1476">
            <v>44104</v>
          </cell>
          <cell r="C1476" t="str">
            <v>PON</v>
          </cell>
          <cell r="D1476">
            <v>641518412</v>
          </cell>
          <cell r="E1476" t="str">
            <v>F21 AVENTURA2 6.8 L48 GRY 625</v>
          </cell>
          <cell r="F1476">
            <v>1</v>
          </cell>
          <cell r="G1476">
            <v>0</v>
          </cell>
          <cell r="I1476" t="str">
            <v>JC044</v>
          </cell>
          <cell r="L1476">
            <v>33</v>
          </cell>
          <cell r="M1476">
            <v>0.58099999999999996</v>
          </cell>
          <cell r="N1476" t="str">
            <v>5W</v>
          </cell>
          <cell r="P1476" t="str">
            <v>PONFCS</v>
          </cell>
          <cell r="Q1476" t="str">
            <v>/  /</v>
          </cell>
        </row>
        <row r="1477">
          <cell r="A1477">
            <v>4632452</v>
          </cell>
          <cell r="B1477">
            <v>44217</v>
          </cell>
          <cell r="C1477" t="str">
            <v>PON</v>
          </cell>
          <cell r="D1477">
            <v>637007032</v>
          </cell>
          <cell r="E1477" t="str">
            <v>F20 Jam 6.8 Nine 48 L</v>
          </cell>
          <cell r="F1477">
            <v>1</v>
          </cell>
          <cell r="G1477">
            <v>0</v>
          </cell>
          <cell r="I1477" t="str">
            <v>JC051</v>
          </cell>
          <cell r="L1477">
            <v>21.7</v>
          </cell>
          <cell r="M1477">
            <v>0.31900000000000001</v>
          </cell>
          <cell r="N1477" t="str">
            <v>5W</v>
          </cell>
          <cell r="P1477" t="str">
            <v>PONFCS</v>
          </cell>
          <cell r="Q1477" t="str">
            <v>/  /</v>
          </cell>
        </row>
        <row r="1478">
          <cell r="A1478">
            <v>4632453</v>
          </cell>
          <cell r="B1478">
            <v>44217</v>
          </cell>
          <cell r="C1478" t="str">
            <v>PON</v>
          </cell>
          <cell r="D1478">
            <v>637007032</v>
          </cell>
          <cell r="E1478" t="str">
            <v>F20 Jam 6.8 Nine 48 L</v>
          </cell>
          <cell r="F1478">
            <v>1</v>
          </cell>
          <cell r="G1478">
            <v>0</v>
          </cell>
          <cell r="I1478" t="str">
            <v>JC051</v>
          </cell>
          <cell r="L1478">
            <v>21.7</v>
          </cell>
          <cell r="M1478">
            <v>0.31900000000000001</v>
          </cell>
          <cell r="N1478" t="str">
            <v>5W</v>
          </cell>
          <cell r="P1478" t="str">
            <v>PONFCS</v>
          </cell>
          <cell r="Q1478" t="str">
            <v>/  /</v>
          </cell>
        </row>
        <row r="1479">
          <cell r="A1479">
            <v>4355047</v>
          </cell>
          <cell r="B1479">
            <v>44053</v>
          </cell>
          <cell r="C1479" t="str">
            <v>PON</v>
          </cell>
          <cell r="D1479">
            <v>637529016</v>
          </cell>
          <cell r="E1479" t="str">
            <v>K20 Endeavour 7.B Pure 48M DI</v>
          </cell>
          <cell r="F1479">
            <v>1</v>
          </cell>
          <cell r="G1479">
            <v>0</v>
          </cell>
          <cell r="I1479" t="str">
            <v>JC053</v>
          </cell>
          <cell r="L1479">
            <v>33.5</v>
          </cell>
          <cell r="M1479">
            <v>0.57799999999999996</v>
          </cell>
          <cell r="N1479" t="str">
            <v>5W</v>
          </cell>
          <cell r="P1479" t="str">
            <v>PONFCS</v>
          </cell>
          <cell r="Q1479" t="str">
            <v>/  /</v>
          </cell>
        </row>
        <row r="1480">
          <cell r="A1480">
            <v>4355454</v>
          </cell>
          <cell r="B1480">
            <v>44053</v>
          </cell>
          <cell r="C1480" t="str">
            <v>PON</v>
          </cell>
          <cell r="D1480">
            <v>637529016</v>
          </cell>
          <cell r="E1480" t="str">
            <v>K20 Endeavour 7.B Pure 48M DI</v>
          </cell>
          <cell r="F1480">
            <v>1</v>
          </cell>
          <cell r="G1480">
            <v>0</v>
          </cell>
          <cell r="I1480" t="str">
            <v>JC053</v>
          </cell>
          <cell r="L1480">
            <v>33.5</v>
          </cell>
          <cell r="M1480">
            <v>0.57799999999999996</v>
          </cell>
          <cell r="N1480" t="str">
            <v>5W</v>
          </cell>
          <cell r="P1480" t="str">
            <v>PONFCS</v>
          </cell>
          <cell r="Q1480" t="str">
            <v>/  /</v>
          </cell>
        </row>
        <row r="1481">
          <cell r="A1481">
            <v>4355457</v>
          </cell>
          <cell r="B1481">
            <v>44053</v>
          </cell>
          <cell r="C1481" t="str">
            <v>PON</v>
          </cell>
          <cell r="D1481">
            <v>637529016</v>
          </cell>
          <cell r="E1481" t="str">
            <v>K20 Endeavour 7.B Pure 48M DI</v>
          </cell>
          <cell r="F1481">
            <v>1</v>
          </cell>
          <cell r="G1481">
            <v>0</v>
          </cell>
          <cell r="I1481" t="str">
            <v>JC053</v>
          </cell>
          <cell r="L1481">
            <v>33.5</v>
          </cell>
          <cell r="M1481">
            <v>0.57799999999999996</v>
          </cell>
          <cell r="N1481" t="str">
            <v>5W</v>
          </cell>
          <cell r="P1481" t="str">
            <v>PONFCS</v>
          </cell>
          <cell r="Q1481" t="str">
            <v>/  /</v>
          </cell>
        </row>
        <row r="1482">
          <cell r="A1482">
            <v>4355458</v>
          </cell>
          <cell r="B1482">
            <v>44053</v>
          </cell>
          <cell r="C1482" t="str">
            <v>PON</v>
          </cell>
          <cell r="D1482">
            <v>637529016</v>
          </cell>
          <cell r="E1482" t="str">
            <v>K20 Endeavour 7.B Pure 48M DI</v>
          </cell>
          <cell r="F1482">
            <v>1</v>
          </cell>
          <cell r="G1482">
            <v>0</v>
          </cell>
          <cell r="I1482" t="str">
            <v>JC053</v>
          </cell>
          <cell r="L1482">
            <v>33.5</v>
          </cell>
          <cell r="M1482">
            <v>0.57799999999999996</v>
          </cell>
          <cell r="N1482" t="str">
            <v>5W</v>
          </cell>
          <cell r="P1482" t="str">
            <v>PONFCS</v>
          </cell>
          <cell r="Q1482" t="str">
            <v>/  /</v>
          </cell>
        </row>
        <row r="1483">
          <cell r="A1483">
            <v>4088480</v>
          </cell>
          <cell r="B1483">
            <v>43816</v>
          </cell>
          <cell r="C1483" t="str">
            <v>PON</v>
          </cell>
          <cell r="D1483" t="str">
            <v>A5800</v>
          </cell>
          <cell r="E1483" t="str">
            <v>GZ G19 Chamonix T10 HMB 53 Men</v>
          </cell>
          <cell r="F1483">
            <v>1</v>
          </cell>
          <cell r="G1483">
            <v>0</v>
          </cell>
          <cell r="I1483" t="str">
            <v>JC054</v>
          </cell>
          <cell r="L1483">
            <v>29.4</v>
          </cell>
          <cell r="M1483">
            <v>0.64</v>
          </cell>
          <cell r="N1483" t="str">
            <v>5W</v>
          </cell>
          <cell r="P1483" t="str">
            <v>PONGAZ</v>
          </cell>
          <cell r="Q1483" t="str">
            <v>/  /</v>
          </cell>
        </row>
        <row r="1484">
          <cell r="A1484">
            <v>4541386</v>
          </cell>
          <cell r="B1484">
            <v>44160</v>
          </cell>
          <cell r="C1484" t="str">
            <v>PON</v>
          </cell>
          <cell r="D1484">
            <v>637529051</v>
          </cell>
          <cell r="E1484" t="str">
            <v>K21 Endeavour 7.B Belt M 48 Di</v>
          </cell>
          <cell r="F1484">
            <v>1</v>
          </cell>
          <cell r="G1484">
            <v>0</v>
          </cell>
          <cell r="I1484" t="str">
            <v>JC063</v>
          </cell>
          <cell r="L1484">
            <v>35.5</v>
          </cell>
          <cell r="M1484">
            <v>0.57299999999999995</v>
          </cell>
          <cell r="N1484" t="str">
            <v>5W</v>
          </cell>
          <cell r="P1484" t="str">
            <v>PONFCS</v>
          </cell>
          <cell r="Q1484" t="str">
            <v>/  /</v>
          </cell>
        </row>
        <row r="1485">
          <cell r="A1485">
            <v>4575078</v>
          </cell>
          <cell r="B1485">
            <v>44173</v>
          </cell>
          <cell r="C1485" t="str">
            <v>PON</v>
          </cell>
          <cell r="D1485">
            <v>641517440</v>
          </cell>
          <cell r="E1485" t="str">
            <v>F21 AVENTURA2 6.6 Black S</v>
          </cell>
          <cell r="F1485">
            <v>1</v>
          </cell>
          <cell r="G1485">
            <v>0</v>
          </cell>
          <cell r="I1485" t="str">
            <v>JC064</v>
          </cell>
          <cell r="L1485">
            <v>33</v>
          </cell>
          <cell r="M1485">
            <v>0.58399999999999996</v>
          </cell>
          <cell r="N1485" t="str">
            <v>5W</v>
          </cell>
          <cell r="P1485" t="str">
            <v>PONFCS</v>
          </cell>
          <cell r="Q1485" t="str">
            <v>/  /</v>
          </cell>
        </row>
        <row r="1486">
          <cell r="A1486">
            <v>4001402</v>
          </cell>
          <cell r="B1486">
            <v>43816</v>
          </cell>
          <cell r="C1486" t="str">
            <v>PON</v>
          </cell>
          <cell r="D1486" t="str">
            <v>A5800</v>
          </cell>
          <cell r="E1486" t="str">
            <v>GZ G19 Chamonix T10 HMB 53 Men</v>
          </cell>
          <cell r="F1486">
            <v>1</v>
          </cell>
          <cell r="G1486">
            <v>0</v>
          </cell>
          <cell r="I1486" t="str">
            <v>JC064</v>
          </cell>
          <cell r="L1486">
            <v>29.4</v>
          </cell>
          <cell r="M1486">
            <v>0.64</v>
          </cell>
          <cell r="N1486" t="str">
            <v>5W</v>
          </cell>
          <cell r="P1486" t="str">
            <v>PONGAZ</v>
          </cell>
          <cell r="Q1486" t="str">
            <v>/  /</v>
          </cell>
        </row>
        <row r="1487">
          <cell r="A1487">
            <v>4164501</v>
          </cell>
          <cell r="B1487">
            <v>43937</v>
          </cell>
          <cell r="C1487" t="str">
            <v>PON</v>
          </cell>
          <cell r="D1487">
            <v>637013005</v>
          </cell>
          <cell r="E1487" t="str">
            <v>F20 SAM 9.9</v>
          </cell>
          <cell r="F1487">
            <v>1</v>
          </cell>
          <cell r="G1487">
            <v>0</v>
          </cell>
          <cell r="I1487" t="str">
            <v>JC071</v>
          </cell>
          <cell r="L1487">
            <v>19.8</v>
          </cell>
          <cell r="M1487">
            <v>0.38300000000000001</v>
          </cell>
          <cell r="N1487" t="str">
            <v>5W</v>
          </cell>
          <cell r="P1487" t="str">
            <v>PONFCS</v>
          </cell>
          <cell r="Q1487" t="str">
            <v>/  /</v>
          </cell>
        </row>
        <row r="1488">
          <cell r="A1488">
            <v>4406524</v>
          </cell>
          <cell r="B1488">
            <v>44082</v>
          </cell>
          <cell r="C1488" t="str">
            <v>PON</v>
          </cell>
          <cell r="D1488">
            <v>637016222</v>
          </cell>
          <cell r="E1488" t="str">
            <v>F21 PARALANE 8.9 M 54 BLK</v>
          </cell>
          <cell r="F1488">
            <v>1</v>
          </cell>
          <cell r="G1488">
            <v>0</v>
          </cell>
          <cell r="I1488" t="str">
            <v>JC072</v>
          </cell>
          <cell r="L1488">
            <v>13.4</v>
          </cell>
          <cell r="M1488">
            <v>0.34499999999999997</v>
          </cell>
          <cell r="N1488" t="str">
            <v>5W</v>
          </cell>
          <cell r="P1488" t="str">
            <v>PONFCS</v>
          </cell>
          <cell r="Q1488" t="str">
            <v>/  /</v>
          </cell>
        </row>
        <row r="1489">
          <cell r="A1489">
            <v>4406525</v>
          </cell>
          <cell r="B1489">
            <v>44082</v>
          </cell>
          <cell r="C1489" t="str">
            <v>PON</v>
          </cell>
          <cell r="D1489">
            <v>637016222</v>
          </cell>
          <cell r="E1489" t="str">
            <v>F21 PARALANE 8.9 M 54 BLK</v>
          </cell>
          <cell r="F1489">
            <v>1</v>
          </cell>
          <cell r="G1489">
            <v>0</v>
          </cell>
          <cell r="I1489" t="str">
            <v>JC072</v>
          </cell>
          <cell r="L1489">
            <v>13.4</v>
          </cell>
          <cell r="M1489">
            <v>0.34499999999999997</v>
          </cell>
          <cell r="N1489" t="str">
            <v>5W</v>
          </cell>
          <cell r="P1489" t="str">
            <v>PONFCS</v>
          </cell>
          <cell r="Q1489" t="str">
            <v>/  /</v>
          </cell>
        </row>
        <row r="1490">
          <cell r="A1490">
            <v>4336032</v>
          </cell>
          <cell r="B1490">
            <v>44040</v>
          </cell>
          <cell r="C1490" t="str">
            <v>PON</v>
          </cell>
          <cell r="D1490">
            <v>641078115</v>
          </cell>
          <cell r="E1490" t="str">
            <v>C21 Cal 5Force Purple Carbon51</v>
          </cell>
          <cell r="F1490">
            <v>1</v>
          </cell>
          <cell r="G1490">
            <v>0</v>
          </cell>
          <cell r="I1490" t="str">
            <v>JC072</v>
          </cell>
          <cell r="L1490">
            <v>13.8</v>
          </cell>
          <cell r="M1490">
            <v>0.23200000000000001</v>
          </cell>
          <cell r="N1490" t="str">
            <v>5W</v>
          </cell>
          <cell r="P1490" t="str">
            <v>PONCVL</v>
          </cell>
          <cell r="Q1490" t="str">
            <v>/  /</v>
          </cell>
        </row>
        <row r="1491">
          <cell r="A1491">
            <v>4086240</v>
          </cell>
          <cell r="B1491">
            <v>43852</v>
          </cell>
          <cell r="C1491" t="str">
            <v>PON</v>
          </cell>
          <cell r="D1491">
            <v>633728521</v>
          </cell>
          <cell r="E1491" t="str">
            <v>FC EBF19P/Sqre 9.7 54MB/Anthr</v>
          </cell>
          <cell r="F1491">
            <v>1</v>
          </cell>
          <cell r="G1491">
            <v>0</v>
          </cell>
          <cell r="I1491" t="str">
            <v>JC073</v>
          </cell>
          <cell r="L1491">
            <v>23.4</v>
          </cell>
          <cell r="M1491">
            <v>0.53200000000000003</v>
          </cell>
          <cell r="N1491" t="str">
            <v>5W</v>
          </cell>
          <cell r="P1491" t="str">
            <v>PONFEB</v>
          </cell>
          <cell r="Q1491" t="str">
            <v>/  /</v>
          </cell>
        </row>
        <row r="1492">
          <cell r="A1492">
            <v>4087678</v>
          </cell>
          <cell r="B1492">
            <v>43852</v>
          </cell>
          <cell r="C1492" t="str">
            <v>PON</v>
          </cell>
          <cell r="D1492">
            <v>633728521</v>
          </cell>
          <cell r="E1492" t="str">
            <v>FC EBF19P/Sqre 9.7 54MB/Anthr</v>
          </cell>
          <cell r="F1492">
            <v>1</v>
          </cell>
          <cell r="G1492">
            <v>0</v>
          </cell>
          <cell r="I1492" t="str">
            <v>JC073</v>
          </cell>
          <cell r="L1492">
            <v>23.4</v>
          </cell>
          <cell r="M1492">
            <v>0.53200000000000003</v>
          </cell>
          <cell r="N1492" t="str">
            <v>5W</v>
          </cell>
          <cell r="P1492" t="str">
            <v>PONFEB</v>
          </cell>
          <cell r="Q1492" t="str">
            <v>/  /</v>
          </cell>
        </row>
        <row r="1493">
          <cell r="A1493">
            <v>4089478</v>
          </cell>
          <cell r="B1493">
            <v>43852</v>
          </cell>
          <cell r="C1493" t="str">
            <v>PON</v>
          </cell>
          <cell r="D1493">
            <v>633728521</v>
          </cell>
          <cell r="E1493" t="str">
            <v>FC EBF19P/Sqre 9.7 54MB/Anthr</v>
          </cell>
          <cell r="F1493">
            <v>1</v>
          </cell>
          <cell r="G1493">
            <v>0</v>
          </cell>
          <cell r="I1493" t="str">
            <v>JC073</v>
          </cell>
          <cell r="L1493">
            <v>23.4</v>
          </cell>
          <cell r="M1493">
            <v>0.53200000000000003</v>
          </cell>
          <cell r="N1493" t="str">
            <v>5W</v>
          </cell>
          <cell r="P1493" t="str">
            <v>PONFEB</v>
          </cell>
          <cell r="Q1493" t="str">
            <v>/  /</v>
          </cell>
        </row>
        <row r="1494">
          <cell r="A1494">
            <v>4575079</v>
          </cell>
          <cell r="B1494">
            <v>44173</v>
          </cell>
          <cell r="C1494" t="str">
            <v>PON</v>
          </cell>
          <cell r="D1494">
            <v>641517440</v>
          </cell>
          <cell r="E1494" t="str">
            <v>F21 AVENTURA2 6.6 Black S</v>
          </cell>
          <cell r="F1494">
            <v>1</v>
          </cell>
          <cell r="G1494">
            <v>0</v>
          </cell>
          <cell r="I1494" t="str">
            <v>JC074</v>
          </cell>
          <cell r="L1494">
            <v>33</v>
          </cell>
          <cell r="M1494">
            <v>0.58399999999999996</v>
          </cell>
          <cell r="N1494" t="str">
            <v>5W</v>
          </cell>
          <cell r="P1494" t="str">
            <v>PONFCS</v>
          </cell>
          <cell r="Q1494" t="str">
            <v>/  /</v>
          </cell>
        </row>
        <row r="1495">
          <cell r="A1495">
            <v>4632413</v>
          </cell>
          <cell r="B1495">
            <v>44217</v>
          </cell>
          <cell r="C1495" t="str">
            <v>PON</v>
          </cell>
          <cell r="D1495">
            <v>637007031</v>
          </cell>
          <cell r="E1495" t="str">
            <v>F20 Jam 6.8 Nine 44 M</v>
          </cell>
          <cell r="F1495">
            <v>1</v>
          </cell>
          <cell r="G1495">
            <v>0</v>
          </cell>
          <cell r="I1495" t="str">
            <v>JC081</v>
          </cell>
          <cell r="L1495">
            <v>21.6</v>
          </cell>
          <cell r="M1495">
            <v>0.31900000000000001</v>
          </cell>
          <cell r="N1495" t="str">
            <v>5W</v>
          </cell>
          <cell r="P1495" t="str">
            <v>PONFCS</v>
          </cell>
          <cell r="Q1495" t="str">
            <v>/  /</v>
          </cell>
        </row>
        <row r="1496">
          <cell r="A1496">
            <v>4632414</v>
          </cell>
          <cell r="B1496">
            <v>44217</v>
          </cell>
          <cell r="C1496" t="str">
            <v>PON</v>
          </cell>
          <cell r="D1496">
            <v>637007031</v>
          </cell>
          <cell r="E1496" t="str">
            <v>F20 Jam 6.8 Nine 44 M</v>
          </cell>
          <cell r="F1496">
            <v>1</v>
          </cell>
          <cell r="G1496">
            <v>0</v>
          </cell>
          <cell r="I1496" t="str">
            <v>JC081</v>
          </cell>
          <cell r="L1496">
            <v>21.6</v>
          </cell>
          <cell r="M1496">
            <v>0.31900000000000001</v>
          </cell>
          <cell r="N1496" t="str">
            <v>5W</v>
          </cell>
          <cell r="P1496" t="str">
            <v>PONFCS</v>
          </cell>
          <cell r="Q1496" t="str">
            <v>/  /</v>
          </cell>
        </row>
        <row r="1497">
          <cell r="A1497">
            <v>4632415</v>
          </cell>
          <cell r="B1497">
            <v>44217</v>
          </cell>
          <cell r="C1497" t="str">
            <v>PON</v>
          </cell>
          <cell r="D1497">
            <v>637007031</v>
          </cell>
          <cell r="E1497" t="str">
            <v>F20 Jam 6.8 Nine 44 M</v>
          </cell>
          <cell r="F1497">
            <v>1</v>
          </cell>
          <cell r="G1497">
            <v>0</v>
          </cell>
          <cell r="I1497" t="str">
            <v>JC081</v>
          </cell>
          <cell r="L1497">
            <v>21.6</v>
          </cell>
          <cell r="M1497">
            <v>0.31900000000000001</v>
          </cell>
          <cell r="N1497" t="str">
            <v>5W</v>
          </cell>
          <cell r="P1497" t="str">
            <v>PONFCS</v>
          </cell>
          <cell r="Q1497" t="str">
            <v>/  /</v>
          </cell>
        </row>
        <row r="1498">
          <cell r="A1498">
            <v>4632416</v>
          </cell>
          <cell r="B1498">
            <v>44217</v>
          </cell>
          <cell r="C1498" t="str">
            <v>PON</v>
          </cell>
          <cell r="D1498">
            <v>637007031</v>
          </cell>
          <cell r="E1498" t="str">
            <v>F20 Jam 6.8 Nine 44 M</v>
          </cell>
          <cell r="F1498">
            <v>1</v>
          </cell>
          <cell r="G1498">
            <v>0</v>
          </cell>
          <cell r="I1498" t="str">
            <v>JC081</v>
          </cell>
          <cell r="L1498">
            <v>21.6</v>
          </cell>
          <cell r="M1498">
            <v>0.31900000000000001</v>
          </cell>
          <cell r="N1498" t="str">
            <v>5W</v>
          </cell>
          <cell r="P1498" t="str">
            <v>PONFCS</v>
          </cell>
          <cell r="Q1498" t="str">
            <v>/  /</v>
          </cell>
        </row>
        <row r="1499">
          <cell r="A1499">
            <v>4632418</v>
          </cell>
          <cell r="B1499">
            <v>44217</v>
          </cell>
          <cell r="C1499" t="str">
            <v>PON</v>
          </cell>
          <cell r="D1499">
            <v>637007031</v>
          </cell>
          <cell r="E1499" t="str">
            <v>F20 Jam 6.8 Nine 44 M</v>
          </cell>
          <cell r="F1499">
            <v>1</v>
          </cell>
          <cell r="G1499">
            <v>0</v>
          </cell>
          <cell r="I1499" t="str">
            <v>JC081</v>
          </cell>
          <cell r="L1499">
            <v>21.6</v>
          </cell>
          <cell r="M1499">
            <v>0.31900000000000001</v>
          </cell>
          <cell r="N1499" t="str">
            <v>5W</v>
          </cell>
          <cell r="P1499" t="str">
            <v>PONFCS</v>
          </cell>
          <cell r="Q1499" t="str">
            <v>/  /</v>
          </cell>
        </row>
        <row r="1500">
          <cell r="A1500">
            <v>4632428</v>
          </cell>
          <cell r="B1500">
            <v>44217</v>
          </cell>
          <cell r="C1500" t="str">
            <v>PON</v>
          </cell>
          <cell r="D1500">
            <v>637007031</v>
          </cell>
          <cell r="E1500" t="str">
            <v>F20 Jam 6.8 Nine 44 M</v>
          </cell>
          <cell r="F1500">
            <v>1</v>
          </cell>
          <cell r="G1500">
            <v>0</v>
          </cell>
          <cell r="I1500" t="str">
            <v>JC081</v>
          </cell>
          <cell r="L1500">
            <v>21.6</v>
          </cell>
          <cell r="M1500">
            <v>0.31900000000000001</v>
          </cell>
          <cell r="N1500" t="str">
            <v>5W</v>
          </cell>
          <cell r="P1500" t="str">
            <v>PONFCS</v>
          </cell>
          <cell r="Q1500" t="str">
            <v>/  /</v>
          </cell>
        </row>
        <row r="1501">
          <cell r="A1501">
            <v>4614133</v>
          </cell>
          <cell r="B1501">
            <v>44203</v>
          </cell>
          <cell r="C1501" t="str">
            <v>PON</v>
          </cell>
          <cell r="D1501">
            <v>641078273</v>
          </cell>
          <cell r="E1501" t="str">
            <v>C21 S/Srs D/U Gry,Slvr,Gry 54</v>
          </cell>
          <cell r="F1501">
            <v>1</v>
          </cell>
          <cell r="G1501">
            <v>0</v>
          </cell>
          <cell r="I1501" t="str">
            <v>JC082</v>
          </cell>
          <cell r="L1501">
            <v>14</v>
          </cell>
          <cell r="M1501">
            <v>0.23200000000000001</v>
          </cell>
          <cell r="N1501" t="str">
            <v>5W</v>
          </cell>
          <cell r="P1501" t="str">
            <v>PONCVL</v>
          </cell>
          <cell r="Q1501" t="str">
            <v>/  /</v>
          </cell>
        </row>
        <row r="1502">
          <cell r="A1502">
            <v>4614101</v>
          </cell>
          <cell r="B1502">
            <v>44203</v>
          </cell>
          <cell r="C1502" t="str">
            <v>PON</v>
          </cell>
          <cell r="D1502">
            <v>641078341</v>
          </cell>
          <cell r="E1502" t="str">
            <v>C21 R5 Disc Ult Grn/Gld/Wht 61</v>
          </cell>
          <cell r="F1502">
            <v>1</v>
          </cell>
          <cell r="G1502">
            <v>0</v>
          </cell>
          <cell r="I1502" t="str">
            <v>JC082</v>
          </cell>
          <cell r="L1502">
            <v>13.5</v>
          </cell>
          <cell r="M1502">
            <v>0.26300000000000001</v>
          </cell>
          <cell r="N1502" t="str">
            <v>5W</v>
          </cell>
          <cell r="P1502" t="str">
            <v>PONCVL</v>
          </cell>
          <cell r="Q1502" t="str">
            <v>/  /</v>
          </cell>
        </row>
        <row r="1503">
          <cell r="A1503">
            <v>4355455</v>
          </cell>
          <cell r="B1503">
            <v>44053</v>
          </cell>
          <cell r="C1503" t="str">
            <v>PON</v>
          </cell>
          <cell r="D1503">
            <v>637529016</v>
          </cell>
          <cell r="E1503" t="str">
            <v>K20 Endeavour 7.B Pure 48M DI</v>
          </cell>
          <cell r="F1503">
            <v>1</v>
          </cell>
          <cell r="G1503">
            <v>0</v>
          </cell>
          <cell r="I1503" t="str">
            <v>JC083</v>
          </cell>
          <cell r="L1503">
            <v>33.5</v>
          </cell>
          <cell r="M1503">
            <v>0.57799999999999996</v>
          </cell>
          <cell r="N1503" t="str">
            <v>5W</v>
          </cell>
          <cell r="P1503" t="str">
            <v>PONFCS</v>
          </cell>
          <cell r="Q1503" t="str">
            <v>/  /</v>
          </cell>
        </row>
        <row r="1504">
          <cell r="A1504">
            <v>4543866</v>
          </cell>
          <cell r="B1504">
            <v>44161</v>
          </cell>
          <cell r="C1504" t="str">
            <v>PON</v>
          </cell>
          <cell r="D1504">
            <v>641518013</v>
          </cell>
          <cell r="E1504" t="str">
            <v>F21 JAM2 6.9 NINE XL49 625WH</v>
          </cell>
          <cell r="F1504">
            <v>1</v>
          </cell>
          <cell r="G1504">
            <v>0</v>
          </cell>
          <cell r="I1504" t="str">
            <v>JC083</v>
          </cell>
          <cell r="L1504">
            <v>34.6</v>
          </cell>
          <cell r="M1504">
            <v>0.58599999999999997</v>
          </cell>
          <cell r="N1504" t="str">
            <v>5W</v>
          </cell>
          <cell r="P1504" t="str">
            <v>PONFCS</v>
          </cell>
          <cell r="Q1504" t="str">
            <v>/  /</v>
          </cell>
        </row>
        <row r="1505">
          <cell r="A1505">
            <v>4543867</v>
          </cell>
          <cell r="B1505">
            <v>44161</v>
          </cell>
          <cell r="C1505" t="str">
            <v>PON</v>
          </cell>
          <cell r="D1505">
            <v>641518013</v>
          </cell>
          <cell r="E1505" t="str">
            <v>F21 JAM2 6.9 NINE XL49 625WH</v>
          </cell>
          <cell r="F1505">
            <v>1</v>
          </cell>
          <cell r="G1505">
            <v>0</v>
          </cell>
          <cell r="I1505" t="str">
            <v>JC083</v>
          </cell>
          <cell r="L1505">
            <v>34.6</v>
          </cell>
          <cell r="M1505">
            <v>0.58599999999999997</v>
          </cell>
          <cell r="N1505" t="str">
            <v>5W</v>
          </cell>
          <cell r="P1505" t="str">
            <v>PONFCS</v>
          </cell>
          <cell r="Q1505" t="str">
            <v>/  /</v>
          </cell>
        </row>
        <row r="1506">
          <cell r="A1506">
            <v>4365416</v>
          </cell>
          <cell r="B1506">
            <v>44054</v>
          </cell>
          <cell r="C1506" t="str">
            <v>PON</v>
          </cell>
          <cell r="D1506">
            <v>637529012</v>
          </cell>
          <cell r="E1506" t="str">
            <v>K20 Endeavour 7.B Pure 56L TR</v>
          </cell>
          <cell r="F1506">
            <v>1</v>
          </cell>
          <cell r="G1506">
            <v>0</v>
          </cell>
          <cell r="I1506" t="str">
            <v>JC084</v>
          </cell>
          <cell r="L1506">
            <v>33.700000000000003</v>
          </cell>
          <cell r="M1506">
            <v>0.57799999999999996</v>
          </cell>
          <cell r="N1506" t="str">
            <v>5W</v>
          </cell>
          <cell r="P1506" t="str">
            <v>PONFCS</v>
          </cell>
          <cell r="Q1506" t="str">
            <v>/  /</v>
          </cell>
        </row>
        <row r="1507">
          <cell r="A1507">
            <v>4365417</v>
          </cell>
          <cell r="B1507">
            <v>44054</v>
          </cell>
          <cell r="C1507" t="str">
            <v>PON</v>
          </cell>
          <cell r="D1507">
            <v>637529012</v>
          </cell>
          <cell r="E1507" t="str">
            <v>K20 Endeavour 7.B Pure 56L TR</v>
          </cell>
          <cell r="F1507">
            <v>1</v>
          </cell>
          <cell r="G1507">
            <v>0</v>
          </cell>
          <cell r="I1507" t="str">
            <v>JC084</v>
          </cell>
          <cell r="L1507">
            <v>33.700000000000003</v>
          </cell>
          <cell r="M1507">
            <v>0.57799999999999996</v>
          </cell>
          <cell r="N1507" t="str">
            <v>5W</v>
          </cell>
          <cell r="P1507" t="str">
            <v>PONFCS</v>
          </cell>
          <cell r="Q1507" t="str">
            <v>/  /</v>
          </cell>
        </row>
        <row r="1508">
          <cell r="A1508">
            <v>4365418</v>
          </cell>
          <cell r="B1508">
            <v>44054</v>
          </cell>
          <cell r="C1508" t="str">
            <v>PON</v>
          </cell>
          <cell r="D1508">
            <v>637529012</v>
          </cell>
          <cell r="E1508" t="str">
            <v>K20 Endeavour 7.B Pure 56L TR</v>
          </cell>
          <cell r="F1508">
            <v>1</v>
          </cell>
          <cell r="G1508">
            <v>0</v>
          </cell>
          <cell r="I1508" t="str">
            <v>JC084</v>
          </cell>
          <cell r="L1508">
            <v>33.700000000000003</v>
          </cell>
          <cell r="M1508">
            <v>0.57799999999999996</v>
          </cell>
          <cell r="N1508" t="str">
            <v>5W</v>
          </cell>
          <cell r="P1508" t="str">
            <v>PONFCS</v>
          </cell>
          <cell r="Q1508" t="str">
            <v>/  /</v>
          </cell>
        </row>
        <row r="1509">
          <cell r="A1509">
            <v>4632439</v>
          </cell>
          <cell r="B1509">
            <v>44217</v>
          </cell>
          <cell r="C1509" t="str">
            <v>PON</v>
          </cell>
          <cell r="D1509">
            <v>637007032</v>
          </cell>
          <cell r="E1509" t="str">
            <v>F20 Jam 6.8 Nine 48 L</v>
          </cell>
          <cell r="F1509">
            <v>1</v>
          </cell>
          <cell r="G1509">
            <v>0</v>
          </cell>
          <cell r="I1509" t="str">
            <v>JC091</v>
          </cell>
          <cell r="L1509">
            <v>21.7</v>
          </cell>
          <cell r="M1509">
            <v>0.31900000000000001</v>
          </cell>
          <cell r="N1509" t="str">
            <v>5W</v>
          </cell>
          <cell r="P1509" t="str">
            <v>PONFCS</v>
          </cell>
          <cell r="Q1509" t="str">
            <v>/  /</v>
          </cell>
        </row>
        <row r="1510">
          <cell r="A1510">
            <v>4632440</v>
          </cell>
          <cell r="B1510">
            <v>44217</v>
          </cell>
          <cell r="C1510" t="str">
            <v>PON</v>
          </cell>
          <cell r="D1510">
            <v>637007032</v>
          </cell>
          <cell r="E1510" t="str">
            <v>F20 Jam 6.8 Nine 48 L</v>
          </cell>
          <cell r="F1510">
            <v>1</v>
          </cell>
          <cell r="G1510">
            <v>0</v>
          </cell>
          <cell r="I1510" t="str">
            <v>JC091</v>
          </cell>
          <cell r="L1510">
            <v>21.7</v>
          </cell>
          <cell r="M1510">
            <v>0.31900000000000001</v>
          </cell>
          <cell r="N1510" t="str">
            <v>5W</v>
          </cell>
          <cell r="P1510" t="str">
            <v>PONFCS</v>
          </cell>
          <cell r="Q1510" t="str">
            <v>/  /</v>
          </cell>
        </row>
        <row r="1511">
          <cell r="A1511">
            <v>4632441</v>
          </cell>
          <cell r="B1511">
            <v>44217</v>
          </cell>
          <cell r="C1511" t="str">
            <v>PON</v>
          </cell>
          <cell r="D1511">
            <v>637007032</v>
          </cell>
          <cell r="E1511" t="str">
            <v>F20 Jam 6.8 Nine 48 L</v>
          </cell>
          <cell r="F1511">
            <v>1</v>
          </cell>
          <cell r="G1511">
            <v>0</v>
          </cell>
          <cell r="I1511" t="str">
            <v>JC091</v>
          </cell>
          <cell r="L1511">
            <v>21.7</v>
          </cell>
          <cell r="M1511">
            <v>0.31900000000000001</v>
          </cell>
          <cell r="N1511" t="str">
            <v>5W</v>
          </cell>
          <cell r="P1511" t="str">
            <v>PONFCS</v>
          </cell>
          <cell r="Q1511" t="str">
            <v>/  /</v>
          </cell>
        </row>
        <row r="1512">
          <cell r="A1512">
            <v>4632442</v>
          </cell>
          <cell r="B1512">
            <v>44217</v>
          </cell>
          <cell r="C1512" t="str">
            <v>PON</v>
          </cell>
          <cell r="D1512">
            <v>637007032</v>
          </cell>
          <cell r="E1512" t="str">
            <v>F20 Jam 6.8 Nine 48 L</v>
          </cell>
          <cell r="F1512">
            <v>1</v>
          </cell>
          <cell r="G1512">
            <v>0</v>
          </cell>
          <cell r="I1512" t="str">
            <v>JC091</v>
          </cell>
          <cell r="L1512">
            <v>21.7</v>
          </cell>
          <cell r="M1512">
            <v>0.31900000000000001</v>
          </cell>
          <cell r="N1512" t="str">
            <v>5W</v>
          </cell>
          <cell r="P1512" t="str">
            <v>PONFCS</v>
          </cell>
          <cell r="Q1512" t="str">
            <v>/  /</v>
          </cell>
        </row>
        <row r="1513">
          <cell r="A1513">
            <v>4632443</v>
          </cell>
          <cell r="B1513">
            <v>44217</v>
          </cell>
          <cell r="C1513" t="str">
            <v>PON</v>
          </cell>
          <cell r="D1513">
            <v>637007032</v>
          </cell>
          <cell r="E1513" t="str">
            <v>F20 Jam 6.8 Nine 48 L</v>
          </cell>
          <cell r="F1513">
            <v>1</v>
          </cell>
          <cell r="G1513">
            <v>0</v>
          </cell>
          <cell r="I1513" t="str">
            <v>JC091</v>
          </cell>
          <cell r="L1513">
            <v>21.7</v>
          </cell>
          <cell r="M1513">
            <v>0.31900000000000001</v>
          </cell>
          <cell r="N1513" t="str">
            <v>5W</v>
          </cell>
          <cell r="P1513" t="str">
            <v>PONFCS</v>
          </cell>
          <cell r="Q1513" t="str">
            <v>/  /</v>
          </cell>
        </row>
        <row r="1514">
          <cell r="A1514">
            <v>4041857</v>
          </cell>
          <cell r="B1514">
            <v>43852</v>
          </cell>
          <cell r="C1514" t="str">
            <v>PON</v>
          </cell>
          <cell r="D1514">
            <v>633728532</v>
          </cell>
          <cell r="E1514" t="str">
            <v>FC EBikeF19 P/Sqre 9.6 57L Red</v>
          </cell>
          <cell r="F1514">
            <v>1</v>
          </cell>
          <cell r="G1514">
            <v>0</v>
          </cell>
          <cell r="I1514" t="str">
            <v>JC093</v>
          </cell>
          <cell r="L1514">
            <v>23.6</v>
          </cell>
          <cell r="M1514">
            <v>0.58099999999999996</v>
          </cell>
          <cell r="N1514" t="str">
            <v>5W</v>
          </cell>
          <cell r="P1514" t="str">
            <v>PONFEB</v>
          </cell>
          <cell r="Q1514" t="str">
            <v>/  /</v>
          </cell>
        </row>
        <row r="1515">
          <cell r="A1515">
            <v>4086245</v>
          </cell>
          <cell r="B1515">
            <v>43852</v>
          </cell>
          <cell r="C1515" t="str">
            <v>PON</v>
          </cell>
          <cell r="D1515">
            <v>633728532</v>
          </cell>
          <cell r="E1515" t="str">
            <v>FC EBikeF19 P/Sqre 9.6 57L Red</v>
          </cell>
          <cell r="F1515">
            <v>1</v>
          </cell>
          <cell r="G1515">
            <v>0</v>
          </cell>
          <cell r="I1515" t="str">
            <v>JC093</v>
          </cell>
          <cell r="L1515">
            <v>23.6</v>
          </cell>
          <cell r="M1515">
            <v>0.58099999999999996</v>
          </cell>
          <cell r="N1515" t="str">
            <v>5W</v>
          </cell>
          <cell r="P1515" t="str">
            <v>PONFEB</v>
          </cell>
          <cell r="Q1515" t="str">
            <v>/  /</v>
          </cell>
        </row>
        <row r="1516">
          <cell r="A1516">
            <v>4087688</v>
          </cell>
          <cell r="B1516">
            <v>43852</v>
          </cell>
          <cell r="C1516" t="str">
            <v>PON</v>
          </cell>
          <cell r="D1516">
            <v>633728532</v>
          </cell>
          <cell r="E1516" t="str">
            <v>FC EBikeF19 P/Sqre 9.6 57L Red</v>
          </cell>
          <cell r="F1516">
            <v>1</v>
          </cell>
          <cell r="G1516">
            <v>0</v>
          </cell>
          <cell r="I1516" t="str">
            <v>JC093</v>
          </cell>
          <cell r="L1516">
            <v>23.6</v>
          </cell>
          <cell r="M1516">
            <v>0.58099999999999996</v>
          </cell>
          <cell r="N1516" t="str">
            <v>5W</v>
          </cell>
          <cell r="P1516" t="str">
            <v>PONFEB</v>
          </cell>
          <cell r="Q1516" t="str">
            <v>/  /</v>
          </cell>
        </row>
        <row r="1517">
          <cell r="A1517">
            <v>4089487</v>
          </cell>
          <cell r="B1517">
            <v>43852</v>
          </cell>
          <cell r="C1517" t="str">
            <v>PON</v>
          </cell>
          <cell r="D1517">
            <v>633728532</v>
          </cell>
          <cell r="E1517" t="str">
            <v>FC EBikeF19 P/Sqre 9.6 57L Red</v>
          </cell>
          <cell r="F1517">
            <v>1</v>
          </cell>
          <cell r="G1517">
            <v>0</v>
          </cell>
          <cell r="I1517" t="str">
            <v>JC093</v>
          </cell>
          <cell r="L1517">
            <v>23.6</v>
          </cell>
          <cell r="M1517">
            <v>0.58099999999999996</v>
          </cell>
          <cell r="N1517" t="str">
            <v>5W</v>
          </cell>
          <cell r="P1517" t="str">
            <v>PONFEB</v>
          </cell>
          <cell r="Q1517" t="str">
            <v>/  /</v>
          </cell>
        </row>
        <row r="1518">
          <cell r="A1518">
            <v>4543902</v>
          </cell>
          <cell r="B1518">
            <v>44161</v>
          </cell>
          <cell r="C1518" t="str">
            <v>PON</v>
          </cell>
          <cell r="D1518">
            <v>637518107</v>
          </cell>
          <cell r="E1518" t="str">
            <v>F20 JAM2 6.8 NINE 45L BLK BSCH</v>
          </cell>
          <cell r="F1518">
            <v>1</v>
          </cell>
          <cell r="G1518">
            <v>0</v>
          </cell>
          <cell r="I1518" t="str">
            <v>JC094</v>
          </cell>
          <cell r="L1518">
            <v>32.666699999999999</v>
          </cell>
          <cell r="M1518">
            <v>0.58099999999999996</v>
          </cell>
          <cell r="N1518" t="str">
            <v>5W</v>
          </cell>
          <cell r="P1518" t="str">
            <v>PONFCS</v>
          </cell>
          <cell r="Q1518" t="str">
            <v>/  /</v>
          </cell>
        </row>
        <row r="1519">
          <cell r="A1519">
            <v>4365412</v>
          </cell>
          <cell r="B1519">
            <v>44054</v>
          </cell>
          <cell r="C1519" t="str">
            <v>PON</v>
          </cell>
          <cell r="D1519">
            <v>637529011</v>
          </cell>
          <cell r="E1519" t="str">
            <v>K20 Endeavour 7.B Pure 48M TR</v>
          </cell>
          <cell r="F1519">
            <v>1</v>
          </cell>
          <cell r="G1519">
            <v>0</v>
          </cell>
          <cell r="I1519" t="str">
            <v>JC094</v>
          </cell>
          <cell r="L1519">
            <v>33.299999999999997</v>
          </cell>
          <cell r="M1519">
            <v>0.57799999999999996</v>
          </cell>
          <cell r="N1519" t="str">
            <v>5W</v>
          </cell>
          <cell r="P1519" t="str">
            <v>PONFCS</v>
          </cell>
          <cell r="Q1519" t="str">
            <v>/  /</v>
          </cell>
        </row>
        <row r="1520">
          <cell r="A1520">
            <v>4365413</v>
          </cell>
          <cell r="B1520">
            <v>44054</v>
          </cell>
          <cell r="C1520" t="str">
            <v>PON</v>
          </cell>
          <cell r="D1520">
            <v>637529011</v>
          </cell>
          <cell r="E1520" t="str">
            <v>K20 Endeavour 7.B Pure 48M TR</v>
          </cell>
          <cell r="F1520">
            <v>1</v>
          </cell>
          <cell r="G1520">
            <v>0</v>
          </cell>
          <cell r="I1520" t="str">
            <v>JC094</v>
          </cell>
          <cell r="L1520">
            <v>33.299999999999997</v>
          </cell>
          <cell r="M1520">
            <v>0.57799999999999996</v>
          </cell>
          <cell r="N1520" t="str">
            <v>5W</v>
          </cell>
          <cell r="P1520" t="str">
            <v>PONFCS</v>
          </cell>
          <cell r="Q1520" t="str">
            <v>/  /</v>
          </cell>
        </row>
        <row r="1521">
          <cell r="A1521">
            <v>4632444</v>
          </cell>
          <cell r="B1521">
            <v>44217</v>
          </cell>
          <cell r="C1521" t="str">
            <v>PON</v>
          </cell>
          <cell r="D1521">
            <v>637007032</v>
          </cell>
          <cell r="E1521" t="str">
            <v>F20 Jam 6.8 Nine 48 L</v>
          </cell>
          <cell r="F1521">
            <v>1</v>
          </cell>
          <cell r="G1521">
            <v>0</v>
          </cell>
          <cell r="I1521" t="str">
            <v>JC101</v>
          </cell>
          <cell r="L1521">
            <v>21.7</v>
          </cell>
          <cell r="M1521">
            <v>0.31900000000000001</v>
          </cell>
          <cell r="N1521" t="str">
            <v>5W</v>
          </cell>
          <cell r="P1521" t="str">
            <v>PONFCS</v>
          </cell>
          <cell r="Q1521" t="str">
            <v>/  /</v>
          </cell>
        </row>
        <row r="1522">
          <cell r="A1522">
            <v>4632445</v>
          </cell>
          <cell r="B1522">
            <v>44217</v>
          </cell>
          <cell r="C1522" t="str">
            <v>PON</v>
          </cell>
          <cell r="D1522">
            <v>637007032</v>
          </cell>
          <cell r="E1522" t="str">
            <v>F20 Jam 6.8 Nine 48 L</v>
          </cell>
          <cell r="F1522">
            <v>1</v>
          </cell>
          <cell r="G1522">
            <v>0</v>
          </cell>
          <cell r="I1522" t="str">
            <v>JC101</v>
          </cell>
          <cell r="L1522">
            <v>21.7</v>
          </cell>
          <cell r="M1522">
            <v>0.31900000000000001</v>
          </cell>
          <cell r="N1522" t="str">
            <v>5W</v>
          </cell>
          <cell r="P1522" t="str">
            <v>PONFCS</v>
          </cell>
          <cell r="Q1522" t="str">
            <v>/  /</v>
          </cell>
        </row>
        <row r="1523">
          <cell r="A1523">
            <v>4363268</v>
          </cell>
          <cell r="B1523">
            <v>44056</v>
          </cell>
          <cell r="C1523" t="str">
            <v>PON</v>
          </cell>
          <cell r="D1523">
            <v>637012353</v>
          </cell>
          <cell r="E1523" t="str">
            <v>F21 MARES 6.9 L 56 BLK</v>
          </cell>
          <cell r="F1523">
            <v>1</v>
          </cell>
          <cell r="G1523">
            <v>0</v>
          </cell>
          <cell r="I1523" t="str">
            <v>JC101</v>
          </cell>
          <cell r="L1523">
            <v>14</v>
          </cell>
          <cell r="M1523">
            <v>0.33600000000000002</v>
          </cell>
          <cell r="N1523" t="str">
            <v>5W</v>
          </cell>
          <cell r="P1523" t="str">
            <v>PONFCS</v>
          </cell>
          <cell r="Q1523" t="str">
            <v>/  /</v>
          </cell>
        </row>
        <row r="1524">
          <cell r="A1524">
            <v>4583582</v>
          </cell>
          <cell r="B1524">
            <v>44180</v>
          </cell>
          <cell r="C1524" t="str">
            <v>PON</v>
          </cell>
          <cell r="D1524">
            <v>641013001</v>
          </cell>
          <cell r="E1524" t="str">
            <v>F21 Jam 8.9 Nine M 44 Blu</v>
          </cell>
          <cell r="F1524">
            <v>1</v>
          </cell>
          <cell r="G1524">
            <v>0</v>
          </cell>
          <cell r="I1524" t="str">
            <v>JC101</v>
          </cell>
          <cell r="L1524">
            <v>18.600000000000001</v>
          </cell>
          <cell r="M1524">
            <v>0.36899999999999999</v>
          </cell>
          <cell r="N1524" t="str">
            <v>5W</v>
          </cell>
          <cell r="P1524" t="str">
            <v>PONFCS</v>
          </cell>
          <cell r="Q1524" t="str">
            <v>/  /</v>
          </cell>
        </row>
        <row r="1525">
          <cell r="A1525">
            <v>4583584</v>
          </cell>
          <cell r="B1525">
            <v>44180</v>
          </cell>
          <cell r="C1525" t="str">
            <v>PON</v>
          </cell>
          <cell r="D1525">
            <v>641013001</v>
          </cell>
          <cell r="E1525" t="str">
            <v>F21 Jam 8.9 Nine M 44 Blu</v>
          </cell>
          <cell r="F1525">
            <v>1</v>
          </cell>
          <cell r="G1525">
            <v>0</v>
          </cell>
          <cell r="I1525" t="str">
            <v>JC101</v>
          </cell>
          <cell r="L1525">
            <v>18.600000000000001</v>
          </cell>
          <cell r="M1525">
            <v>0.36899999999999999</v>
          </cell>
          <cell r="N1525" t="str">
            <v>5W</v>
          </cell>
          <cell r="P1525" t="str">
            <v>PONFCS</v>
          </cell>
          <cell r="Q1525" t="str">
            <v>/  /</v>
          </cell>
        </row>
        <row r="1526">
          <cell r="A1526">
            <v>4406512</v>
          </cell>
          <cell r="B1526">
            <v>44082</v>
          </cell>
          <cell r="C1526" t="str">
            <v>PON</v>
          </cell>
          <cell r="D1526">
            <v>637012352</v>
          </cell>
          <cell r="E1526" t="str">
            <v>F21 MARES 6.9 M 54 BLK</v>
          </cell>
          <cell r="F1526">
            <v>1</v>
          </cell>
          <cell r="G1526">
            <v>0</v>
          </cell>
          <cell r="I1526" t="str">
            <v>JC102</v>
          </cell>
          <cell r="L1526">
            <v>14</v>
          </cell>
          <cell r="M1526">
            <v>0.33600000000000002</v>
          </cell>
          <cell r="N1526" t="str">
            <v>5W</v>
          </cell>
          <cell r="P1526" t="str">
            <v>PONFCS</v>
          </cell>
          <cell r="Q1526" t="str">
            <v>/  /</v>
          </cell>
        </row>
        <row r="1527">
          <cell r="A1527">
            <v>4614153</v>
          </cell>
          <cell r="B1527">
            <v>44203</v>
          </cell>
          <cell r="C1527" t="str">
            <v>PON</v>
          </cell>
          <cell r="D1527">
            <v>641078279</v>
          </cell>
          <cell r="E1527" t="str">
            <v>C21 S/Srs D/Ult Purple Chmln54</v>
          </cell>
          <cell r="F1527">
            <v>1</v>
          </cell>
          <cell r="G1527">
            <v>0</v>
          </cell>
          <cell r="I1527" t="str">
            <v>JC102</v>
          </cell>
          <cell r="L1527">
            <v>14.3</v>
          </cell>
          <cell r="M1527">
            <v>0.23300000000000001</v>
          </cell>
          <cell r="N1527" t="str">
            <v>5W</v>
          </cell>
          <cell r="P1527" t="str">
            <v>PONCVL</v>
          </cell>
          <cell r="Q1527" t="str">
            <v>/  /</v>
          </cell>
        </row>
        <row r="1528">
          <cell r="A1528">
            <v>4543935</v>
          </cell>
          <cell r="B1528">
            <v>44161</v>
          </cell>
          <cell r="C1528" t="str">
            <v>PON</v>
          </cell>
          <cell r="D1528">
            <v>637518117</v>
          </cell>
          <cell r="E1528" t="str">
            <v>F20 JAM2 6.8 NINE 45L BLUE BCH</v>
          </cell>
          <cell r="F1528">
            <v>1</v>
          </cell>
          <cell r="G1528">
            <v>0</v>
          </cell>
          <cell r="I1528" t="str">
            <v>JC103</v>
          </cell>
          <cell r="L1528">
            <v>32.769199999999998</v>
          </cell>
          <cell r="M1528">
            <v>0.57799999999999996</v>
          </cell>
          <cell r="N1528" t="str">
            <v>5W</v>
          </cell>
          <cell r="P1528" t="str">
            <v>PONFCS</v>
          </cell>
          <cell r="Q1528" t="str">
            <v>/  /</v>
          </cell>
        </row>
        <row r="1529">
          <cell r="A1529">
            <v>4543936</v>
          </cell>
          <cell r="B1529">
            <v>44161</v>
          </cell>
          <cell r="C1529" t="str">
            <v>PON</v>
          </cell>
          <cell r="D1529">
            <v>637518117</v>
          </cell>
          <cell r="E1529" t="str">
            <v>F20 JAM2 6.8 NINE 45L BLUE BCH</v>
          </cell>
          <cell r="F1529">
            <v>1</v>
          </cell>
          <cell r="G1529">
            <v>0</v>
          </cell>
          <cell r="I1529" t="str">
            <v>JC103</v>
          </cell>
          <cell r="L1529">
            <v>32.769199999999998</v>
          </cell>
          <cell r="M1529">
            <v>0.57799999999999996</v>
          </cell>
          <cell r="N1529" t="str">
            <v>5W</v>
          </cell>
          <cell r="P1529" t="str">
            <v>PONFCS</v>
          </cell>
          <cell r="Q1529" t="str">
            <v>/  /</v>
          </cell>
        </row>
        <row r="1530">
          <cell r="A1530">
            <v>4543937</v>
          </cell>
          <cell r="B1530">
            <v>44161</v>
          </cell>
          <cell r="C1530" t="str">
            <v>PON</v>
          </cell>
          <cell r="D1530">
            <v>637518117</v>
          </cell>
          <cell r="E1530" t="str">
            <v>F20 JAM2 6.8 NINE 45L BLUE BCH</v>
          </cell>
          <cell r="F1530">
            <v>1</v>
          </cell>
          <cell r="G1530">
            <v>0</v>
          </cell>
          <cell r="I1530" t="str">
            <v>JC103</v>
          </cell>
          <cell r="L1530">
            <v>32.769199999999998</v>
          </cell>
          <cell r="M1530">
            <v>0.57799999999999996</v>
          </cell>
          <cell r="N1530" t="str">
            <v>5W</v>
          </cell>
          <cell r="P1530" t="str">
            <v>PONFCS</v>
          </cell>
          <cell r="Q1530" t="str">
            <v>/  /</v>
          </cell>
        </row>
        <row r="1531">
          <cell r="A1531">
            <v>4543901</v>
          </cell>
          <cell r="B1531">
            <v>44161</v>
          </cell>
          <cell r="C1531" t="str">
            <v>PON</v>
          </cell>
          <cell r="D1531">
            <v>637518107</v>
          </cell>
          <cell r="E1531" t="str">
            <v>F20 JAM2 6.8 NINE 45L BLK BSCH</v>
          </cell>
          <cell r="F1531">
            <v>1</v>
          </cell>
          <cell r="G1531">
            <v>0</v>
          </cell>
          <cell r="I1531" t="str">
            <v>JC104</v>
          </cell>
          <cell r="L1531">
            <v>32.666699999999999</v>
          </cell>
          <cell r="M1531">
            <v>0.58099999999999996</v>
          </cell>
          <cell r="N1531" t="str">
            <v>5W</v>
          </cell>
          <cell r="P1531" t="str">
            <v>PONFCS</v>
          </cell>
          <cell r="Q1531" t="str">
            <v>/  /</v>
          </cell>
        </row>
        <row r="1532">
          <cell r="A1532">
            <v>4543939</v>
          </cell>
          <cell r="B1532">
            <v>44161</v>
          </cell>
          <cell r="C1532" t="str">
            <v>PON</v>
          </cell>
          <cell r="D1532">
            <v>637518117</v>
          </cell>
          <cell r="E1532" t="str">
            <v>F20 JAM2 6.8 NINE 45L BLUE BCH</v>
          </cell>
          <cell r="F1532">
            <v>1</v>
          </cell>
          <cell r="G1532">
            <v>0</v>
          </cell>
          <cell r="I1532" t="str">
            <v>JC104</v>
          </cell>
          <cell r="L1532">
            <v>32.769199999999998</v>
          </cell>
          <cell r="M1532">
            <v>0.57799999999999996</v>
          </cell>
          <cell r="N1532" t="str">
            <v>5W</v>
          </cell>
          <cell r="P1532" t="str">
            <v>PONFCS</v>
          </cell>
          <cell r="Q1532" t="str">
            <v>/  /</v>
          </cell>
        </row>
        <row r="1533">
          <cell r="A1533">
            <v>4632446</v>
          </cell>
          <cell r="B1533">
            <v>44217</v>
          </cell>
          <cell r="C1533" t="str">
            <v>PON</v>
          </cell>
          <cell r="D1533">
            <v>637007032</v>
          </cell>
          <cell r="E1533" t="str">
            <v>F20 Jam 6.8 Nine 48 L</v>
          </cell>
          <cell r="F1533">
            <v>1</v>
          </cell>
          <cell r="G1533">
            <v>0</v>
          </cell>
          <cell r="I1533" t="str">
            <v>JC111</v>
          </cell>
          <cell r="L1533">
            <v>21.7</v>
          </cell>
          <cell r="M1533">
            <v>0.31900000000000001</v>
          </cell>
          <cell r="N1533" t="str">
            <v>5W</v>
          </cell>
          <cell r="P1533" t="str">
            <v>PONFCS</v>
          </cell>
          <cell r="Q1533" t="str">
            <v>/  /</v>
          </cell>
        </row>
        <row r="1534">
          <cell r="A1534">
            <v>4433358</v>
          </cell>
          <cell r="B1534">
            <v>44096</v>
          </cell>
          <cell r="C1534" t="str">
            <v>PON</v>
          </cell>
          <cell r="D1534">
            <v>641013000</v>
          </cell>
          <cell r="E1534" t="str">
            <v>F21 JAM 8.9 NINE S 42 BLU</v>
          </cell>
          <cell r="F1534">
            <v>1</v>
          </cell>
          <cell r="G1534">
            <v>0</v>
          </cell>
          <cell r="I1534" t="str">
            <v>JC111</v>
          </cell>
          <cell r="L1534">
            <v>19.2</v>
          </cell>
          <cell r="M1534">
            <v>0.38600000000000001</v>
          </cell>
          <cell r="N1534" t="str">
            <v>5W</v>
          </cell>
          <cell r="P1534" t="str">
            <v>PONFCS</v>
          </cell>
          <cell r="Q1534" t="str">
            <v>/  /</v>
          </cell>
        </row>
        <row r="1535">
          <cell r="A1535">
            <v>4433359</v>
          </cell>
          <cell r="B1535">
            <v>44096</v>
          </cell>
          <cell r="C1535" t="str">
            <v>PON</v>
          </cell>
          <cell r="D1535">
            <v>641013000</v>
          </cell>
          <cell r="E1535" t="str">
            <v>F21 JAM 8.9 NINE S 42 BLU</v>
          </cell>
          <cell r="F1535">
            <v>1</v>
          </cell>
          <cell r="G1535">
            <v>0</v>
          </cell>
          <cell r="I1535" t="str">
            <v>JC111</v>
          </cell>
          <cell r="L1535">
            <v>19.2</v>
          </cell>
          <cell r="M1535">
            <v>0.38600000000000001</v>
          </cell>
          <cell r="N1535" t="str">
            <v>5W</v>
          </cell>
          <cell r="P1535" t="str">
            <v>PONFCS</v>
          </cell>
          <cell r="Q1535" t="str">
            <v>/  /</v>
          </cell>
        </row>
        <row r="1536">
          <cell r="A1536">
            <v>4614209</v>
          </cell>
          <cell r="B1536">
            <v>44203</v>
          </cell>
          <cell r="C1536" t="str">
            <v>PON</v>
          </cell>
          <cell r="D1536">
            <v>641078285</v>
          </cell>
          <cell r="E1536" t="str">
            <v>C21 S/Srs D/Ult Gry,Slvr,Gry54</v>
          </cell>
          <cell r="F1536">
            <v>1</v>
          </cell>
          <cell r="G1536">
            <v>0</v>
          </cell>
          <cell r="I1536" t="str">
            <v>JC112</v>
          </cell>
          <cell r="L1536">
            <v>14</v>
          </cell>
          <cell r="M1536">
            <v>0.24399999999999999</v>
          </cell>
          <cell r="N1536" t="str">
            <v>5W</v>
          </cell>
          <cell r="P1536" t="str">
            <v>PONCVL</v>
          </cell>
          <cell r="Q1536" t="str">
            <v>/  /</v>
          </cell>
        </row>
        <row r="1537">
          <cell r="A1537">
            <v>4041733</v>
          </cell>
          <cell r="B1537">
            <v>43852</v>
          </cell>
          <cell r="C1537" t="str">
            <v>PON</v>
          </cell>
          <cell r="D1537">
            <v>633728527</v>
          </cell>
          <cell r="E1537" t="str">
            <v>FC EBikeF19 P/Sqre 9.7 57L Blu</v>
          </cell>
          <cell r="F1537">
            <v>1</v>
          </cell>
          <cell r="G1537">
            <v>0</v>
          </cell>
          <cell r="I1537" t="str">
            <v>JC113</v>
          </cell>
          <cell r="L1537">
            <v>23.1</v>
          </cell>
          <cell r="M1537">
            <v>0.58299999999999996</v>
          </cell>
          <cell r="N1537" t="str">
            <v>5W</v>
          </cell>
          <cell r="P1537" t="str">
            <v>PONFEB</v>
          </cell>
          <cell r="Q1537" t="str">
            <v>/  /</v>
          </cell>
        </row>
        <row r="1538">
          <cell r="A1538">
            <v>4087684</v>
          </cell>
          <cell r="B1538">
            <v>43852</v>
          </cell>
          <cell r="C1538" t="str">
            <v>PON</v>
          </cell>
          <cell r="D1538">
            <v>633728527</v>
          </cell>
          <cell r="E1538" t="str">
            <v>FC EBikeF19 P/Sqre 9.7 57L Blu</v>
          </cell>
          <cell r="F1538">
            <v>1</v>
          </cell>
          <cell r="G1538">
            <v>0</v>
          </cell>
          <cell r="I1538" t="str">
            <v>JC113</v>
          </cell>
          <cell r="L1538">
            <v>23.1</v>
          </cell>
          <cell r="M1538">
            <v>0.58299999999999996</v>
          </cell>
          <cell r="N1538" t="str">
            <v>5W</v>
          </cell>
          <cell r="P1538" t="str">
            <v>PONFEB</v>
          </cell>
          <cell r="Q1538" t="str">
            <v>/  /</v>
          </cell>
        </row>
        <row r="1539">
          <cell r="A1539">
            <v>4089483</v>
          </cell>
          <cell r="B1539">
            <v>43852</v>
          </cell>
          <cell r="C1539" t="str">
            <v>PON</v>
          </cell>
          <cell r="D1539">
            <v>633728527</v>
          </cell>
          <cell r="E1539" t="str">
            <v>FC EBikeF19 P/Sqre 9.7 57L Blu</v>
          </cell>
          <cell r="F1539">
            <v>1</v>
          </cell>
          <cell r="G1539">
            <v>0</v>
          </cell>
          <cell r="I1539" t="str">
            <v>JC113</v>
          </cell>
          <cell r="L1539">
            <v>23.1</v>
          </cell>
          <cell r="M1539">
            <v>0.58299999999999996</v>
          </cell>
          <cell r="N1539" t="str">
            <v>5W</v>
          </cell>
          <cell r="P1539" t="str">
            <v>PONFEB</v>
          </cell>
          <cell r="Q1539" t="str">
            <v>/  /</v>
          </cell>
        </row>
        <row r="1540">
          <cell r="A1540">
            <v>4587045</v>
          </cell>
          <cell r="B1540">
            <v>44181</v>
          </cell>
          <cell r="C1540" t="str">
            <v>PON</v>
          </cell>
          <cell r="D1540">
            <v>641526686</v>
          </cell>
          <cell r="E1540" t="str">
            <v>K21 Agattu 1.B Move S 45 Co400</v>
          </cell>
          <cell r="F1540">
            <v>1</v>
          </cell>
          <cell r="G1540">
            <v>0</v>
          </cell>
          <cell r="I1540" t="str">
            <v>JC113</v>
          </cell>
          <cell r="L1540">
            <v>32</v>
          </cell>
          <cell r="M1540">
            <v>0.57299999999999995</v>
          </cell>
          <cell r="N1540" t="str">
            <v>5W</v>
          </cell>
          <cell r="P1540" t="str">
            <v>PONFCS</v>
          </cell>
          <cell r="Q1540" t="str">
            <v>/  /</v>
          </cell>
        </row>
        <row r="1541">
          <cell r="A1541">
            <v>4587046</v>
          </cell>
          <cell r="B1541">
            <v>44181</v>
          </cell>
          <cell r="C1541" t="str">
            <v>PON</v>
          </cell>
          <cell r="D1541">
            <v>641526686</v>
          </cell>
          <cell r="E1541" t="str">
            <v>K21 Agattu 1.B Move S 45 Co400</v>
          </cell>
          <cell r="F1541">
            <v>1</v>
          </cell>
          <cell r="G1541">
            <v>0</v>
          </cell>
          <cell r="I1541" t="str">
            <v>JC113</v>
          </cell>
          <cell r="L1541">
            <v>32</v>
          </cell>
          <cell r="M1541">
            <v>0.57299999999999995</v>
          </cell>
          <cell r="N1541" t="str">
            <v>5W</v>
          </cell>
          <cell r="P1541" t="str">
            <v>PONFCS</v>
          </cell>
          <cell r="Q1541" t="str">
            <v>/  /</v>
          </cell>
        </row>
        <row r="1542">
          <cell r="A1542">
            <v>4587043</v>
          </cell>
          <cell r="B1542">
            <v>44181</v>
          </cell>
          <cell r="C1542" t="str">
            <v>PON</v>
          </cell>
          <cell r="D1542">
            <v>641526686</v>
          </cell>
          <cell r="E1542" t="str">
            <v>K21 Agattu 1.B Move S 45 Co400</v>
          </cell>
          <cell r="F1542">
            <v>1</v>
          </cell>
          <cell r="G1542">
            <v>0</v>
          </cell>
          <cell r="I1542" t="str">
            <v>JC114</v>
          </cell>
          <cell r="L1542">
            <v>32</v>
          </cell>
          <cell r="M1542">
            <v>0.57299999999999995</v>
          </cell>
          <cell r="N1542" t="str">
            <v>5W</v>
          </cell>
          <cell r="P1542" t="str">
            <v>PONFCS</v>
          </cell>
          <cell r="Q1542" t="str">
            <v>/  /</v>
          </cell>
        </row>
        <row r="1543">
          <cell r="A1543">
            <v>4587044</v>
          </cell>
          <cell r="B1543">
            <v>44181</v>
          </cell>
          <cell r="C1543" t="str">
            <v>PON</v>
          </cell>
          <cell r="D1543">
            <v>641526686</v>
          </cell>
          <cell r="E1543" t="str">
            <v>K21 Agattu 1.B Move S 45 Co400</v>
          </cell>
          <cell r="F1543">
            <v>1</v>
          </cell>
          <cell r="G1543">
            <v>0</v>
          </cell>
          <cell r="I1543" t="str">
            <v>JC114</v>
          </cell>
          <cell r="L1543">
            <v>32</v>
          </cell>
          <cell r="M1543">
            <v>0.57299999999999995</v>
          </cell>
          <cell r="N1543" t="str">
            <v>5W</v>
          </cell>
          <cell r="P1543" t="str">
            <v>PONFCS</v>
          </cell>
          <cell r="Q1543" t="str">
            <v>/  /</v>
          </cell>
        </row>
        <row r="1544">
          <cell r="A1544">
            <v>4632405</v>
          </cell>
          <cell r="B1544">
            <v>44217</v>
          </cell>
          <cell r="C1544" t="str">
            <v>PON</v>
          </cell>
          <cell r="D1544">
            <v>637007030</v>
          </cell>
          <cell r="E1544" t="str">
            <v>F20 Jam 6.8 Nine 42 S</v>
          </cell>
          <cell r="F1544">
            <v>1</v>
          </cell>
          <cell r="G1544">
            <v>0</v>
          </cell>
          <cell r="I1544" t="str">
            <v>JC121</v>
          </cell>
          <cell r="L1544">
            <v>21.5</v>
          </cell>
          <cell r="M1544">
            <v>0.31900000000000001</v>
          </cell>
          <cell r="N1544" t="str">
            <v>5W</v>
          </cell>
          <cell r="P1544" t="str">
            <v>PONFCS</v>
          </cell>
          <cell r="Q1544" t="str">
            <v>/  /</v>
          </cell>
        </row>
        <row r="1545">
          <cell r="A1545">
            <v>4632406</v>
          </cell>
          <cell r="B1545">
            <v>44217</v>
          </cell>
          <cell r="C1545" t="str">
            <v>PON</v>
          </cell>
          <cell r="D1545">
            <v>637007030</v>
          </cell>
          <cell r="E1545" t="str">
            <v>F20 Jam 6.8 Nine 42 S</v>
          </cell>
          <cell r="F1545">
            <v>1</v>
          </cell>
          <cell r="G1545">
            <v>0</v>
          </cell>
          <cell r="I1545" t="str">
            <v>JC121</v>
          </cell>
          <cell r="L1545">
            <v>21.5</v>
          </cell>
          <cell r="M1545">
            <v>0.31900000000000001</v>
          </cell>
          <cell r="N1545" t="str">
            <v>5W</v>
          </cell>
          <cell r="P1545" t="str">
            <v>PONFCS</v>
          </cell>
          <cell r="Q1545" t="str">
            <v>/  /</v>
          </cell>
        </row>
        <row r="1546">
          <cell r="A1546">
            <v>4433345</v>
          </cell>
          <cell r="B1546">
            <v>44096</v>
          </cell>
          <cell r="C1546" t="str">
            <v>PON</v>
          </cell>
          <cell r="D1546">
            <v>641012302</v>
          </cell>
          <cell r="E1546" t="str">
            <v>F21 MARES 9.9 M 54 MIN</v>
          </cell>
          <cell r="F1546">
            <v>1</v>
          </cell>
          <cell r="G1546">
            <v>0</v>
          </cell>
          <cell r="I1546" t="str">
            <v>JC121</v>
          </cell>
          <cell r="L1546">
            <v>12.4</v>
          </cell>
          <cell r="M1546">
            <v>0.33100000000000002</v>
          </cell>
          <cell r="N1546" t="str">
            <v>5W</v>
          </cell>
          <cell r="P1546" t="str">
            <v>PONFCS</v>
          </cell>
          <cell r="Q1546" t="str">
            <v>/  /</v>
          </cell>
        </row>
        <row r="1547">
          <cell r="A1547">
            <v>4433346</v>
          </cell>
          <cell r="B1547">
            <v>44096</v>
          </cell>
          <cell r="C1547" t="str">
            <v>PON</v>
          </cell>
          <cell r="D1547">
            <v>641012302</v>
          </cell>
          <cell r="E1547" t="str">
            <v>F21 MARES 9.9 M 54 MIN</v>
          </cell>
          <cell r="F1547">
            <v>1</v>
          </cell>
          <cell r="G1547">
            <v>0</v>
          </cell>
          <cell r="I1547" t="str">
            <v>JC121</v>
          </cell>
          <cell r="L1547">
            <v>12.4</v>
          </cell>
          <cell r="M1547">
            <v>0.33100000000000002</v>
          </cell>
          <cell r="N1547" t="str">
            <v>5W</v>
          </cell>
          <cell r="P1547" t="str">
            <v>PONFCS</v>
          </cell>
          <cell r="Q1547" t="str">
            <v>/  /</v>
          </cell>
        </row>
        <row r="1548">
          <cell r="A1548">
            <v>4433347</v>
          </cell>
          <cell r="B1548">
            <v>44096</v>
          </cell>
          <cell r="C1548" t="str">
            <v>PON</v>
          </cell>
          <cell r="D1548">
            <v>641012302</v>
          </cell>
          <cell r="E1548" t="str">
            <v>F21 MARES 9.9 M 54 MIN</v>
          </cell>
          <cell r="F1548">
            <v>1</v>
          </cell>
          <cell r="G1548">
            <v>0</v>
          </cell>
          <cell r="I1548" t="str">
            <v>JC121</v>
          </cell>
          <cell r="L1548">
            <v>12.4</v>
          </cell>
          <cell r="M1548">
            <v>0.33100000000000002</v>
          </cell>
          <cell r="N1548" t="str">
            <v>5W</v>
          </cell>
          <cell r="P1548" t="str">
            <v>PONFCS</v>
          </cell>
          <cell r="Q1548" t="str">
            <v>/  /</v>
          </cell>
        </row>
        <row r="1549">
          <cell r="A1549">
            <v>4614063</v>
          </cell>
          <cell r="B1549">
            <v>44203</v>
          </cell>
          <cell r="C1549" t="str">
            <v>PON</v>
          </cell>
          <cell r="D1549">
            <v>641078255</v>
          </cell>
          <cell r="E1549" t="str">
            <v>C21 R5 Disc E/A Grn/Gold/Wht54</v>
          </cell>
          <cell r="F1549">
            <v>1</v>
          </cell>
          <cell r="G1549">
            <v>0</v>
          </cell>
          <cell r="I1549" t="str">
            <v>JC122</v>
          </cell>
          <cell r="L1549">
            <v>13</v>
          </cell>
          <cell r="M1549">
            <v>0.26300000000000001</v>
          </cell>
          <cell r="N1549" t="str">
            <v>5W</v>
          </cell>
          <cell r="P1549" t="str">
            <v>PONCVL</v>
          </cell>
          <cell r="Q1549" t="str">
            <v>/  /</v>
          </cell>
        </row>
        <row r="1550">
          <cell r="A1550">
            <v>4614064</v>
          </cell>
          <cell r="B1550">
            <v>44203</v>
          </cell>
          <cell r="C1550" t="str">
            <v>PON</v>
          </cell>
          <cell r="D1550">
            <v>641078255</v>
          </cell>
          <cell r="E1550" t="str">
            <v>C21 R5 Disc E/A Grn/Gold/Wht54</v>
          </cell>
          <cell r="F1550">
            <v>1</v>
          </cell>
          <cell r="G1550">
            <v>0</v>
          </cell>
          <cell r="I1550" t="str">
            <v>JC122</v>
          </cell>
          <cell r="L1550">
            <v>13</v>
          </cell>
          <cell r="M1550">
            <v>0.26300000000000001</v>
          </cell>
          <cell r="N1550" t="str">
            <v>5W</v>
          </cell>
          <cell r="P1550" t="str">
            <v>PONCVL</v>
          </cell>
          <cell r="Q1550" t="str">
            <v>/  /</v>
          </cell>
        </row>
        <row r="1551">
          <cell r="A1551">
            <v>4614065</v>
          </cell>
          <cell r="B1551">
            <v>44203</v>
          </cell>
          <cell r="C1551" t="str">
            <v>PON</v>
          </cell>
          <cell r="D1551">
            <v>641078255</v>
          </cell>
          <cell r="E1551" t="str">
            <v>C21 R5 Disc E/A Grn/Gold/Wht54</v>
          </cell>
          <cell r="F1551">
            <v>1</v>
          </cell>
          <cell r="G1551">
            <v>0</v>
          </cell>
          <cell r="I1551" t="str">
            <v>JC122</v>
          </cell>
          <cell r="L1551">
            <v>13</v>
          </cell>
          <cell r="M1551">
            <v>0.26300000000000001</v>
          </cell>
          <cell r="N1551" t="str">
            <v>5W</v>
          </cell>
          <cell r="P1551" t="str">
            <v>PONCVL</v>
          </cell>
          <cell r="Q1551" t="str">
            <v>/  /</v>
          </cell>
        </row>
        <row r="1552">
          <cell r="A1552">
            <v>4614066</v>
          </cell>
          <cell r="B1552">
            <v>44203</v>
          </cell>
          <cell r="C1552" t="str">
            <v>PON</v>
          </cell>
          <cell r="D1552">
            <v>641078255</v>
          </cell>
          <cell r="E1552" t="str">
            <v>C21 R5 Disc E/A Grn/Gold/Wht54</v>
          </cell>
          <cell r="F1552">
            <v>1</v>
          </cell>
          <cell r="G1552">
            <v>0</v>
          </cell>
          <cell r="I1552" t="str">
            <v>JC122</v>
          </cell>
          <cell r="L1552">
            <v>13</v>
          </cell>
          <cell r="M1552">
            <v>0.26300000000000001</v>
          </cell>
          <cell r="N1552" t="str">
            <v>5W</v>
          </cell>
          <cell r="P1552" t="str">
            <v>PONCVL</v>
          </cell>
          <cell r="Q1552" t="str">
            <v>/  /</v>
          </cell>
        </row>
        <row r="1553">
          <cell r="A1553">
            <v>4041805</v>
          </cell>
          <cell r="B1553">
            <v>43852</v>
          </cell>
          <cell r="C1553" t="str">
            <v>PON</v>
          </cell>
          <cell r="D1553">
            <v>633728533</v>
          </cell>
          <cell r="E1553" t="str">
            <v>FC EBikeF19 P/Sqre 9.6 60XL Rd</v>
          </cell>
          <cell r="F1553">
            <v>1</v>
          </cell>
          <cell r="G1553">
            <v>0</v>
          </cell>
          <cell r="I1553" t="str">
            <v>JC123</v>
          </cell>
          <cell r="L1553">
            <v>23.8</v>
          </cell>
          <cell r="M1553">
            <v>0.58099999999999996</v>
          </cell>
          <cell r="N1553" t="str">
            <v>5W</v>
          </cell>
          <cell r="P1553" t="str">
            <v>PONFEB</v>
          </cell>
          <cell r="Q1553" t="str">
            <v>/  /</v>
          </cell>
        </row>
        <row r="1554">
          <cell r="A1554">
            <v>4041807</v>
          </cell>
          <cell r="B1554">
            <v>43852</v>
          </cell>
          <cell r="C1554" t="str">
            <v>PON</v>
          </cell>
          <cell r="D1554">
            <v>633728533</v>
          </cell>
          <cell r="E1554" t="str">
            <v>FC EBikeF19 P/Sqre 9.6 60XL Rd</v>
          </cell>
          <cell r="F1554">
            <v>1</v>
          </cell>
          <cell r="G1554">
            <v>0</v>
          </cell>
          <cell r="I1554" t="str">
            <v>JC123</v>
          </cell>
          <cell r="L1554">
            <v>23.8</v>
          </cell>
          <cell r="M1554">
            <v>0.58099999999999996</v>
          </cell>
          <cell r="N1554" t="str">
            <v>5W</v>
          </cell>
          <cell r="P1554" t="str">
            <v>PONFEB</v>
          </cell>
          <cell r="Q1554" t="str">
            <v>/  /</v>
          </cell>
        </row>
        <row r="1555">
          <cell r="A1555">
            <v>4543938</v>
          </cell>
          <cell r="B1555">
            <v>44161</v>
          </cell>
          <cell r="C1555" t="str">
            <v>PON</v>
          </cell>
          <cell r="D1555">
            <v>637518117</v>
          </cell>
          <cell r="E1555" t="str">
            <v>F20 JAM2 6.8 NINE 45L BLUE BCH</v>
          </cell>
          <cell r="F1555">
            <v>1</v>
          </cell>
          <cell r="G1555">
            <v>0</v>
          </cell>
          <cell r="I1555" t="str">
            <v>JC123</v>
          </cell>
          <cell r="L1555">
            <v>32.769199999999998</v>
          </cell>
          <cell r="M1555">
            <v>0.57799999999999996</v>
          </cell>
          <cell r="N1555" t="str">
            <v>5W</v>
          </cell>
          <cell r="P1555" t="str">
            <v>PONFCS</v>
          </cell>
          <cell r="Q1555" t="str">
            <v>/  /</v>
          </cell>
        </row>
        <row r="1556">
          <cell r="A1556">
            <v>4086223</v>
          </cell>
          <cell r="B1556">
            <v>43866</v>
          </cell>
          <cell r="C1556" t="str">
            <v>PON</v>
          </cell>
          <cell r="D1556">
            <v>633618550</v>
          </cell>
          <cell r="E1556" t="str">
            <v>FC EBikeF19 P/Sqre 6.8 51S Red</v>
          </cell>
          <cell r="F1556">
            <v>1</v>
          </cell>
          <cell r="G1556">
            <v>0</v>
          </cell>
          <cell r="I1556" t="str">
            <v>JC124</v>
          </cell>
          <cell r="L1556">
            <v>25.2</v>
          </cell>
          <cell r="M1556">
            <v>0.55000000000000004</v>
          </cell>
          <cell r="N1556" t="str">
            <v>5W</v>
          </cell>
          <cell r="P1556" t="str">
            <v>PONFEB</v>
          </cell>
          <cell r="Q1556" t="str">
            <v>/  /</v>
          </cell>
        </row>
        <row r="1557">
          <cell r="A1557">
            <v>4087642</v>
          </cell>
          <cell r="B1557">
            <v>43866</v>
          </cell>
          <cell r="C1557" t="str">
            <v>PON</v>
          </cell>
          <cell r="D1557">
            <v>633618550</v>
          </cell>
          <cell r="E1557" t="str">
            <v>FC EBikeF19 P/Sqre 6.8 51S Red</v>
          </cell>
          <cell r="F1557">
            <v>1</v>
          </cell>
          <cell r="G1557">
            <v>0</v>
          </cell>
          <cell r="I1557" t="str">
            <v>JC124</v>
          </cell>
          <cell r="L1557">
            <v>25.2</v>
          </cell>
          <cell r="M1557">
            <v>0.55000000000000004</v>
          </cell>
          <cell r="N1557" t="str">
            <v>5W</v>
          </cell>
          <cell r="P1557" t="str">
            <v>PONFEB</v>
          </cell>
          <cell r="Q1557" t="str">
            <v>/  /</v>
          </cell>
        </row>
        <row r="1558">
          <cell r="A1558">
            <v>4089442</v>
          </cell>
          <cell r="B1558">
            <v>43866</v>
          </cell>
          <cell r="C1558" t="str">
            <v>PON</v>
          </cell>
          <cell r="D1558">
            <v>633618550</v>
          </cell>
          <cell r="E1558" t="str">
            <v>FC EBikeF19 P/Sqre 6.8 51S Red</v>
          </cell>
          <cell r="F1558">
            <v>1</v>
          </cell>
          <cell r="G1558">
            <v>0</v>
          </cell>
          <cell r="I1558" t="str">
            <v>JC124</v>
          </cell>
          <cell r="L1558">
            <v>25.2</v>
          </cell>
          <cell r="M1558">
            <v>0.55000000000000004</v>
          </cell>
          <cell r="N1558" t="str">
            <v>5W</v>
          </cell>
          <cell r="P1558" t="str">
            <v>PONFEB</v>
          </cell>
          <cell r="Q1558" t="str">
            <v>/  /</v>
          </cell>
        </row>
        <row r="1559">
          <cell r="A1559">
            <v>4575060</v>
          </cell>
          <cell r="B1559">
            <v>44173</v>
          </cell>
          <cell r="C1559" t="str">
            <v>PON</v>
          </cell>
          <cell r="D1559">
            <v>637518401</v>
          </cell>
          <cell r="E1559" t="str">
            <v>F21 Aventura2 6.9 Black M</v>
          </cell>
          <cell r="F1559">
            <v>1</v>
          </cell>
          <cell r="G1559">
            <v>0</v>
          </cell>
          <cell r="I1559" t="str">
            <v>JC124</v>
          </cell>
          <cell r="L1559">
            <v>33</v>
          </cell>
          <cell r="M1559">
            <v>0.55000000000000004</v>
          </cell>
          <cell r="N1559" t="str">
            <v>5W</v>
          </cell>
          <cell r="P1559" t="str">
            <v>PONFCS</v>
          </cell>
          <cell r="Q1559" t="str">
            <v>/  /</v>
          </cell>
        </row>
        <row r="1560">
          <cell r="A1560">
            <v>4433353</v>
          </cell>
          <cell r="B1560">
            <v>44096</v>
          </cell>
          <cell r="C1560" t="str">
            <v>PON</v>
          </cell>
          <cell r="D1560">
            <v>641012303</v>
          </cell>
          <cell r="E1560" t="str">
            <v>F21 MARES 9.9 L 56 MIN</v>
          </cell>
          <cell r="F1560">
            <v>1</v>
          </cell>
          <cell r="G1560">
            <v>0</v>
          </cell>
          <cell r="I1560" t="str">
            <v>JC131</v>
          </cell>
          <cell r="L1560">
            <v>12.5</v>
          </cell>
          <cell r="M1560">
            <v>0.33100000000000002</v>
          </cell>
          <cell r="N1560" t="str">
            <v>5W</v>
          </cell>
          <cell r="P1560" t="str">
            <v>PONFCS</v>
          </cell>
          <cell r="Q1560" t="str">
            <v>/  /</v>
          </cell>
        </row>
        <row r="1561">
          <cell r="A1561">
            <v>4433354</v>
          </cell>
          <cell r="B1561">
            <v>44096</v>
          </cell>
          <cell r="C1561" t="str">
            <v>PON</v>
          </cell>
          <cell r="D1561">
            <v>641012303</v>
          </cell>
          <cell r="E1561" t="str">
            <v>F21 MARES 9.9 L 56 MIN</v>
          </cell>
          <cell r="F1561">
            <v>1</v>
          </cell>
          <cell r="G1561">
            <v>0</v>
          </cell>
          <cell r="I1561" t="str">
            <v>JC131</v>
          </cell>
          <cell r="L1561">
            <v>12.5</v>
          </cell>
          <cell r="M1561">
            <v>0.33100000000000002</v>
          </cell>
          <cell r="N1561" t="str">
            <v>5W</v>
          </cell>
          <cell r="P1561" t="str">
            <v>PONFCS</v>
          </cell>
          <cell r="Q1561" t="str">
            <v>/  /</v>
          </cell>
        </row>
        <row r="1562">
          <cell r="A1562">
            <v>4433355</v>
          </cell>
          <cell r="B1562">
            <v>44096</v>
          </cell>
          <cell r="C1562" t="str">
            <v>PON</v>
          </cell>
          <cell r="D1562">
            <v>641012303</v>
          </cell>
          <cell r="E1562" t="str">
            <v>F21 MARES 9.9 L 56 MIN</v>
          </cell>
          <cell r="F1562">
            <v>1</v>
          </cell>
          <cell r="G1562">
            <v>0</v>
          </cell>
          <cell r="I1562" t="str">
            <v>JC131</v>
          </cell>
          <cell r="L1562">
            <v>12.5</v>
          </cell>
          <cell r="M1562">
            <v>0.33100000000000002</v>
          </cell>
          <cell r="N1562" t="str">
            <v>5W</v>
          </cell>
          <cell r="P1562" t="str">
            <v>PONFCS</v>
          </cell>
          <cell r="Q1562" t="str">
            <v>/  /</v>
          </cell>
        </row>
        <row r="1563">
          <cell r="A1563">
            <v>4453103</v>
          </cell>
          <cell r="B1563">
            <v>44104</v>
          </cell>
          <cell r="C1563" t="str">
            <v>PON</v>
          </cell>
          <cell r="D1563">
            <v>641518412</v>
          </cell>
          <cell r="E1563" t="str">
            <v>F21 AVENTURA2 6.8 L48 GRY 625</v>
          </cell>
          <cell r="F1563">
            <v>1</v>
          </cell>
          <cell r="G1563">
            <v>0</v>
          </cell>
          <cell r="I1563" t="str">
            <v>JC133</v>
          </cell>
          <cell r="L1563">
            <v>33</v>
          </cell>
          <cell r="M1563">
            <v>0.58099999999999996</v>
          </cell>
          <cell r="N1563" t="str">
            <v>5W</v>
          </cell>
          <cell r="P1563" t="str">
            <v>PONFCS</v>
          </cell>
          <cell r="Q1563" t="str">
            <v>/  /</v>
          </cell>
        </row>
        <row r="1564">
          <cell r="A1564">
            <v>4453104</v>
          </cell>
          <cell r="B1564">
            <v>44104</v>
          </cell>
          <cell r="C1564" t="str">
            <v>PON</v>
          </cell>
          <cell r="D1564">
            <v>641518412</v>
          </cell>
          <cell r="E1564" t="str">
            <v>F21 AVENTURA2 6.8 L48 GRY 625</v>
          </cell>
          <cell r="F1564">
            <v>1</v>
          </cell>
          <cell r="G1564">
            <v>0</v>
          </cell>
          <cell r="I1564" t="str">
            <v>JC133</v>
          </cell>
          <cell r="L1564">
            <v>33</v>
          </cell>
          <cell r="M1564">
            <v>0.58099999999999996</v>
          </cell>
          <cell r="N1564" t="str">
            <v>5W</v>
          </cell>
          <cell r="P1564" t="str">
            <v>PONFCS</v>
          </cell>
          <cell r="Q1564" t="str">
            <v>/  /</v>
          </cell>
        </row>
        <row r="1565">
          <cell r="A1565">
            <v>4644099</v>
          </cell>
          <cell r="B1565">
            <v>44225</v>
          </cell>
          <cell r="C1565" t="str">
            <v>PON</v>
          </cell>
          <cell r="D1565">
            <v>637526054</v>
          </cell>
          <cell r="E1565" t="str">
            <v>K21 Endeavour 1.B Move 400 S</v>
          </cell>
          <cell r="F1565">
            <v>1</v>
          </cell>
          <cell r="G1565">
            <v>0</v>
          </cell>
          <cell r="I1565" t="str">
            <v>JC134</v>
          </cell>
          <cell r="L1565">
            <v>31</v>
          </cell>
          <cell r="M1565">
            <v>0.57299999999999995</v>
          </cell>
          <cell r="N1565" t="str">
            <v>5W</v>
          </cell>
          <cell r="P1565" t="str">
            <v>PONFCS</v>
          </cell>
          <cell r="Q1565" t="str">
            <v>/  /</v>
          </cell>
        </row>
        <row r="1566">
          <cell r="A1566">
            <v>4644155</v>
          </cell>
          <cell r="B1566">
            <v>44225</v>
          </cell>
          <cell r="C1566" t="str">
            <v>PON</v>
          </cell>
          <cell r="D1566">
            <v>637527054</v>
          </cell>
          <cell r="E1566" t="str">
            <v>K21 Endeavour 1.B Move 500 S</v>
          </cell>
          <cell r="F1566">
            <v>1</v>
          </cell>
          <cell r="G1566">
            <v>0</v>
          </cell>
          <cell r="I1566" t="str">
            <v>JC134</v>
          </cell>
          <cell r="L1566">
            <v>31</v>
          </cell>
          <cell r="M1566">
            <v>0.57299999999999995</v>
          </cell>
          <cell r="N1566" t="str">
            <v>5W</v>
          </cell>
          <cell r="P1566" t="str">
            <v>PONFCS</v>
          </cell>
          <cell r="Q1566" t="str">
            <v>/  /</v>
          </cell>
        </row>
        <row r="1567">
          <cell r="A1567">
            <v>4644156</v>
          </cell>
          <cell r="B1567">
            <v>44225</v>
          </cell>
          <cell r="C1567" t="str">
            <v>PON</v>
          </cell>
          <cell r="D1567">
            <v>637527054</v>
          </cell>
          <cell r="E1567" t="str">
            <v>K21 Endeavour 1.B Move 500 S</v>
          </cell>
          <cell r="F1567">
            <v>1</v>
          </cell>
          <cell r="G1567">
            <v>0</v>
          </cell>
          <cell r="I1567" t="str">
            <v>JC134</v>
          </cell>
          <cell r="L1567">
            <v>31</v>
          </cell>
          <cell r="M1567">
            <v>0.57299999999999995</v>
          </cell>
          <cell r="N1567" t="str">
            <v>5W</v>
          </cell>
          <cell r="P1567" t="str">
            <v>PONFCS</v>
          </cell>
          <cell r="Q1567" t="str">
            <v>/  /</v>
          </cell>
        </row>
        <row r="1568">
          <cell r="A1568">
            <v>4632403</v>
          </cell>
          <cell r="B1568">
            <v>44217</v>
          </cell>
          <cell r="C1568" t="str">
            <v>PON</v>
          </cell>
          <cell r="D1568">
            <v>637007030</v>
          </cell>
          <cell r="E1568" t="str">
            <v>F20 Jam 6.8 Nine 42 S</v>
          </cell>
          <cell r="F1568">
            <v>1</v>
          </cell>
          <cell r="G1568">
            <v>0</v>
          </cell>
          <cell r="I1568" t="str">
            <v>JC141</v>
          </cell>
          <cell r="L1568">
            <v>21.5</v>
          </cell>
          <cell r="M1568">
            <v>0.31900000000000001</v>
          </cell>
          <cell r="N1568" t="str">
            <v>5W</v>
          </cell>
          <cell r="P1568" t="str">
            <v>PONFCS</v>
          </cell>
          <cell r="Q1568" t="str">
            <v>/  /</v>
          </cell>
        </row>
        <row r="1569">
          <cell r="A1569">
            <v>4632404</v>
          </cell>
          <cell r="B1569">
            <v>44217</v>
          </cell>
          <cell r="C1569" t="str">
            <v>PON</v>
          </cell>
          <cell r="D1569">
            <v>637007030</v>
          </cell>
          <cell r="E1569" t="str">
            <v>F20 Jam 6.8 Nine 42 S</v>
          </cell>
          <cell r="F1569">
            <v>1</v>
          </cell>
          <cell r="G1569">
            <v>0</v>
          </cell>
          <cell r="I1569" t="str">
            <v>JC141</v>
          </cell>
          <cell r="L1569">
            <v>21.5</v>
          </cell>
          <cell r="M1569">
            <v>0.31900000000000001</v>
          </cell>
          <cell r="N1569" t="str">
            <v>5W</v>
          </cell>
          <cell r="P1569" t="str">
            <v>PONFCS</v>
          </cell>
          <cell r="Q1569" t="str">
            <v>/  /</v>
          </cell>
        </row>
        <row r="1570">
          <cell r="A1570">
            <v>4363305</v>
          </cell>
          <cell r="B1570">
            <v>44056</v>
          </cell>
          <cell r="C1570" t="str">
            <v>PON</v>
          </cell>
          <cell r="D1570">
            <v>637013017</v>
          </cell>
          <cell r="E1570" t="str">
            <v>F21 SAM 8.8 27 L 46 OLV</v>
          </cell>
          <cell r="F1570">
            <v>1</v>
          </cell>
          <cell r="G1570">
            <v>0</v>
          </cell>
          <cell r="I1570" t="str">
            <v>JC141</v>
          </cell>
          <cell r="L1570">
            <v>20.5</v>
          </cell>
          <cell r="M1570">
            <v>0.38600000000000001</v>
          </cell>
          <cell r="N1570" t="str">
            <v>5W</v>
          </cell>
          <cell r="P1570" t="str">
            <v>PONFCS</v>
          </cell>
          <cell r="Q1570" t="str">
            <v>/  /</v>
          </cell>
        </row>
        <row r="1571">
          <cell r="A1571">
            <v>4433351</v>
          </cell>
          <cell r="B1571">
            <v>44096</v>
          </cell>
          <cell r="C1571" t="str">
            <v>PON</v>
          </cell>
          <cell r="D1571">
            <v>641012303</v>
          </cell>
          <cell r="E1571" t="str">
            <v>F21 MARES 9.9 L 56 MIN</v>
          </cell>
          <cell r="F1571">
            <v>1</v>
          </cell>
          <cell r="G1571">
            <v>0</v>
          </cell>
          <cell r="I1571" t="str">
            <v>JC141</v>
          </cell>
          <cell r="L1571">
            <v>12.5</v>
          </cell>
          <cell r="M1571">
            <v>0.33100000000000002</v>
          </cell>
          <cell r="N1571" t="str">
            <v>5W</v>
          </cell>
          <cell r="P1571" t="str">
            <v>PONFCS</v>
          </cell>
          <cell r="Q1571" t="str">
            <v>/  /</v>
          </cell>
        </row>
        <row r="1572">
          <cell r="A1572">
            <v>4433403</v>
          </cell>
          <cell r="B1572">
            <v>44096</v>
          </cell>
          <cell r="C1572" t="str">
            <v>PON</v>
          </cell>
          <cell r="D1572">
            <v>641013002</v>
          </cell>
          <cell r="E1572" t="str">
            <v>F21 JAM 8.9 NINE L 48 BLU</v>
          </cell>
          <cell r="F1572">
            <v>1</v>
          </cell>
          <cell r="G1572">
            <v>0</v>
          </cell>
          <cell r="I1572" t="str">
            <v>JC141</v>
          </cell>
          <cell r="L1572">
            <v>19.399999999999999</v>
          </cell>
          <cell r="M1572">
            <v>0.38600000000000001</v>
          </cell>
          <cell r="N1572" t="str">
            <v>5W</v>
          </cell>
          <cell r="P1572" t="str">
            <v>PONFCS</v>
          </cell>
          <cell r="Q1572" t="str">
            <v>/  /</v>
          </cell>
        </row>
        <row r="1573">
          <cell r="A1573">
            <v>3995224</v>
          </cell>
          <cell r="B1573">
            <v>43811</v>
          </cell>
          <cell r="C1573" t="str">
            <v>PON</v>
          </cell>
          <cell r="D1573">
            <v>628078190</v>
          </cell>
          <cell r="E1573" t="str">
            <v>C18 R5 DA 9100 48 XS</v>
          </cell>
          <cell r="F1573">
            <v>1</v>
          </cell>
          <cell r="G1573">
            <v>0</v>
          </cell>
          <cell r="I1573" t="str">
            <v>JC142</v>
          </cell>
          <cell r="L1573">
            <v>11.7</v>
          </cell>
          <cell r="M1573">
            <v>0.20200000000000001</v>
          </cell>
          <cell r="N1573" t="str">
            <v>5W</v>
          </cell>
          <cell r="P1573" t="str">
            <v>PONCVL</v>
          </cell>
          <cell r="Q1573" t="str">
            <v>/  /</v>
          </cell>
        </row>
        <row r="1574">
          <cell r="A1574">
            <v>3995240</v>
          </cell>
          <cell r="B1574">
            <v>43811</v>
          </cell>
          <cell r="C1574" t="str">
            <v>PON</v>
          </cell>
          <cell r="D1574">
            <v>633006302</v>
          </cell>
          <cell r="E1574" t="str">
            <v>Focus F19 Mares 9.9 54M Orange</v>
          </cell>
          <cell r="F1574">
            <v>1</v>
          </cell>
          <cell r="G1574">
            <v>0</v>
          </cell>
          <cell r="I1574" t="str">
            <v>JC142</v>
          </cell>
          <cell r="L1574">
            <v>13.8</v>
          </cell>
          <cell r="M1574">
            <v>0.24299999999999999</v>
          </cell>
          <cell r="N1574" t="str">
            <v>5W</v>
          </cell>
          <cell r="P1574" t="str">
            <v>PONFCS</v>
          </cell>
          <cell r="Q1574" t="str">
            <v>/  /</v>
          </cell>
        </row>
        <row r="1575">
          <cell r="A1575">
            <v>4453114</v>
          </cell>
          <cell r="B1575">
            <v>44104</v>
          </cell>
          <cell r="C1575" t="str">
            <v>PON</v>
          </cell>
          <cell r="D1575">
            <v>641518411</v>
          </cell>
          <cell r="E1575" t="str">
            <v>F21 AVENTURA2 6.8 M 44 GRY 625</v>
          </cell>
          <cell r="F1575">
            <v>1</v>
          </cell>
          <cell r="G1575">
            <v>0</v>
          </cell>
          <cell r="I1575" t="str">
            <v>JC143</v>
          </cell>
          <cell r="L1575">
            <v>32.700000000000003</v>
          </cell>
          <cell r="M1575">
            <v>0.58099999999999996</v>
          </cell>
          <cell r="N1575" t="str">
            <v>5W</v>
          </cell>
          <cell r="P1575" t="str">
            <v>PONFCS</v>
          </cell>
          <cell r="Q1575" t="str">
            <v>/  /</v>
          </cell>
        </row>
        <row r="1576">
          <cell r="A1576">
            <v>4644079</v>
          </cell>
          <cell r="B1576">
            <v>44225</v>
          </cell>
          <cell r="C1576" t="str">
            <v>PON</v>
          </cell>
          <cell r="D1576">
            <v>637518108</v>
          </cell>
          <cell r="E1576" t="str">
            <v>F20 JAM2 6.8 NINE 49XL BK BSCH</v>
          </cell>
          <cell r="F1576">
            <v>1</v>
          </cell>
          <cell r="G1576">
            <v>0</v>
          </cell>
          <cell r="I1576" t="str">
            <v>JC144</v>
          </cell>
          <cell r="L1576">
            <v>32.9</v>
          </cell>
          <cell r="M1576">
            <v>0.58099999999999996</v>
          </cell>
          <cell r="N1576" t="str">
            <v>5W</v>
          </cell>
          <cell r="P1576" t="str">
            <v>PONFCS</v>
          </cell>
          <cell r="Q1576" t="str">
            <v>/  /</v>
          </cell>
        </row>
        <row r="1577">
          <cell r="A1577">
            <v>4575061</v>
          </cell>
          <cell r="B1577">
            <v>44173</v>
          </cell>
          <cell r="C1577" t="str">
            <v>PON</v>
          </cell>
          <cell r="D1577">
            <v>637518401</v>
          </cell>
          <cell r="E1577" t="str">
            <v>F21 Aventura2 6.9 Black M</v>
          </cell>
          <cell r="F1577">
            <v>1</v>
          </cell>
          <cell r="G1577">
            <v>0</v>
          </cell>
          <cell r="I1577" t="str">
            <v>JC144</v>
          </cell>
          <cell r="L1577">
            <v>33</v>
          </cell>
          <cell r="M1577">
            <v>0.55000000000000004</v>
          </cell>
          <cell r="N1577" t="str">
            <v>5W</v>
          </cell>
          <cell r="P1577" t="str">
            <v>PONFCS</v>
          </cell>
          <cell r="Q1577" t="str">
            <v>/  /</v>
          </cell>
        </row>
        <row r="1578">
          <cell r="A1578">
            <v>4644100</v>
          </cell>
          <cell r="B1578">
            <v>44225</v>
          </cell>
          <cell r="C1578" t="str">
            <v>PON</v>
          </cell>
          <cell r="D1578">
            <v>637526054</v>
          </cell>
          <cell r="E1578" t="str">
            <v>K21 Endeavour 1.B Move 400 S</v>
          </cell>
          <cell r="F1578">
            <v>1</v>
          </cell>
          <cell r="G1578">
            <v>0</v>
          </cell>
          <cell r="I1578" t="str">
            <v>JC144</v>
          </cell>
          <cell r="L1578">
            <v>31</v>
          </cell>
          <cell r="M1578">
            <v>0.57299999999999995</v>
          </cell>
          <cell r="N1578" t="str">
            <v>5W</v>
          </cell>
          <cell r="P1578" t="str">
            <v>PONFCS</v>
          </cell>
          <cell r="Q1578" t="str">
            <v>/  /</v>
          </cell>
        </row>
        <row r="1579">
          <cell r="A1579">
            <v>4543794</v>
          </cell>
          <cell r="B1579">
            <v>44161</v>
          </cell>
          <cell r="C1579" t="str">
            <v>PON</v>
          </cell>
          <cell r="D1579">
            <v>641518013</v>
          </cell>
          <cell r="E1579" t="str">
            <v>F21 JAM2 6.9 NINE XL49 625WH</v>
          </cell>
          <cell r="F1579">
            <v>1</v>
          </cell>
          <cell r="G1579">
            <v>0</v>
          </cell>
          <cell r="I1579" t="str">
            <v>JC144</v>
          </cell>
          <cell r="L1579">
            <v>34.6</v>
          </cell>
          <cell r="M1579">
            <v>0.58599999999999997</v>
          </cell>
          <cell r="N1579" t="str">
            <v>5W</v>
          </cell>
          <cell r="P1579" t="str">
            <v>PONFCS</v>
          </cell>
          <cell r="Q1579" t="str">
            <v>/  /</v>
          </cell>
        </row>
        <row r="1580">
          <cell r="A1580">
            <v>4022890</v>
          </cell>
          <cell r="B1580">
            <v>43839</v>
          </cell>
          <cell r="C1580" t="str">
            <v>PON</v>
          </cell>
          <cell r="D1580" t="str">
            <v>A5974</v>
          </cell>
          <cell r="E1580" t="str">
            <v>GZ G19 Vento C7 HMB 57 Men Blk</v>
          </cell>
          <cell r="F1580">
            <v>1</v>
          </cell>
          <cell r="G1580">
            <v>0</v>
          </cell>
          <cell r="I1580" t="str">
            <v>JC144</v>
          </cell>
          <cell r="L1580">
            <v>31.7</v>
          </cell>
          <cell r="M1580">
            <v>0.61499999999999999</v>
          </cell>
          <cell r="N1580" t="str">
            <v>5W</v>
          </cell>
          <cell r="P1580" t="str">
            <v>PONGAZ</v>
          </cell>
          <cell r="Q1580" t="str">
            <v>/  /</v>
          </cell>
        </row>
        <row r="1581">
          <cell r="A1581">
            <v>3895689</v>
          </cell>
          <cell r="B1581">
            <v>43752</v>
          </cell>
          <cell r="C1581" t="str">
            <v>PON</v>
          </cell>
          <cell r="D1581">
            <v>633073460</v>
          </cell>
          <cell r="E1581" t="str">
            <v>CV C19S3 RimF/S 48CMEm/Nvy/Grn</v>
          </cell>
          <cell r="F1581">
            <v>1</v>
          </cell>
          <cell r="G1581">
            <v>0</v>
          </cell>
          <cell r="I1581" t="str">
            <v>JD012</v>
          </cell>
          <cell r="L1581">
            <v>6.7</v>
          </cell>
          <cell r="M1581">
            <v>0.16700000000000001</v>
          </cell>
          <cell r="N1581" t="str">
            <v>5W</v>
          </cell>
          <cell r="P1581" t="str">
            <v>PONCVL</v>
          </cell>
          <cell r="Q1581" t="str">
            <v>/  /</v>
          </cell>
        </row>
        <row r="1582">
          <cell r="A1582">
            <v>3935776</v>
          </cell>
          <cell r="B1582">
            <v>43781</v>
          </cell>
          <cell r="C1582" t="str">
            <v>PON</v>
          </cell>
          <cell r="D1582">
            <v>633073461</v>
          </cell>
          <cell r="E1582" t="str">
            <v>CV C19S3 RimF/S 51CMEm/Nvy/Grn</v>
          </cell>
          <cell r="F1582">
            <v>1</v>
          </cell>
          <cell r="G1582">
            <v>0</v>
          </cell>
          <cell r="I1582" t="str">
            <v>JD012</v>
          </cell>
          <cell r="L1582">
            <v>6.8</v>
          </cell>
          <cell r="M1582">
            <v>0.16600000000000001</v>
          </cell>
          <cell r="N1582" t="str">
            <v>5W</v>
          </cell>
          <cell r="P1582" t="str">
            <v>PONCVL</v>
          </cell>
          <cell r="Q1582" t="str">
            <v>/  /</v>
          </cell>
        </row>
        <row r="1583">
          <cell r="A1583">
            <v>4088316</v>
          </cell>
          <cell r="B1583">
            <v>43755</v>
          </cell>
          <cell r="C1583" t="str">
            <v>PON</v>
          </cell>
          <cell r="D1583">
            <v>637073128</v>
          </cell>
          <cell r="E1583" t="str">
            <v>CV C20S SerDsc F/S GphBlk Rd54</v>
          </cell>
          <cell r="F1583">
            <v>1</v>
          </cell>
          <cell r="G1583">
            <v>0</v>
          </cell>
          <cell r="I1583" t="str">
            <v>JD012</v>
          </cell>
          <cell r="L1583">
            <v>7.4</v>
          </cell>
          <cell r="M1583">
            <v>0.16900000000000001</v>
          </cell>
          <cell r="N1583" t="str">
            <v>5W</v>
          </cell>
          <cell r="P1583" t="str">
            <v>PONCVL</v>
          </cell>
          <cell r="Q1583" t="str">
            <v>/  /</v>
          </cell>
        </row>
        <row r="1584">
          <cell r="A1584">
            <v>4459047</v>
          </cell>
          <cell r="B1584">
            <v>44112</v>
          </cell>
          <cell r="C1584" t="str">
            <v>PON</v>
          </cell>
          <cell r="D1584">
            <v>641080001</v>
          </cell>
          <cell r="E1584" t="str">
            <v>F21 IZ MAX DISC F/S 9 50XS CBN</v>
          </cell>
          <cell r="F1584">
            <v>1</v>
          </cell>
          <cell r="G1584">
            <v>0</v>
          </cell>
          <cell r="I1584" t="str">
            <v>JD012</v>
          </cell>
          <cell r="L1584">
            <v>5.9</v>
          </cell>
          <cell r="M1584">
            <v>0.13800000000000001</v>
          </cell>
          <cell r="N1584" t="str">
            <v>5W</v>
          </cell>
          <cell r="P1584" t="str">
            <v>PONFCS</v>
          </cell>
          <cell r="Q1584" t="str">
            <v>/  /</v>
          </cell>
        </row>
        <row r="1585">
          <cell r="A1585">
            <v>4459048</v>
          </cell>
          <cell r="B1585">
            <v>44112</v>
          </cell>
          <cell r="C1585" t="str">
            <v>PON</v>
          </cell>
          <cell r="D1585">
            <v>641080001</v>
          </cell>
          <cell r="E1585" t="str">
            <v>F21 IZ MAX DISC F/S 9 50XS CBN</v>
          </cell>
          <cell r="F1585">
            <v>1</v>
          </cell>
          <cell r="G1585">
            <v>0</v>
          </cell>
          <cell r="I1585" t="str">
            <v>JD012</v>
          </cell>
          <cell r="L1585">
            <v>5.9</v>
          </cell>
          <cell r="M1585">
            <v>0.13800000000000001</v>
          </cell>
          <cell r="N1585" t="str">
            <v>5W</v>
          </cell>
          <cell r="P1585" t="str">
            <v>PONFCS</v>
          </cell>
          <cell r="Q1585" t="str">
            <v>/  /</v>
          </cell>
        </row>
        <row r="1586">
          <cell r="A1586">
            <v>4459049</v>
          </cell>
          <cell r="B1586">
            <v>44112</v>
          </cell>
          <cell r="C1586" t="str">
            <v>PON</v>
          </cell>
          <cell r="D1586">
            <v>641080001</v>
          </cell>
          <cell r="E1586" t="str">
            <v>F21 IZ MAX DISC F/S 9 50XS CBN</v>
          </cell>
          <cell r="F1586">
            <v>1</v>
          </cell>
          <cell r="G1586">
            <v>0</v>
          </cell>
          <cell r="I1586" t="str">
            <v>JD012</v>
          </cell>
          <cell r="L1586">
            <v>5.9</v>
          </cell>
          <cell r="M1586">
            <v>0.13800000000000001</v>
          </cell>
          <cell r="N1586" t="str">
            <v>5W</v>
          </cell>
          <cell r="P1586" t="str">
            <v>PONFCS</v>
          </cell>
          <cell r="Q1586" t="str">
            <v>/  /</v>
          </cell>
        </row>
        <row r="1587">
          <cell r="A1587">
            <v>4571230</v>
          </cell>
          <cell r="B1587">
            <v>44169</v>
          </cell>
          <cell r="C1587" t="str">
            <v>PON</v>
          </cell>
          <cell r="D1587">
            <v>637526052</v>
          </cell>
          <cell r="E1587" t="str">
            <v>K21 Endeavour 1.B Move 400 L55</v>
          </cell>
          <cell r="F1587">
            <v>1</v>
          </cell>
          <cell r="G1587">
            <v>0</v>
          </cell>
          <cell r="I1587" t="str">
            <v>JD014</v>
          </cell>
          <cell r="L1587">
            <v>30.5</v>
          </cell>
          <cell r="M1587">
            <v>0.57299999999999995</v>
          </cell>
          <cell r="N1587" t="str">
            <v>5W</v>
          </cell>
          <cell r="P1587" t="str">
            <v>PONFCS</v>
          </cell>
          <cell r="Q1587" t="str">
            <v>/  /</v>
          </cell>
        </row>
        <row r="1588">
          <cell r="A1588">
            <v>4571231</v>
          </cell>
          <cell r="B1588">
            <v>44169</v>
          </cell>
          <cell r="C1588" t="str">
            <v>PON</v>
          </cell>
          <cell r="D1588">
            <v>637526052</v>
          </cell>
          <cell r="E1588" t="str">
            <v>K21 Endeavour 1.B Move 400 L55</v>
          </cell>
          <cell r="F1588">
            <v>1</v>
          </cell>
          <cell r="G1588">
            <v>0</v>
          </cell>
          <cell r="I1588" t="str">
            <v>JD014</v>
          </cell>
          <cell r="L1588">
            <v>30.5</v>
          </cell>
          <cell r="M1588">
            <v>0.57299999999999995</v>
          </cell>
          <cell r="N1588" t="str">
            <v>5W</v>
          </cell>
          <cell r="P1588" t="str">
            <v>PONFCS</v>
          </cell>
          <cell r="Q1588" t="str">
            <v>/  /</v>
          </cell>
        </row>
        <row r="1589">
          <cell r="A1589">
            <v>3928944</v>
          </cell>
          <cell r="B1589">
            <v>43777</v>
          </cell>
          <cell r="C1589" t="str">
            <v>PON</v>
          </cell>
          <cell r="D1589">
            <v>623073034</v>
          </cell>
          <cell r="E1589" t="str">
            <v>Cervelo C16 F/S C5 58</v>
          </cell>
          <cell r="F1589">
            <v>1</v>
          </cell>
          <cell r="G1589">
            <v>0</v>
          </cell>
          <cell r="I1589" t="str">
            <v>JD022</v>
          </cell>
          <cell r="L1589">
            <v>5.5</v>
          </cell>
          <cell r="M1589">
            <v>0.17699999999999999</v>
          </cell>
          <cell r="N1589" t="str">
            <v>5W</v>
          </cell>
          <cell r="P1589" t="str">
            <v>PONCVL</v>
          </cell>
          <cell r="Q1589" t="str">
            <v>/  /</v>
          </cell>
        </row>
        <row r="1590">
          <cell r="A1590">
            <v>4459069</v>
          </cell>
          <cell r="B1590">
            <v>44112</v>
          </cell>
          <cell r="C1590" t="str">
            <v>PON</v>
          </cell>
          <cell r="D1590">
            <v>641080004</v>
          </cell>
          <cell r="E1590" t="str">
            <v>F21 IZ MAX DISC F/S 9 56L CBN</v>
          </cell>
          <cell r="F1590">
            <v>1</v>
          </cell>
          <cell r="G1590">
            <v>0</v>
          </cell>
          <cell r="I1590" t="str">
            <v>JD022</v>
          </cell>
          <cell r="L1590">
            <v>5.9</v>
          </cell>
          <cell r="M1590">
            <v>0.13800000000000001</v>
          </cell>
          <cell r="N1590" t="str">
            <v>5W</v>
          </cell>
          <cell r="P1590" t="str">
            <v>PONFCS</v>
          </cell>
          <cell r="Q1590" t="str">
            <v>/  /</v>
          </cell>
        </row>
        <row r="1591">
          <cell r="A1591">
            <v>4459070</v>
          </cell>
          <cell r="B1591">
            <v>44112</v>
          </cell>
          <cell r="C1591" t="str">
            <v>PON</v>
          </cell>
          <cell r="D1591">
            <v>641080004</v>
          </cell>
          <cell r="E1591" t="str">
            <v>F21 IZ MAX DISC F/S 9 56L CBN</v>
          </cell>
          <cell r="F1591">
            <v>1</v>
          </cell>
          <cell r="G1591">
            <v>0</v>
          </cell>
          <cell r="I1591" t="str">
            <v>JD022</v>
          </cell>
          <cell r="L1591">
            <v>5.9</v>
          </cell>
          <cell r="M1591">
            <v>0.13800000000000001</v>
          </cell>
          <cell r="N1591" t="str">
            <v>5W</v>
          </cell>
          <cell r="P1591" t="str">
            <v>PONFCS</v>
          </cell>
          <cell r="Q1591" t="str">
            <v>/  /</v>
          </cell>
        </row>
        <row r="1592">
          <cell r="A1592">
            <v>4459071</v>
          </cell>
          <cell r="B1592">
            <v>44112</v>
          </cell>
          <cell r="C1592" t="str">
            <v>PON</v>
          </cell>
          <cell r="D1592">
            <v>641080004</v>
          </cell>
          <cell r="E1592" t="str">
            <v>F21 IZ MAX DISC F/S 9 56L CBN</v>
          </cell>
          <cell r="F1592">
            <v>1</v>
          </cell>
          <cell r="G1592">
            <v>0</v>
          </cell>
          <cell r="I1592" t="str">
            <v>JD022</v>
          </cell>
          <cell r="L1592">
            <v>5.9</v>
          </cell>
          <cell r="M1592">
            <v>0.13800000000000001</v>
          </cell>
          <cell r="N1592" t="str">
            <v>5W</v>
          </cell>
          <cell r="P1592" t="str">
            <v>PONFCS</v>
          </cell>
          <cell r="Q1592" t="str">
            <v>/  /</v>
          </cell>
        </row>
        <row r="1593">
          <cell r="A1593">
            <v>4459072</v>
          </cell>
          <cell r="B1593">
            <v>44112</v>
          </cell>
          <cell r="C1593" t="str">
            <v>PON</v>
          </cell>
          <cell r="D1593">
            <v>641080004</v>
          </cell>
          <cell r="E1593" t="str">
            <v>F21 IZ MAX DISC F/S 9 56L CBN</v>
          </cell>
          <cell r="F1593">
            <v>1</v>
          </cell>
          <cell r="G1593">
            <v>0</v>
          </cell>
          <cell r="I1593" t="str">
            <v>JD022</v>
          </cell>
          <cell r="L1593">
            <v>5.9</v>
          </cell>
          <cell r="M1593">
            <v>0.13800000000000001</v>
          </cell>
          <cell r="N1593" t="str">
            <v>5W</v>
          </cell>
          <cell r="P1593" t="str">
            <v>PONFCS</v>
          </cell>
          <cell r="Q1593" t="str">
            <v>/  /</v>
          </cell>
        </row>
        <row r="1594">
          <cell r="A1594">
            <v>4571290</v>
          </cell>
          <cell r="B1594">
            <v>44169</v>
          </cell>
          <cell r="C1594" t="str">
            <v>PON</v>
          </cell>
          <cell r="D1594">
            <v>637527068</v>
          </cell>
          <cell r="E1594" t="str">
            <v>K21 End 1.B Move 500L Grey</v>
          </cell>
          <cell r="F1594">
            <v>1</v>
          </cell>
          <cell r="G1594">
            <v>0</v>
          </cell>
          <cell r="I1594" t="str">
            <v>JD023</v>
          </cell>
          <cell r="L1594">
            <v>32</v>
          </cell>
          <cell r="M1594">
            <v>0.54800000000000004</v>
          </cell>
          <cell r="N1594" t="str">
            <v>5W</v>
          </cell>
          <cell r="P1594" t="str">
            <v>PONFCS</v>
          </cell>
          <cell r="Q1594" t="str">
            <v>/  /</v>
          </cell>
        </row>
        <row r="1595">
          <cell r="A1595">
            <v>4571291</v>
          </cell>
          <cell r="B1595">
            <v>44169</v>
          </cell>
          <cell r="C1595" t="str">
            <v>PON</v>
          </cell>
          <cell r="D1595">
            <v>637527068</v>
          </cell>
          <cell r="E1595" t="str">
            <v>K21 End 1.B Move 500L Grey</v>
          </cell>
          <cell r="F1595">
            <v>1</v>
          </cell>
          <cell r="G1595">
            <v>0</v>
          </cell>
          <cell r="I1595" t="str">
            <v>JD023</v>
          </cell>
          <cell r="L1595">
            <v>32</v>
          </cell>
          <cell r="M1595">
            <v>0.54800000000000004</v>
          </cell>
          <cell r="N1595" t="str">
            <v>5W</v>
          </cell>
          <cell r="P1595" t="str">
            <v>PONFCS</v>
          </cell>
          <cell r="Q1595" t="str">
            <v>/  /</v>
          </cell>
        </row>
        <row r="1596">
          <cell r="A1596">
            <v>4571320</v>
          </cell>
          <cell r="B1596">
            <v>44169</v>
          </cell>
          <cell r="C1596" t="str">
            <v>PON</v>
          </cell>
          <cell r="D1596">
            <v>637529073</v>
          </cell>
          <cell r="E1596" t="str">
            <v>K20 End 7.B Advance 58XL LDI</v>
          </cell>
          <cell r="F1596">
            <v>1</v>
          </cell>
          <cell r="G1596">
            <v>0</v>
          </cell>
          <cell r="I1596" t="str">
            <v>JD023</v>
          </cell>
          <cell r="L1596">
            <v>35.200000000000003</v>
          </cell>
          <cell r="M1596">
            <v>0.50900000000000001</v>
          </cell>
          <cell r="N1596" t="str">
            <v>5W</v>
          </cell>
          <cell r="P1596" t="str">
            <v>PONFCS</v>
          </cell>
          <cell r="Q1596" t="str">
            <v>/  /</v>
          </cell>
        </row>
        <row r="1597">
          <cell r="A1597">
            <v>4571319</v>
          </cell>
          <cell r="B1597">
            <v>44169</v>
          </cell>
          <cell r="C1597" t="str">
            <v>PON</v>
          </cell>
          <cell r="D1597">
            <v>637529073</v>
          </cell>
          <cell r="E1597" t="str">
            <v>K20 End 7.B Advance 58XL LDI</v>
          </cell>
          <cell r="F1597">
            <v>1</v>
          </cell>
          <cell r="G1597">
            <v>0</v>
          </cell>
          <cell r="I1597" t="str">
            <v>JD024</v>
          </cell>
          <cell r="L1597">
            <v>35.200000000000003</v>
          </cell>
          <cell r="M1597">
            <v>0.50900000000000001</v>
          </cell>
          <cell r="N1597" t="str">
            <v>5W</v>
          </cell>
          <cell r="P1597" t="str">
            <v>PONFCS</v>
          </cell>
          <cell r="Q1597" t="str">
            <v>/  /</v>
          </cell>
        </row>
        <row r="1598">
          <cell r="A1598">
            <v>4037582</v>
          </cell>
          <cell r="B1598">
            <v>43851</v>
          </cell>
          <cell r="C1598" t="str">
            <v>PON</v>
          </cell>
          <cell r="D1598">
            <v>612007085</v>
          </cell>
          <cell r="E1598" t="str">
            <v>Focus F12 IZ F/S TM 4.0 58XL</v>
          </cell>
          <cell r="F1598">
            <v>1</v>
          </cell>
          <cell r="G1598">
            <v>0</v>
          </cell>
          <cell r="I1598" t="str">
            <v>JD032</v>
          </cell>
          <cell r="L1598">
            <v>5.6</v>
          </cell>
          <cell r="M1598">
            <v>0.20300000000000001</v>
          </cell>
          <cell r="N1598" t="str">
            <v>5W</v>
          </cell>
          <cell r="P1598" t="str">
            <v>PONFCS</v>
          </cell>
          <cell r="Q1598" t="str">
            <v>/  /</v>
          </cell>
        </row>
        <row r="1599">
          <cell r="A1599">
            <v>4036357</v>
          </cell>
          <cell r="B1599">
            <v>43851</v>
          </cell>
          <cell r="C1599" t="str">
            <v>PON</v>
          </cell>
          <cell r="D1599">
            <v>612007905</v>
          </cell>
          <cell r="E1599" t="str">
            <v>FC F12 FS* Raven 29 1.0 SM42</v>
          </cell>
          <cell r="F1599">
            <v>1</v>
          </cell>
          <cell r="G1599">
            <v>0</v>
          </cell>
          <cell r="I1599" t="str">
            <v>JD032</v>
          </cell>
          <cell r="L1599">
            <v>5.4</v>
          </cell>
          <cell r="M1599">
            <v>0.19</v>
          </cell>
          <cell r="N1599" t="str">
            <v>5W</v>
          </cell>
          <cell r="P1599" t="str">
            <v>PONFCS</v>
          </cell>
          <cell r="Q1599" t="str">
            <v>/  /</v>
          </cell>
        </row>
        <row r="1600">
          <cell r="A1600">
            <v>4037609</v>
          </cell>
          <cell r="B1600">
            <v>43851</v>
          </cell>
          <cell r="C1600" t="str">
            <v>PON</v>
          </cell>
          <cell r="D1600">
            <v>613508001</v>
          </cell>
          <cell r="E1600" t="str">
            <v>FC F13 FS IZ Pro 2.0 50 XS Di2</v>
          </cell>
          <cell r="F1600">
            <v>1</v>
          </cell>
          <cell r="G1600">
            <v>0</v>
          </cell>
          <cell r="I1600" t="str">
            <v>JD032</v>
          </cell>
          <cell r="L1600">
            <v>5.8</v>
          </cell>
          <cell r="M1600">
            <v>0.17299999999999999</v>
          </cell>
          <cell r="N1600" t="str">
            <v>5W</v>
          </cell>
          <cell r="P1600" t="str">
            <v>PONFCS</v>
          </cell>
          <cell r="Q1600" t="str">
            <v>/  /</v>
          </cell>
        </row>
        <row r="1601">
          <cell r="A1601">
            <v>4037627</v>
          </cell>
          <cell r="B1601">
            <v>43851</v>
          </cell>
          <cell r="C1601" t="str">
            <v>PON</v>
          </cell>
          <cell r="D1601">
            <v>613508124</v>
          </cell>
          <cell r="E1601" t="str">
            <v>FC F13 FS IZ Team 2.0 54 MDDI2</v>
          </cell>
          <cell r="F1601">
            <v>1</v>
          </cell>
          <cell r="G1601">
            <v>0</v>
          </cell>
          <cell r="I1601" t="str">
            <v>JD032</v>
          </cell>
          <cell r="L1601">
            <v>5.9</v>
          </cell>
          <cell r="M1601">
            <v>0.191</v>
          </cell>
          <cell r="N1601" t="str">
            <v>5W</v>
          </cell>
          <cell r="P1601" t="str">
            <v>PONFCS</v>
          </cell>
          <cell r="Q1601" t="str">
            <v>/  /</v>
          </cell>
        </row>
        <row r="1602">
          <cell r="A1602">
            <v>4037655</v>
          </cell>
          <cell r="B1602">
            <v>43851</v>
          </cell>
          <cell r="C1602" t="str">
            <v>PON</v>
          </cell>
          <cell r="D1602">
            <v>620508061</v>
          </cell>
          <cell r="E1602" t="str">
            <v>FC F15 F/S Cayo 3.0 Disc 51 SM</v>
          </cell>
          <cell r="F1602">
            <v>1</v>
          </cell>
          <cell r="G1602">
            <v>0</v>
          </cell>
          <cell r="I1602" t="str">
            <v>JD032</v>
          </cell>
          <cell r="L1602">
            <v>5.7</v>
          </cell>
          <cell r="M1602">
            <v>0.17299999999999999</v>
          </cell>
          <cell r="N1602" t="str">
            <v>5W</v>
          </cell>
          <cell r="P1602" t="str">
            <v>PONFCS</v>
          </cell>
          <cell r="Q1602" t="str">
            <v>/  /</v>
          </cell>
        </row>
        <row r="1603">
          <cell r="A1603">
            <v>4459079</v>
          </cell>
          <cell r="B1603">
            <v>44112</v>
          </cell>
          <cell r="C1603" t="str">
            <v>PON</v>
          </cell>
          <cell r="D1603">
            <v>641080006</v>
          </cell>
          <cell r="E1603" t="str">
            <v>F21 IZ MAX DISC F/S 961XXL CBN</v>
          </cell>
          <cell r="F1603">
            <v>1</v>
          </cell>
          <cell r="G1603">
            <v>0</v>
          </cell>
          <cell r="I1603" t="str">
            <v>JD032</v>
          </cell>
          <cell r="L1603">
            <v>6.2</v>
          </cell>
          <cell r="M1603">
            <v>0.16400000000000001</v>
          </cell>
          <cell r="N1603" t="str">
            <v>5W</v>
          </cell>
          <cell r="P1603" t="str">
            <v>PONFCS</v>
          </cell>
          <cell r="Q1603" t="str">
            <v>/  /</v>
          </cell>
        </row>
        <row r="1604">
          <cell r="A1604">
            <v>4571301</v>
          </cell>
          <cell r="B1604">
            <v>44169</v>
          </cell>
          <cell r="C1604" t="str">
            <v>PON</v>
          </cell>
          <cell r="D1604">
            <v>637529072</v>
          </cell>
          <cell r="E1604" t="str">
            <v>K20 End 7.B Advance 53L DI</v>
          </cell>
          <cell r="F1604">
            <v>1</v>
          </cell>
          <cell r="G1604">
            <v>0</v>
          </cell>
          <cell r="I1604" t="str">
            <v>JD034</v>
          </cell>
          <cell r="L1604">
            <v>35</v>
          </cell>
          <cell r="M1604">
            <v>0.58399999999999996</v>
          </cell>
          <cell r="N1604" t="str">
            <v>5W</v>
          </cell>
          <cell r="P1604" t="str">
            <v>PONFCS</v>
          </cell>
          <cell r="Q1604" t="str">
            <v>/  /</v>
          </cell>
        </row>
        <row r="1605">
          <cell r="A1605">
            <v>4571302</v>
          </cell>
          <cell r="B1605">
            <v>44169</v>
          </cell>
          <cell r="C1605" t="str">
            <v>PON</v>
          </cell>
          <cell r="D1605">
            <v>637529072</v>
          </cell>
          <cell r="E1605" t="str">
            <v>K20 End 7.B Advance 53L DI</v>
          </cell>
          <cell r="F1605">
            <v>1</v>
          </cell>
          <cell r="G1605">
            <v>0</v>
          </cell>
          <cell r="I1605" t="str">
            <v>JD034</v>
          </cell>
          <cell r="L1605">
            <v>35</v>
          </cell>
          <cell r="M1605">
            <v>0.58399999999999996</v>
          </cell>
          <cell r="N1605" t="str">
            <v>5W</v>
          </cell>
          <cell r="P1605" t="str">
            <v>PONFCS</v>
          </cell>
          <cell r="Q1605" t="str">
            <v>/  /</v>
          </cell>
        </row>
        <row r="1606">
          <cell r="A1606">
            <v>4571303</v>
          </cell>
          <cell r="B1606">
            <v>44169</v>
          </cell>
          <cell r="C1606" t="str">
            <v>PON</v>
          </cell>
          <cell r="D1606">
            <v>637529072</v>
          </cell>
          <cell r="E1606" t="str">
            <v>K20 End 7.B Advance 53L DI</v>
          </cell>
          <cell r="F1606">
            <v>1</v>
          </cell>
          <cell r="G1606">
            <v>0</v>
          </cell>
          <cell r="I1606" t="str">
            <v>JD034</v>
          </cell>
          <cell r="L1606">
            <v>35</v>
          </cell>
          <cell r="M1606">
            <v>0.58399999999999996</v>
          </cell>
          <cell r="N1606" t="str">
            <v>5W</v>
          </cell>
          <cell r="P1606" t="str">
            <v>PONFCS</v>
          </cell>
          <cell r="Q1606" t="str">
            <v>/  /</v>
          </cell>
        </row>
        <row r="1607">
          <cell r="A1607">
            <v>4036422</v>
          </cell>
          <cell r="B1607">
            <v>43851</v>
          </cell>
          <cell r="C1607" t="str">
            <v>PON</v>
          </cell>
          <cell r="D1607">
            <v>614508372</v>
          </cell>
          <cell r="E1607" t="str">
            <v>FC F14 FS Mare CX 4.0 56 CANTI</v>
          </cell>
          <cell r="F1607">
            <v>1</v>
          </cell>
          <cell r="G1607">
            <v>0</v>
          </cell>
          <cell r="I1607" t="str">
            <v>JD042</v>
          </cell>
          <cell r="L1607">
            <v>6.4</v>
          </cell>
          <cell r="M1607">
            <v>0.17499999999999999</v>
          </cell>
          <cell r="N1607" t="str">
            <v>5W</v>
          </cell>
          <cell r="P1607" t="str">
            <v>PONFCS</v>
          </cell>
          <cell r="Q1607" t="str">
            <v>/  /</v>
          </cell>
        </row>
        <row r="1608">
          <cell r="A1608">
            <v>4087262</v>
          </cell>
          <cell r="B1608">
            <v>43851</v>
          </cell>
          <cell r="C1608" t="str">
            <v>PON</v>
          </cell>
          <cell r="D1608">
            <v>614508372</v>
          </cell>
          <cell r="E1608" t="str">
            <v>FC F14 FS Mare CX 4.0 56 CANTI</v>
          </cell>
          <cell r="F1608">
            <v>1</v>
          </cell>
          <cell r="G1608">
            <v>0</v>
          </cell>
          <cell r="I1608" t="str">
            <v>JD042</v>
          </cell>
          <cell r="L1608">
            <v>6.4</v>
          </cell>
          <cell r="M1608">
            <v>0.17499999999999999</v>
          </cell>
          <cell r="N1608" t="str">
            <v>5W</v>
          </cell>
          <cell r="P1608" t="str">
            <v>PONFCS</v>
          </cell>
          <cell r="Q1608" t="str">
            <v>/  /</v>
          </cell>
        </row>
        <row r="1609">
          <cell r="A1609">
            <v>4088519</v>
          </cell>
          <cell r="B1609">
            <v>43851</v>
          </cell>
          <cell r="C1609" t="str">
            <v>PON</v>
          </cell>
          <cell r="D1609">
            <v>614508372</v>
          </cell>
          <cell r="E1609" t="str">
            <v>FC F14 FS Mare CX 4.0 56 CANTI</v>
          </cell>
          <cell r="F1609">
            <v>1</v>
          </cell>
          <cell r="G1609">
            <v>0</v>
          </cell>
          <cell r="I1609" t="str">
            <v>JD042</v>
          </cell>
          <cell r="L1609">
            <v>6.4</v>
          </cell>
          <cell r="M1609">
            <v>0.17499999999999999</v>
          </cell>
          <cell r="N1609" t="str">
            <v>5W</v>
          </cell>
          <cell r="P1609" t="str">
            <v>PONFCS</v>
          </cell>
          <cell r="Q1609" t="str">
            <v>/  /</v>
          </cell>
        </row>
        <row r="1610">
          <cell r="A1610">
            <v>4036432</v>
          </cell>
          <cell r="B1610">
            <v>43851</v>
          </cell>
          <cell r="C1610" t="str">
            <v>PON</v>
          </cell>
          <cell r="D1610">
            <v>620508051</v>
          </cell>
          <cell r="E1610" t="str">
            <v>Focus F15 F/S Cayo 1.0 51 SM</v>
          </cell>
          <cell r="F1610">
            <v>1</v>
          </cell>
          <cell r="G1610">
            <v>0</v>
          </cell>
          <cell r="I1610" t="str">
            <v>JD042</v>
          </cell>
          <cell r="L1610">
            <v>5.4</v>
          </cell>
          <cell r="M1610">
            <v>0.16400000000000001</v>
          </cell>
          <cell r="N1610" t="str">
            <v>5W</v>
          </cell>
          <cell r="P1610" t="str">
            <v>PONFCS</v>
          </cell>
          <cell r="Q1610" t="str">
            <v>/  /</v>
          </cell>
        </row>
        <row r="1611">
          <cell r="A1611">
            <v>3948659</v>
          </cell>
          <cell r="B1611">
            <v>43788</v>
          </cell>
          <cell r="C1611" t="str">
            <v>PON</v>
          </cell>
          <cell r="D1611">
            <v>623508031</v>
          </cell>
          <cell r="E1611" t="str">
            <v>FC F16 F/S IZ Max Disc 50 XS</v>
          </cell>
          <cell r="F1611">
            <v>1</v>
          </cell>
          <cell r="G1611">
            <v>0</v>
          </cell>
          <cell r="I1611" t="str">
            <v>JD042</v>
          </cell>
          <cell r="L1611">
            <v>5.6</v>
          </cell>
          <cell r="M1611">
            <v>0.152</v>
          </cell>
          <cell r="N1611" t="str">
            <v>5W</v>
          </cell>
          <cell r="P1611" t="str">
            <v>PONFCS</v>
          </cell>
          <cell r="Q1611" t="str">
            <v>/  /</v>
          </cell>
        </row>
        <row r="1612">
          <cell r="A1612">
            <v>4571304</v>
          </cell>
          <cell r="B1612">
            <v>44169</v>
          </cell>
          <cell r="C1612" t="str">
            <v>PON</v>
          </cell>
          <cell r="D1612">
            <v>637529072</v>
          </cell>
          <cell r="E1612" t="str">
            <v>K20 End 7.B Advance 53L DI</v>
          </cell>
          <cell r="F1612">
            <v>1</v>
          </cell>
          <cell r="G1612">
            <v>0</v>
          </cell>
          <cell r="I1612" t="str">
            <v>JD043</v>
          </cell>
          <cell r="L1612">
            <v>35</v>
          </cell>
          <cell r="M1612">
            <v>0.58399999999999996</v>
          </cell>
          <cell r="N1612" t="str">
            <v>5W</v>
          </cell>
          <cell r="P1612" t="str">
            <v>PONFCS</v>
          </cell>
          <cell r="Q1612" t="str">
            <v>/  /</v>
          </cell>
        </row>
        <row r="1613">
          <cell r="A1613">
            <v>4571305</v>
          </cell>
          <cell r="B1613">
            <v>44169</v>
          </cell>
          <cell r="C1613" t="str">
            <v>PON</v>
          </cell>
          <cell r="D1613">
            <v>637529072</v>
          </cell>
          <cell r="E1613" t="str">
            <v>K20 End 7.B Advance 53L DI</v>
          </cell>
          <cell r="F1613">
            <v>1</v>
          </cell>
          <cell r="G1613">
            <v>0</v>
          </cell>
          <cell r="I1613" t="str">
            <v>JD043</v>
          </cell>
          <cell r="L1613">
            <v>35</v>
          </cell>
          <cell r="M1613">
            <v>0.58399999999999996</v>
          </cell>
          <cell r="N1613" t="str">
            <v>5W</v>
          </cell>
          <cell r="P1613" t="str">
            <v>PONFCS</v>
          </cell>
          <cell r="Q1613" t="str">
            <v>/  /</v>
          </cell>
        </row>
        <row r="1614">
          <cell r="A1614">
            <v>3946852</v>
          </cell>
          <cell r="B1614">
            <v>43787</v>
          </cell>
          <cell r="C1614" t="str">
            <v>PON</v>
          </cell>
          <cell r="D1614">
            <v>633073302</v>
          </cell>
          <cell r="E1614" t="str">
            <v>CV C20 R3 Dsc F/S 54M Oge Blu</v>
          </cell>
          <cell r="F1614">
            <v>1</v>
          </cell>
          <cell r="G1614">
            <v>0</v>
          </cell>
          <cell r="I1614" t="str">
            <v>JD052</v>
          </cell>
          <cell r="L1614">
            <v>3.8</v>
          </cell>
          <cell r="M1614">
            <v>0.182</v>
          </cell>
          <cell r="N1614" t="str">
            <v>5W</v>
          </cell>
          <cell r="P1614" t="str">
            <v>PONCVL</v>
          </cell>
          <cell r="Q1614" t="str">
            <v>/  /</v>
          </cell>
        </row>
        <row r="1615">
          <cell r="A1615">
            <v>4087521</v>
          </cell>
          <cell r="B1615">
            <v>43787</v>
          </cell>
          <cell r="C1615" t="str">
            <v>PON</v>
          </cell>
          <cell r="D1615">
            <v>633073302</v>
          </cell>
          <cell r="E1615" t="str">
            <v>CV C20 R3 Dsc F/S 54M Oge Blu</v>
          </cell>
          <cell r="F1615">
            <v>1</v>
          </cell>
          <cell r="G1615">
            <v>0</v>
          </cell>
          <cell r="I1615" t="str">
            <v>JD052</v>
          </cell>
          <cell r="L1615">
            <v>3.8</v>
          </cell>
          <cell r="M1615">
            <v>0.182</v>
          </cell>
          <cell r="N1615" t="str">
            <v>5W</v>
          </cell>
          <cell r="P1615" t="str">
            <v>PONCVL</v>
          </cell>
          <cell r="Q1615" t="str">
            <v>/  /</v>
          </cell>
        </row>
        <row r="1616">
          <cell r="A1616">
            <v>4088947</v>
          </cell>
          <cell r="B1616">
            <v>43787</v>
          </cell>
          <cell r="C1616" t="str">
            <v>PON</v>
          </cell>
          <cell r="D1616">
            <v>633073302</v>
          </cell>
          <cell r="E1616" t="str">
            <v>CV C20 R3 Dsc F/S 54M Oge Blu</v>
          </cell>
          <cell r="F1616">
            <v>1</v>
          </cell>
          <cell r="G1616">
            <v>0</v>
          </cell>
          <cell r="I1616" t="str">
            <v>JD052</v>
          </cell>
          <cell r="L1616">
            <v>3.8</v>
          </cell>
          <cell r="M1616">
            <v>0.182</v>
          </cell>
          <cell r="N1616" t="str">
            <v>5W</v>
          </cell>
          <cell r="P1616" t="str">
            <v>PONCVL</v>
          </cell>
          <cell r="Q1616" t="str">
            <v>/  /</v>
          </cell>
        </row>
        <row r="1617">
          <cell r="A1617">
            <v>4088949</v>
          </cell>
          <cell r="B1617">
            <v>43787</v>
          </cell>
          <cell r="C1617" t="str">
            <v>PON</v>
          </cell>
          <cell r="D1617">
            <v>633073312</v>
          </cell>
          <cell r="E1617" t="str">
            <v>CV C19 R3 Dsc F/S 54CM Blk /Wh</v>
          </cell>
          <cell r="F1617">
            <v>1</v>
          </cell>
          <cell r="G1617">
            <v>0</v>
          </cell>
          <cell r="I1617" t="str">
            <v>JD052</v>
          </cell>
          <cell r="L1617">
            <v>3.6</v>
          </cell>
          <cell r="M1617">
            <v>0.182</v>
          </cell>
          <cell r="N1617" t="str">
            <v>5W</v>
          </cell>
          <cell r="P1617" t="str">
            <v>PONCVL</v>
          </cell>
          <cell r="Q1617" t="str">
            <v>/  /</v>
          </cell>
        </row>
        <row r="1618">
          <cell r="A1618">
            <v>4001116</v>
          </cell>
          <cell r="B1618">
            <v>43815</v>
          </cell>
          <cell r="C1618" t="str">
            <v>PON</v>
          </cell>
          <cell r="D1618">
            <v>633073312</v>
          </cell>
          <cell r="E1618" t="str">
            <v>CV C19 R3 Dsc F/S 54CM Blk /Wh</v>
          </cell>
          <cell r="F1618">
            <v>1</v>
          </cell>
          <cell r="G1618">
            <v>0</v>
          </cell>
          <cell r="I1618" t="str">
            <v>JD052</v>
          </cell>
          <cell r="L1618">
            <v>3.6</v>
          </cell>
          <cell r="M1618">
            <v>0.182</v>
          </cell>
          <cell r="N1618" t="str">
            <v>5W</v>
          </cell>
          <cell r="P1618" t="str">
            <v>PONCVL</v>
          </cell>
          <cell r="Q1618" t="str">
            <v>/  /</v>
          </cell>
        </row>
        <row r="1619">
          <cell r="A1619">
            <v>3940624</v>
          </cell>
          <cell r="B1619">
            <v>43784</v>
          </cell>
          <cell r="C1619" t="str">
            <v>PON</v>
          </cell>
          <cell r="D1619">
            <v>633073450</v>
          </cell>
          <cell r="E1619" t="str">
            <v>CV C19S3 RimF/S 48CMGph/Blk/Rd</v>
          </cell>
          <cell r="F1619">
            <v>1</v>
          </cell>
          <cell r="G1619">
            <v>0</v>
          </cell>
          <cell r="I1619" t="str">
            <v>JD062</v>
          </cell>
          <cell r="L1619">
            <v>6.6</v>
          </cell>
          <cell r="M1619">
            <v>0.159</v>
          </cell>
          <cell r="N1619" t="str">
            <v>5W</v>
          </cell>
          <cell r="P1619" t="str">
            <v>PONCVL</v>
          </cell>
          <cell r="Q1619" t="str">
            <v>/  /</v>
          </cell>
        </row>
        <row r="1620">
          <cell r="A1620">
            <v>4081382</v>
          </cell>
          <cell r="B1620">
            <v>43784</v>
          </cell>
          <cell r="C1620" t="str">
            <v>PON</v>
          </cell>
          <cell r="D1620">
            <v>633073450</v>
          </cell>
          <cell r="E1620" t="str">
            <v>CV C19S3 RimF/S 48CMGph/Blk/Rd</v>
          </cell>
          <cell r="F1620">
            <v>1</v>
          </cell>
          <cell r="G1620">
            <v>0</v>
          </cell>
          <cell r="I1620" t="str">
            <v>JD062</v>
          </cell>
          <cell r="L1620">
            <v>6.6</v>
          </cell>
          <cell r="M1620">
            <v>0.159</v>
          </cell>
          <cell r="N1620" t="str">
            <v>5W</v>
          </cell>
          <cell r="P1620" t="str">
            <v>PONCVL</v>
          </cell>
          <cell r="Q1620" t="str">
            <v>/  /</v>
          </cell>
        </row>
        <row r="1621">
          <cell r="A1621">
            <v>4087606</v>
          </cell>
          <cell r="B1621">
            <v>43784</v>
          </cell>
          <cell r="C1621" t="str">
            <v>PON</v>
          </cell>
          <cell r="D1621">
            <v>633080102</v>
          </cell>
          <cell r="E1621" t="str">
            <v>FC F19 IzalcoMx Dsc 9FS 52SSlv</v>
          </cell>
          <cell r="F1621">
            <v>1</v>
          </cell>
          <cell r="G1621">
            <v>0</v>
          </cell>
          <cell r="I1621" t="str">
            <v>JD062</v>
          </cell>
          <cell r="L1621">
            <v>5.9</v>
          </cell>
          <cell r="M1621">
            <v>0.155</v>
          </cell>
          <cell r="N1621" t="str">
            <v>5W</v>
          </cell>
          <cell r="P1621" t="str">
            <v>PONFCS</v>
          </cell>
          <cell r="Q1621" t="str">
            <v>/  /</v>
          </cell>
        </row>
        <row r="1622">
          <cell r="A1622">
            <v>4089404</v>
          </cell>
          <cell r="B1622">
            <v>43784</v>
          </cell>
          <cell r="C1622" t="str">
            <v>PON</v>
          </cell>
          <cell r="D1622">
            <v>633080102</v>
          </cell>
          <cell r="E1622" t="str">
            <v>FC F19 IzalcoMx Dsc 9FS 52SSlv</v>
          </cell>
          <cell r="F1622">
            <v>1</v>
          </cell>
          <cell r="G1622">
            <v>0</v>
          </cell>
          <cell r="I1622" t="str">
            <v>JD062</v>
          </cell>
          <cell r="L1622">
            <v>5.9</v>
          </cell>
          <cell r="M1622">
            <v>0.155</v>
          </cell>
          <cell r="N1622" t="str">
            <v>5W</v>
          </cell>
          <cell r="P1622" t="str">
            <v>PONFCS</v>
          </cell>
          <cell r="Q1622" t="str">
            <v>/  /</v>
          </cell>
        </row>
        <row r="1623">
          <cell r="A1623">
            <v>3896461</v>
          </cell>
          <cell r="B1623">
            <v>43755</v>
          </cell>
          <cell r="C1623" t="str">
            <v>PON</v>
          </cell>
          <cell r="D1623">
            <v>637073129</v>
          </cell>
          <cell r="E1623" t="str">
            <v>CV C20S SerDsc F/S GphBlk Rd56</v>
          </cell>
          <cell r="F1623">
            <v>1</v>
          </cell>
          <cell r="G1623">
            <v>0</v>
          </cell>
          <cell r="I1623" t="str">
            <v>JD062</v>
          </cell>
          <cell r="L1623">
            <v>7.4</v>
          </cell>
          <cell r="M1623">
            <v>0.16900000000000001</v>
          </cell>
          <cell r="N1623" t="str">
            <v>5W</v>
          </cell>
          <cell r="P1623" t="str">
            <v>PONCVL</v>
          </cell>
          <cell r="Q1623" t="str">
            <v>/  /</v>
          </cell>
        </row>
        <row r="1624">
          <cell r="A1624">
            <v>4088317</v>
          </cell>
          <cell r="B1624">
            <v>43755</v>
          </cell>
          <cell r="C1624" t="str">
            <v>PON</v>
          </cell>
          <cell r="D1624">
            <v>637073129</v>
          </cell>
          <cell r="E1624" t="str">
            <v>CV C20S SerDsc F/S GphBlk Rd56</v>
          </cell>
          <cell r="F1624">
            <v>1</v>
          </cell>
          <cell r="G1624">
            <v>0</v>
          </cell>
          <cell r="I1624" t="str">
            <v>JD062</v>
          </cell>
          <cell r="L1624">
            <v>7.4</v>
          </cell>
          <cell r="M1624">
            <v>0.16900000000000001</v>
          </cell>
          <cell r="N1624" t="str">
            <v>5W</v>
          </cell>
          <cell r="P1624" t="str">
            <v>PONCVL</v>
          </cell>
          <cell r="Q1624" t="str">
            <v>/  /</v>
          </cell>
        </row>
        <row r="1625">
          <cell r="A1625">
            <v>4571316</v>
          </cell>
          <cell r="B1625">
            <v>44169</v>
          </cell>
          <cell r="C1625" t="str">
            <v>PON</v>
          </cell>
          <cell r="D1625">
            <v>637529072</v>
          </cell>
          <cell r="E1625" t="str">
            <v>K20 End 7.B Advance 53L DI</v>
          </cell>
          <cell r="F1625">
            <v>1</v>
          </cell>
          <cell r="G1625">
            <v>0</v>
          </cell>
          <cell r="I1625" t="str">
            <v>JD064</v>
          </cell>
          <cell r="L1625">
            <v>35</v>
          </cell>
          <cell r="M1625">
            <v>0.58399999999999996</v>
          </cell>
          <cell r="N1625" t="str">
            <v>5W</v>
          </cell>
          <cell r="P1625" t="str">
            <v>PONFCS</v>
          </cell>
          <cell r="Q1625" t="str">
            <v>/  /</v>
          </cell>
        </row>
        <row r="1626">
          <cell r="A1626">
            <v>4571317</v>
          </cell>
          <cell r="B1626">
            <v>44169</v>
          </cell>
          <cell r="C1626" t="str">
            <v>PON</v>
          </cell>
          <cell r="D1626">
            <v>637529072</v>
          </cell>
          <cell r="E1626" t="str">
            <v>K20 End 7.B Advance 53L DI</v>
          </cell>
          <cell r="F1626">
            <v>1</v>
          </cell>
          <cell r="G1626">
            <v>0</v>
          </cell>
          <cell r="I1626" t="str">
            <v>JD064</v>
          </cell>
          <cell r="L1626">
            <v>35</v>
          </cell>
          <cell r="M1626">
            <v>0.58399999999999996</v>
          </cell>
          <cell r="N1626" t="str">
            <v>5W</v>
          </cell>
          <cell r="P1626" t="str">
            <v>PONFCS</v>
          </cell>
          <cell r="Q1626" t="str">
            <v>/  /</v>
          </cell>
        </row>
        <row r="1627">
          <cell r="A1627">
            <v>3951679</v>
          </cell>
          <cell r="B1627">
            <v>43789</v>
          </cell>
          <cell r="C1627" t="str">
            <v>PON</v>
          </cell>
          <cell r="D1627">
            <v>625073005</v>
          </cell>
          <cell r="E1627" t="str">
            <v>Cervelo C17 F/S S3 Disc 61 Red</v>
          </cell>
          <cell r="F1627">
            <v>1</v>
          </cell>
          <cell r="G1627">
            <v>0</v>
          </cell>
          <cell r="I1627" t="str">
            <v>JD072</v>
          </cell>
          <cell r="L1627">
            <v>6.5</v>
          </cell>
          <cell r="M1627">
            <v>0.17100000000000001</v>
          </cell>
          <cell r="N1627" t="str">
            <v>5W</v>
          </cell>
          <cell r="P1627" t="str">
            <v>PONCVL</v>
          </cell>
          <cell r="Q1627" t="str">
            <v>/  /</v>
          </cell>
        </row>
        <row r="1628">
          <cell r="A1628">
            <v>3951718</v>
          </cell>
          <cell r="B1628">
            <v>43789</v>
          </cell>
          <cell r="C1628" t="str">
            <v>PON</v>
          </cell>
          <cell r="D1628">
            <v>633073022</v>
          </cell>
          <cell r="E1628" t="str">
            <v>CV C19R5 RimF/S 54CMEm/Grn/Flu</v>
          </cell>
          <cell r="F1628">
            <v>1</v>
          </cell>
          <cell r="G1628">
            <v>0</v>
          </cell>
          <cell r="I1628" t="str">
            <v>JD072</v>
          </cell>
          <cell r="L1628">
            <v>5</v>
          </cell>
          <cell r="M1628">
            <v>0.129</v>
          </cell>
          <cell r="N1628" t="str">
            <v>5W</v>
          </cell>
          <cell r="P1628" t="str">
            <v>PONCVL</v>
          </cell>
          <cell r="Q1628" t="str">
            <v>/  /</v>
          </cell>
        </row>
        <row r="1629">
          <cell r="A1629">
            <v>4142878</v>
          </cell>
          <cell r="B1629">
            <v>43916</v>
          </cell>
          <cell r="C1629" t="str">
            <v>PON</v>
          </cell>
          <cell r="D1629">
            <v>633073621</v>
          </cell>
          <cell r="E1629" t="str">
            <v>C19 R5 RIM FRAMESET 51cm B&amp;W</v>
          </cell>
          <cell r="F1629">
            <v>1</v>
          </cell>
          <cell r="G1629">
            <v>0</v>
          </cell>
          <cell r="I1629" t="str">
            <v>JD072</v>
          </cell>
          <cell r="L1629">
            <v>4.8</v>
          </cell>
          <cell r="M1629">
            <v>0.121</v>
          </cell>
          <cell r="N1629" t="str">
            <v>5W</v>
          </cell>
          <cell r="P1629" t="str">
            <v>PONCVL</v>
          </cell>
          <cell r="Q1629" t="str">
            <v>/  /</v>
          </cell>
        </row>
        <row r="1630">
          <cell r="A1630">
            <v>4142881</v>
          </cell>
          <cell r="B1630">
            <v>43916</v>
          </cell>
          <cell r="C1630" t="str">
            <v>PON</v>
          </cell>
          <cell r="D1630">
            <v>633073621</v>
          </cell>
          <cell r="E1630" t="str">
            <v>C19 R5 RIM FRAMESET 51cm B&amp;W</v>
          </cell>
          <cell r="F1630">
            <v>1</v>
          </cell>
          <cell r="G1630">
            <v>0</v>
          </cell>
          <cell r="I1630" t="str">
            <v>JD072</v>
          </cell>
          <cell r="L1630">
            <v>4.8</v>
          </cell>
          <cell r="M1630">
            <v>0.121</v>
          </cell>
          <cell r="N1630" t="str">
            <v>5W</v>
          </cell>
          <cell r="P1630" t="str">
            <v>PONCVL</v>
          </cell>
          <cell r="Q1630" t="str">
            <v>/  /</v>
          </cell>
        </row>
        <row r="1631">
          <cell r="A1631">
            <v>4142883</v>
          </cell>
          <cell r="B1631">
            <v>43916</v>
          </cell>
          <cell r="C1631" t="str">
            <v>PON</v>
          </cell>
          <cell r="D1631">
            <v>633073621</v>
          </cell>
          <cell r="E1631" t="str">
            <v>C19 R5 RIM FRAMESET 51cm B&amp;W</v>
          </cell>
          <cell r="F1631">
            <v>1</v>
          </cell>
          <cell r="G1631">
            <v>0</v>
          </cell>
          <cell r="I1631" t="str">
            <v>JD072</v>
          </cell>
          <cell r="L1631">
            <v>4.8</v>
          </cell>
          <cell r="M1631">
            <v>0.121</v>
          </cell>
          <cell r="N1631" t="str">
            <v>5W</v>
          </cell>
          <cell r="P1631" t="str">
            <v>PONCVL</v>
          </cell>
          <cell r="Q1631" t="str">
            <v>/  /</v>
          </cell>
        </row>
        <row r="1632">
          <cell r="A1632">
            <v>4142968</v>
          </cell>
          <cell r="B1632">
            <v>43916</v>
          </cell>
          <cell r="C1632" t="str">
            <v>PON</v>
          </cell>
          <cell r="D1632">
            <v>633073621</v>
          </cell>
          <cell r="E1632" t="str">
            <v>C19 R5 RIM FRAMESET 51cm B&amp;W</v>
          </cell>
          <cell r="F1632">
            <v>1</v>
          </cell>
          <cell r="G1632">
            <v>0</v>
          </cell>
          <cell r="I1632" t="str">
            <v>JD072</v>
          </cell>
          <cell r="L1632">
            <v>4.8</v>
          </cell>
          <cell r="M1632">
            <v>0.121</v>
          </cell>
          <cell r="N1632" t="str">
            <v>5W</v>
          </cell>
          <cell r="P1632" t="str">
            <v>PONCVL</v>
          </cell>
          <cell r="Q1632" t="str">
            <v>/  /</v>
          </cell>
        </row>
        <row r="1633">
          <cell r="A1633">
            <v>3895687</v>
          </cell>
          <cell r="B1633">
            <v>43752</v>
          </cell>
          <cell r="C1633" t="str">
            <v>PON</v>
          </cell>
          <cell r="D1633">
            <v>633073454</v>
          </cell>
          <cell r="E1633" t="str">
            <v>CV C19S3 RimF/S 58CMGph/Blk/Rd</v>
          </cell>
          <cell r="F1633">
            <v>1</v>
          </cell>
          <cell r="G1633">
            <v>0</v>
          </cell>
          <cell r="I1633" t="str">
            <v>JD082</v>
          </cell>
          <cell r="L1633">
            <v>6.9</v>
          </cell>
          <cell r="M1633">
            <v>0.16700000000000001</v>
          </cell>
          <cell r="N1633" t="str">
            <v>5W</v>
          </cell>
          <cell r="P1633" t="str">
            <v>PONCVL</v>
          </cell>
          <cell r="Q1633" t="str">
            <v>/  /</v>
          </cell>
        </row>
        <row r="1634">
          <cell r="A1634">
            <v>4086634</v>
          </cell>
          <cell r="B1634">
            <v>43780</v>
          </cell>
          <cell r="C1634" t="str">
            <v>PON</v>
          </cell>
          <cell r="D1634">
            <v>637073102</v>
          </cell>
          <cell r="E1634" t="str">
            <v>CV C20S5 Dsc F/S Blk D/LPpl 54</v>
          </cell>
          <cell r="F1634">
            <v>1</v>
          </cell>
          <cell r="G1634">
            <v>0</v>
          </cell>
          <cell r="I1634" t="str">
            <v>JD082</v>
          </cell>
          <cell r="L1634">
            <v>7.2</v>
          </cell>
          <cell r="M1634">
            <v>0.17699999999999999</v>
          </cell>
          <cell r="N1634" t="str">
            <v>5W</v>
          </cell>
          <cell r="P1634" t="str">
            <v>PONCVL</v>
          </cell>
          <cell r="Q1634" t="str">
            <v>/  /</v>
          </cell>
        </row>
        <row r="1635">
          <cell r="A1635">
            <v>4086848</v>
          </cell>
          <cell r="B1635">
            <v>43780</v>
          </cell>
          <cell r="C1635" t="str">
            <v>PON</v>
          </cell>
          <cell r="D1635">
            <v>637073102</v>
          </cell>
          <cell r="E1635" t="str">
            <v>CV C20S5 Dsc F/S Blk D/LPpl 54</v>
          </cell>
          <cell r="F1635">
            <v>1</v>
          </cell>
          <cell r="G1635">
            <v>0</v>
          </cell>
          <cell r="I1635" t="str">
            <v>JD082</v>
          </cell>
          <cell r="L1635">
            <v>7.2</v>
          </cell>
          <cell r="M1635">
            <v>0.17699999999999999</v>
          </cell>
          <cell r="N1635" t="str">
            <v>5W</v>
          </cell>
          <cell r="P1635" t="str">
            <v>PONCVL</v>
          </cell>
          <cell r="Q1635" t="str">
            <v>/  /</v>
          </cell>
        </row>
        <row r="1636">
          <cell r="A1636">
            <v>4086850</v>
          </cell>
          <cell r="B1636">
            <v>43780</v>
          </cell>
          <cell r="C1636" t="str">
            <v>PON</v>
          </cell>
          <cell r="D1636">
            <v>637073102</v>
          </cell>
          <cell r="E1636" t="str">
            <v>CV C20S5 Dsc F/S Blk D/LPpl 54</v>
          </cell>
          <cell r="F1636">
            <v>1</v>
          </cell>
          <cell r="G1636">
            <v>0</v>
          </cell>
          <cell r="I1636" t="str">
            <v>JD082</v>
          </cell>
          <cell r="L1636">
            <v>7.2</v>
          </cell>
          <cell r="M1636">
            <v>0.17699999999999999</v>
          </cell>
          <cell r="N1636" t="str">
            <v>5W</v>
          </cell>
          <cell r="P1636" t="str">
            <v>PONCVL</v>
          </cell>
          <cell r="Q1636" t="str">
            <v>/  /</v>
          </cell>
        </row>
        <row r="1637">
          <cell r="A1637">
            <v>4088024</v>
          </cell>
          <cell r="B1637">
            <v>43780</v>
          </cell>
          <cell r="C1637" t="str">
            <v>PON</v>
          </cell>
          <cell r="D1637">
            <v>637073102</v>
          </cell>
          <cell r="E1637" t="str">
            <v>CV C20S5 Dsc F/S Blk D/LPpl 54</v>
          </cell>
          <cell r="F1637">
            <v>1</v>
          </cell>
          <cell r="G1637">
            <v>0</v>
          </cell>
          <cell r="I1637" t="str">
            <v>JD082</v>
          </cell>
          <cell r="L1637">
            <v>7.2</v>
          </cell>
          <cell r="M1637">
            <v>0.17699999999999999</v>
          </cell>
          <cell r="N1637" t="str">
            <v>5W</v>
          </cell>
          <cell r="P1637" t="str">
            <v>PONCVL</v>
          </cell>
          <cell r="Q1637" t="str">
            <v>/  /</v>
          </cell>
        </row>
        <row r="1638">
          <cell r="A1638">
            <v>4089752</v>
          </cell>
          <cell r="B1638">
            <v>43780</v>
          </cell>
          <cell r="C1638" t="str">
            <v>PON</v>
          </cell>
          <cell r="D1638">
            <v>637073102</v>
          </cell>
          <cell r="E1638" t="str">
            <v>CV C20S5 Dsc F/S Blk D/LPpl 54</v>
          </cell>
          <cell r="F1638">
            <v>1</v>
          </cell>
          <cell r="G1638">
            <v>0</v>
          </cell>
          <cell r="I1638" t="str">
            <v>JD082</v>
          </cell>
          <cell r="L1638">
            <v>7.2</v>
          </cell>
          <cell r="M1638">
            <v>0.17699999999999999</v>
          </cell>
          <cell r="N1638" t="str">
            <v>5W</v>
          </cell>
          <cell r="P1638" t="str">
            <v>PONCVL</v>
          </cell>
          <cell r="Q1638" t="str">
            <v>/  /</v>
          </cell>
        </row>
        <row r="1639">
          <cell r="A1639">
            <v>4587171</v>
          </cell>
          <cell r="B1639">
            <v>44181</v>
          </cell>
          <cell r="C1639" t="str">
            <v>PON</v>
          </cell>
          <cell r="D1639">
            <v>637518153</v>
          </cell>
          <cell r="E1639" t="str">
            <v>F20 JAM2 6.7 NINE 49XL BLUE BH</v>
          </cell>
          <cell r="F1639">
            <v>1</v>
          </cell>
          <cell r="G1639">
            <v>0</v>
          </cell>
          <cell r="I1639" t="str">
            <v>JD084</v>
          </cell>
          <cell r="L1639">
            <v>33.1</v>
          </cell>
          <cell r="M1639">
            <v>0.57599999999999996</v>
          </cell>
          <cell r="N1639" t="str">
            <v>5W</v>
          </cell>
          <cell r="P1639" t="str">
            <v>PONFCS</v>
          </cell>
          <cell r="Q1639" t="str">
            <v>/  /</v>
          </cell>
        </row>
        <row r="1640">
          <cell r="A1640">
            <v>3901057</v>
          </cell>
          <cell r="B1640">
            <v>43759</v>
          </cell>
          <cell r="C1640" t="str">
            <v>PON</v>
          </cell>
          <cell r="D1640">
            <v>625508042</v>
          </cell>
          <cell r="E1640" t="str">
            <v>Focus F17 Cayo Disc F/S 54 MD</v>
          </cell>
          <cell r="F1640">
            <v>1</v>
          </cell>
          <cell r="G1640">
            <v>0</v>
          </cell>
          <cell r="I1640" t="str">
            <v>JD092</v>
          </cell>
          <cell r="L1640">
            <v>6</v>
          </cell>
          <cell r="M1640">
            <v>0.161</v>
          </cell>
          <cell r="N1640" t="str">
            <v>5W</v>
          </cell>
          <cell r="P1640" t="str">
            <v>PONFCS</v>
          </cell>
          <cell r="Q1640" t="str">
            <v>/  /</v>
          </cell>
        </row>
        <row r="1641">
          <cell r="A1641">
            <v>4087336</v>
          </cell>
          <cell r="B1641">
            <v>43759</v>
          </cell>
          <cell r="C1641" t="str">
            <v>PON</v>
          </cell>
          <cell r="D1641">
            <v>625508042</v>
          </cell>
          <cell r="E1641" t="str">
            <v>Focus F17 Cayo Disc F/S 54 MD</v>
          </cell>
          <cell r="F1641">
            <v>1</v>
          </cell>
          <cell r="G1641">
            <v>0</v>
          </cell>
          <cell r="I1641" t="str">
            <v>JD092</v>
          </cell>
          <cell r="L1641">
            <v>6</v>
          </cell>
          <cell r="M1641">
            <v>0.161</v>
          </cell>
          <cell r="N1641" t="str">
            <v>5W</v>
          </cell>
          <cell r="P1641" t="str">
            <v>PONFCS</v>
          </cell>
          <cell r="Q1641" t="str">
            <v>/  /</v>
          </cell>
        </row>
        <row r="1642">
          <cell r="A1642">
            <v>4088637</v>
          </cell>
          <cell r="B1642">
            <v>43759</v>
          </cell>
          <cell r="C1642" t="str">
            <v>PON</v>
          </cell>
          <cell r="D1642">
            <v>625508042</v>
          </cell>
          <cell r="E1642" t="str">
            <v>Focus F17 Cayo Disc F/S 54 MD</v>
          </cell>
          <cell r="F1642">
            <v>1</v>
          </cell>
          <cell r="G1642">
            <v>0</v>
          </cell>
          <cell r="I1642" t="str">
            <v>JD092</v>
          </cell>
          <cell r="L1642">
            <v>6</v>
          </cell>
          <cell r="M1642">
            <v>0.161</v>
          </cell>
          <cell r="N1642" t="str">
            <v>5W</v>
          </cell>
          <cell r="P1642" t="str">
            <v>PONFCS</v>
          </cell>
          <cell r="Q1642" t="str">
            <v>/  /</v>
          </cell>
        </row>
        <row r="1643">
          <cell r="A1643">
            <v>3901059</v>
          </cell>
          <cell r="B1643">
            <v>43759</v>
          </cell>
          <cell r="C1643" t="str">
            <v>PON</v>
          </cell>
          <cell r="D1643">
            <v>625508043</v>
          </cell>
          <cell r="E1643" t="str">
            <v>Focus F17 Cayo Disc F/S 57 LG</v>
          </cell>
          <cell r="F1643">
            <v>1</v>
          </cell>
          <cell r="G1643">
            <v>0</v>
          </cell>
          <cell r="I1643" t="str">
            <v>JD092</v>
          </cell>
          <cell r="L1643">
            <v>7</v>
          </cell>
          <cell r="M1643">
            <v>0.17</v>
          </cell>
          <cell r="N1643" t="str">
            <v>5W</v>
          </cell>
          <cell r="P1643" t="str">
            <v>PONFCS</v>
          </cell>
          <cell r="Q1643" t="str">
            <v>/  /</v>
          </cell>
        </row>
        <row r="1644">
          <cell r="A1644">
            <v>4081054</v>
          </cell>
          <cell r="B1644">
            <v>43759</v>
          </cell>
          <cell r="C1644" t="str">
            <v>PON</v>
          </cell>
          <cell r="D1644">
            <v>625508043</v>
          </cell>
          <cell r="E1644" t="str">
            <v>Focus F17 Cayo Disc F/S 57 LG</v>
          </cell>
          <cell r="F1644">
            <v>1</v>
          </cell>
          <cell r="G1644">
            <v>0</v>
          </cell>
          <cell r="I1644" t="str">
            <v>JD092</v>
          </cell>
          <cell r="L1644">
            <v>7</v>
          </cell>
          <cell r="M1644">
            <v>0.17</v>
          </cell>
          <cell r="N1644" t="str">
            <v>5W</v>
          </cell>
          <cell r="P1644" t="str">
            <v>PONFCS</v>
          </cell>
          <cell r="Q1644" t="str">
            <v>/  /</v>
          </cell>
        </row>
        <row r="1645">
          <cell r="A1645">
            <v>4459073</v>
          </cell>
          <cell r="B1645">
            <v>44112</v>
          </cell>
          <cell r="C1645" t="str">
            <v>PON</v>
          </cell>
          <cell r="D1645">
            <v>641080004</v>
          </cell>
          <cell r="E1645" t="str">
            <v>F21 IZ MAX DISC F/S 9 56L CBN</v>
          </cell>
          <cell r="F1645">
            <v>1</v>
          </cell>
          <cell r="G1645">
            <v>0</v>
          </cell>
          <cell r="I1645" t="str">
            <v>JD092</v>
          </cell>
          <cell r="L1645">
            <v>5.9</v>
          </cell>
          <cell r="M1645">
            <v>0.13800000000000001</v>
          </cell>
          <cell r="N1645" t="str">
            <v>5W</v>
          </cell>
          <cell r="P1645" t="str">
            <v>PONFCS</v>
          </cell>
          <cell r="Q1645" t="str">
            <v>/  /</v>
          </cell>
        </row>
        <row r="1646">
          <cell r="A1646">
            <v>3971840</v>
          </cell>
          <cell r="B1646">
            <v>43802</v>
          </cell>
          <cell r="C1646" t="str">
            <v>PON</v>
          </cell>
          <cell r="D1646">
            <v>614508091</v>
          </cell>
          <cell r="E1646" t="str">
            <v>FC F14 FS IZ Team 4.0 50 XS</v>
          </cell>
          <cell r="F1646">
            <v>1</v>
          </cell>
          <cell r="G1646">
            <v>0</v>
          </cell>
          <cell r="I1646" t="str">
            <v>JD102</v>
          </cell>
          <cell r="L1646">
            <v>5.6</v>
          </cell>
          <cell r="M1646">
            <v>0.16</v>
          </cell>
          <cell r="N1646" t="str">
            <v>5W</v>
          </cell>
          <cell r="P1646" t="str">
            <v>PONFCS</v>
          </cell>
          <cell r="Q1646" t="str">
            <v>/  /</v>
          </cell>
        </row>
        <row r="1647">
          <cell r="A1647">
            <v>4080967</v>
          </cell>
          <cell r="B1647">
            <v>43802</v>
          </cell>
          <cell r="C1647" t="str">
            <v>PON</v>
          </cell>
          <cell r="D1647">
            <v>614508091</v>
          </cell>
          <cell r="E1647" t="str">
            <v>FC F14 FS IZ Team 4.0 50 XS</v>
          </cell>
          <cell r="F1647">
            <v>1</v>
          </cell>
          <cell r="G1647">
            <v>0</v>
          </cell>
          <cell r="I1647" t="str">
            <v>JD102</v>
          </cell>
          <cell r="L1647">
            <v>5.6</v>
          </cell>
          <cell r="M1647">
            <v>0.16</v>
          </cell>
          <cell r="N1647" t="str">
            <v>5W</v>
          </cell>
          <cell r="P1647" t="str">
            <v>PONFCS</v>
          </cell>
          <cell r="Q1647" t="str">
            <v>/  /</v>
          </cell>
        </row>
        <row r="1648">
          <cell r="A1648">
            <v>3911473</v>
          </cell>
          <cell r="B1648">
            <v>43766</v>
          </cell>
          <cell r="C1648" t="str">
            <v>PON</v>
          </cell>
          <cell r="D1648">
            <v>628508400</v>
          </cell>
          <cell r="E1648" t="str">
            <v>Focus F18 Mares Rapha F/S 48XS</v>
          </cell>
          <cell r="F1648">
            <v>1</v>
          </cell>
          <cell r="G1648">
            <v>0</v>
          </cell>
          <cell r="I1648" t="str">
            <v>JD102</v>
          </cell>
          <cell r="L1648">
            <v>5.9</v>
          </cell>
          <cell r="M1648">
            <v>0.14499999999999999</v>
          </cell>
          <cell r="N1648" t="str">
            <v>5W</v>
          </cell>
          <cell r="P1648" t="str">
            <v>PONFCS</v>
          </cell>
          <cell r="Q1648" t="str">
            <v>/  /</v>
          </cell>
        </row>
        <row r="1649">
          <cell r="A1649">
            <v>4081143</v>
          </cell>
          <cell r="B1649">
            <v>43766</v>
          </cell>
          <cell r="C1649" t="str">
            <v>PON</v>
          </cell>
          <cell r="D1649">
            <v>628508400</v>
          </cell>
          <cell r="E1649" t="str">
            <v>Focus F18 Mares Rapha F/S 48XS</v>
          </cell>
          <cell r="F1649">
            <v>1</v>
          </cell>
          <cell r="G1649">
            <v>0</v>
          </cell>
          <cell r="I1649" t="str">
            <v>JD102</v>
          </cell>
          <cell r="L1649">
            <v>5.9</v>
          </cell>
          <cell r="M1649">
            <v>0.14499999999999999</v>
          </cell>
          <cell r="N1649" t="str">
            <v>5W</v>
          </cell>
          <cell r="P1649" t="str">
            <v>PONFCS</v>
          </cell>
          <cell r="Q1649" t="str">
            <v>/  /</v>
          </cell>
        </row>
        <row r="1650">
          <cell r="A1650">
            <v>4459056</v>
          </cell>
          <cell r="B1650">
            <v>44112</v>
          </cell>
          <cell r="C1650" t="str">
            <v>PON</v>
          </cell>
          <cell r="D1650">
            <v>641080003</v>
          </cell>
          <cell r="E1650" t="str">
            <v>F21 IZ MAX DISC F/S 9 54M CBN</v>
          </cell>
          <cell r="F1650">
            <v>1</v>
          </cell>
          <cell r="G1650">
            <v>0</v>
          </cell>
          <cell r="I1650" t="str">
            <v>JD102</v>
          </cell>
          <cell r="L1650">
            <v>5.9</v>
          </cell>
          <cell r="M1650">
            <v>0.13800000000000001</v>
          </cell>
          <cell r="N1650" t="str">
            <v>5W</v>
          </cell>
          <cell r="P1650" t="str">
            <v>PONFCS</v>
          </cell>
          <cell r="Q1650" t="str">
            <v>/  /</v>
          </cell>
        </row>
        <row r="1651">
          <cell r="A1651">
            <v>4459057</v>
          </cell>
          <cell r="B1651">
            <v>44112</v>
          </cell>
          <cell r="C1651" t="str">
            <v>PON</v>
          </cell>
          <cell r="D1651">
            <v>641080003</v>
          </cell>
          <cell r="E1651" t="str">
            <v>F21 IZ MAX DISC F/S 9 54M CBN</v>
          </cell>
          <cell r="F1651">
            <v>1</v>
          </cell>
          <cell r="G1651">
            <v>0</v>
          </cell>
          <cell r="I1651" t="str">
            <v>JD102</v>
          </cell>
          <cell r="L1651">
            <v>5.9</v>
          </cell>
          <cell r="M1651">
            <v>0.13800000000000001</v>
          </cell>
          <cell r="N1651" t="str">
            <v>5W</v>
          </cell>
          <cell r="P1651" t="str">
            <v>PONFCS</v>
          </cell>
          <cell r="Q1651" t="str">
            <v>/  /</v>
          </cell>
        </row>
        <row r="1652">
          <cell r="A1652">
            <v>4587144</v>
          </cell>
          <cell r="B1652">
            <v>44181</v>
          </cell>
          <cell r="C1652" t="str">
            <v>PON</v>
          </cell>
          <cell r="D1652">
            <v>637518142</v>
          </cell>
          <cell r="E1652" t="str">
            <v>F20 JAM2 6.7 NINE 45L BLK BSCH</v>
          </cell>
          <cell r="F1652">
            <v>1</v>
          </cell>
          <cell r="G1652">
            <v>0</v>
          </cell>
          <cell r="I1652" t="str">
            <v>JD104</v>
          </cell>
          <cell r="L1652">
            <v>32.700000000000003</v>
          </cell>
          <cell r="M1652">
            <v>0.57799999999999996</v>
          </cell>
          <cell r="N1652" t="str">
            <v>5W</v>
          </cell>
          <cell r="P1652" t="str">
            <v>PONFCS</v>
          </cell>
          <cell r="Q1652" t="str">
            <v>/  /</v>
          </cell>
        </row>
        <row r="1653">
          <cell r="A1653">
            <v>4587145</v>
          </cell>
          <cell r="B1653">
            <v>44181</v>
          </cell>
          <cell r="C1653" t="str">
            <v>PON</v>
          </cell>
          <cell r="D1653">
            <v>637518142</v>
          </cell>
          <cell r="E1653" t="str">
            <v>F20 JAM2 6.7 NINE 45L BLK BSCH</v>
          </cell>
          <cell r="F1653">
            <v>1</v>
          </cell>
          <cell r="G1653">
            <v>0</v>
          </cell>
          <cell r="I1653" t="str">
            <v>JD104</v>
          </cell>
          <cell r="L1653">
            <v>32.700000000000003</v>
          </cell>
          <cell r="M1653">
            <v>0.57799999999999996</v>
          </cell>
          <cell r="N1653" t="str">
            <v>5W</v>
          </cell>
          <cell r="P1653" t="str">
            <v>PONFCS</v>
          </cell>
          <cell r="Q1653" t="str">
            <v>/  /</v>
          </cell>
        </row>
        <row r="1654">
          <cell r="A1654">
            <v>3896876</v>
          </cell>
          <cell r="B1654">
            <v>43752</v>
          </cell>
          <cell r="C1654" t="str">
            <v>PON</v>
          </cell>
          <cell r="D1654">
            <v>628073120</v>
          </cell>
          <cell r="E1654" t="str">
            <v>CVC18 R5Disc FS 48 XS Blk/G</v>
          </cell>
          <cell r="F1654">
            <v>1</v>
          </cell>
          <cell r="G1654">
            <v>0</v>
          </cell>
          <cell r="I1654" t="str">
            <v>JD112</v>
          </cell>
          <cell r="L1654">
            <v>6</v>
          </cell>
          <cell r="M1654">
            <v>0.14000000000000001</v>
          </cell>
          <cell r="N1654" t="str">
            <v>5W</v>
          </cell>
          <cell r="P1654" t="str">
            <v>PONCVL</v>
          </cell>
          <cell r="Q1654" t="str">
            <v>/  /</v>
          </cell>
        </row>
        <row r="1655">
          <cell r="A1655">
            <v>3944644</v>
          </cell>
          <cell r="B1655">
            <v>43787</v>
          </cell>
          <cell r="C1655" t="str">
            <v>PON</v>
          </cell>
          <cell r="D1655">
            <v>633073064</v>
          </cell>
          <cell r="E1655" t="str">
            <v>CV C19 R5 Rim F/S 58CM Blk/Cr</v>
          </cell>
          <cell r="F1655">
            <v>1</v>
          </cell>
          <cell r="G1655">
            <v>0</v>
          </cell>
          <cell r="I1655" t="str">
            <v>JD112</v>
          </cell>
          <cell r="J1655">
            <v>1</v>
          </cell>
          <cell r="L1655">
            <v>5.3</v>
          </cell>
          <cell r="M1655">
            <v>0.13800000000000001</v>
          </cell>
          <cell r="N1655" t="str">
            <v>5W</v>
          </cell>
          <cell r="P1655" t="str">
            <v>PONCVL</v>
          </cell>
          <cell r="Q1655" t="str">
            <v>/  /</v>
          </cell>
        </row>
        <row r="1656">
          <cell r="A1656">
            <v>4081353</v>
          </cell>
          <cell r="B1656">
            <v>43787</v>
          </cell>
          <cell r="C1656" t="str">
            <v>PON</v>
          </cell>
          <cell r="D1656">
            <v>633073064</v>
          </cell>
          <cell r="E1656" t="str">
            <v>CV C19 R5 Rim F/S 58CM Blk/Cr</v>
          </cell>
          <cell r="F1656">
            <v>1</v>
          </cell>
          <cell r="G1656">
            <v>0</v>
          </cell>
          <cell r="I1656" t="str">
            <v>JD112</v>
          </cell>
          <cell r="J1656">
            <v>1</v>
          </cell>
          <cell r="L1656">
            <v>5.3</v>
          </cell>
          <cell r="M1656">
            <v>0.13800000000000001</v>
          </cell>
          <cell r="N1656" t="str">
            <v>5W</v>
          </cell>
          <cell r="P1656" t="str">
            <v>PONCVL</v>
          </cell>
          <cell r="Q1656" t="str">
            <v>/  /</v>
          </cell>
        </row>
        <row r="1657">
          <cell r="A1657">
            <v>3932991</v>
          </cell>
          <cell r="B1657">
            <v>43780</v>
          </cell>
          <cell r="C1657" t="str">
            <v>PON</v>
          </cell>
          <cell r="D1657">
            <v>637073047</v>
          </cell>
          <cell r="E1657" t="str">
            <v>CV C20 P ser Dsc F/S D-L/T 51</v>
          </cell>
          <cell r="F1657">
            <v>1</v>
          </cell>
          <cell r="G1657">
            <v>0</v>
          </cell>
          <cell r="I1657" t="str">
            <v>JD112</v>
          </cell>
          <cell r="L1657">
            <v>7</v>
          </cell>
          <cell r="M1657">
            <v>0.16900000000000001</v>
          </cell>
          <cell r="N1657" t="str">
            <v>5W</v>
          </cell>
          <cell r="P1657" t="str">
            <v>PONCVL</v>
          </cell>
          <cell r="Q1657" t="str">
            <v>/  /</v>
          </cell>
        </row>
        <row r="1658">
          <cell r="A1658">
            <v>4459058</v>
          </cell>
          <cell r="B1658">
            <v>44112</v>
          </cell>
          <cell r="C1658" t="str">
            <v>PON</v>
          </cell>
          <cell r="D1658">
            <v>641080003</v>
          </cell>
          <cell r="E1658" t="str">
            <v>F21 IZ MAX DISC F/S 9 54M CBN</v>
          </cell>
          <cell r="F1658">
            <v>1</v>
          </cell>
          <cell r="G1658">
            <v>0</v>
          </cell>
          <cell r="I1658" t="str">
            <v>JD112</v>
          </cell>
          <cell r="L1658">
            <v>5.9</v>
          </cell>
          <cell r="M1658">
            <v>0.13800000000000001</v>
          </cell>
          <cell r="N1658" t="str">
            <v>5W</v>
          </cell>
          <cell r="P1658" t="str">
            <v>PONFCS</v>
          </cell>
          <cell r="Q1658" t="str">
            <v>/  /</v>
          </cell>
        </row>
        <row r="1659">
          <cell r="A1659">
            <v>4459059</v>
          </cell>
          <cell r="B1659">
            <v>44112</v>
          </cell>
          <cell r="C1659" t="str">
            <v>PON</v>
          </cell>
          <cell r="D1659">
            <v>641080003</v>
          </cell>
          <cell r="E1659" t="str">
            <v>F21 IZ MAX DISC F/S 9 54M CBN</v>
          </cell>
          <cell r="F1659">
            <v>1</v>
          </cell>
          <cell r="G1659">
            <v>0</v>
          </cell>
          <cell r="I1659" t="str">
            <v>JD112</v>
          </cell>
          <cell r="L1659">
            <v>5.9</v>
          </cell>
          <cell r="M1659">
            <v>0.13800000000000001</v>
          </cell>
          <cell r="N1659" t="str">
            <v>5W</v>
          </cell>
          <cell r="P1659" t="str">
            <v>PONFCS</v>
          </cell>
          <cell r="Q1659" t="str">
            <v>/  /</v>
          </cell>
        </row>
        <row r="1660">
          <cell r="A1660">
            <v>4644080</v>
          </cell>
          <cell r="B1660">
            <v>44225</v>
          </cell>
          <cell r="C1660" t="str">
            <v>PON</v>
          </cell>
          <cell r="D1660">
            <v>637518108</v>
          </cell>
          <cell r="E1660" t="str">
            <v>F20 JAM2 6.8 NINE 49XL BK BSCH</v>
          </cell>
          <cell r="F1660">
            <v>1</v>
          </cell>
          <cell r="G1660">
            <v>0</v>
          </cell>
          <cell r="I1660" t="str">
            <v>JD113</v>
          </cell>
          <cell r="L1660">
            <v>32.9</v>
          </cell>
          <cell r="M1660">
            <v>0.58099999999999996</v>
          </cell>
          <cell r="N1660" t="str">
            <v>5W</v>
          </cell>
          <cell r="P1660" t="str">
            <v>PONFCS</v>
          </cell>
          <cell r="Q1660" t="str">
            <v>/  /</v>
          </cell>
        </row>
        <row r="1661">
          <cell r="A1661">
            <v>4644081</v>
          </cell>
          <cell r="B1661">
            <v>44225</v>
          </cell>
          <cell r="C1661" t="str">
            <v>PON</v>
          </cell>
          <cell r="D1661">
            <v>637518108</v>
          </cell>
          <cell r="E1661" t="str">
            <v>F20 JAM2 6.8 NINE 49XL BK BSCH</v>
          </cell>
          <cell r="F1661">
            <v>1</v>
          </cell>
          <cell r="G1661">
            <v>0</v>
          </cell>
          <cell r="I1661" t="str">
            <v>JD113</v>
          </cell>
          <cell r="L1661">
            <v>32.9</v>
          </cell>
          <cell r="M1661">
            <v>0.58099999999999996</v>
          </cell>
          <cell r="N1661" t="str">
            <v>5W</v>
          </cell>
          <cell r="P1661" t="str">
            <v>PONFCS</v>
          </cell>
          <cell r="Q1661" t="str">
            <v>/  /</v>
          </cell>
        </row>
        <row r="1662">
          <cell r="A1662">
            <v>4644082</v>
          </cell>
          <cell r="B1662">
            <v>44225</v>
          </cell>
          <cell r="C1662" t="str">
            <v>PON</v>
          </cell>
          <cell r="D1662">
            <v>637518108</v>
          </cell>
          <cell r="E1662" t="str">
            <v>F20 JAM2 6.8 NINE 49XL BK BSCH</v>
          </cell>
          <cell r="F1662">
            <v>1</v>
          </cell>
          <cell r="G1662">
            <v>0</v>
          </cell>
          <cell r="I1662" t="str">
            <v>JD113</v>
          </cell>
          <cell r="L1662">
            <v>32.9</v>
          </cell>
          <cell r="M1662">
            <v>0.58099999999999996</v>
          </cell>
          <cell r="N1662" t="str">
            <v>5W</v>
          </cell>
          <cell r="P1662" t="str">
            <v>PONFCS</v>
          </cell>
          <cell r="Q1662" t="str">
            <v>/  /</v>
          </cell>
        </row>
        <row r="1663">
          <cell r="A1663">
            <v>4587164</v>
          </cell>
          <cell r="B1663">
            <v>44181</v>
          </cell>
          <cell r="C1663" t="str">
            <v>PON</v>
          </cell>
          <cell r="D1663">
            <v>637518143</v>
          </cell>
          <cell r="E1663" t="str">
            <v>F20 Jam2 6.7 Nine 49XL Black</v>
          </cell>
          <cell r="F1663">
            <v>1</v>
          </cell>
          <cell r="G1663">
            <v>0</v>
          </cell>
          <cell r="I1663" t="str">
            <v>JD113</v>
          </cell>
          <cell r="L1663">
            <v>33.9</v>
          </cell>
          <cell r="M1663">
            <v>0.58099999999999996</v>
          </cell>
          <cell r="N1663" t="str">
            <v>5W</v>
          </cell>
          <cell r="P1663" t="str">
            <v>PONFCS</v>
          </cell>
          <cell r="Q1663" t="str">
            <v>/  /</v>
          </cell>
        </row>
        <row r="1664">
          <cell r="A1664">
            <v>4587165</v>
          </cell>
          <cell r="B1664">
            <v>44181</v>
          </cell>
          <cell r="C1664" t="str">
            <v>PON</v>
          </cell>
          <cell r="D1664">
            <v>637518143</v>
          </cell>
          <cell r="E1664" t="str">
            <v>F20 Jam2 6.7 Nine 49XL Black</v>
          </cell>
          <cell r="F1664">
            <v>1</v>
          </cell>
          <cell r="G1664">
            <v>0</v>
          </cell>
          <cell r="I1664" t="str">
            <v>JD113</v>
          </cell>
          <cell r="L1664">
            <v>33.9</v>
          </cell>
          <cell r="M1664">
            <v>0.58099999999999996</v>
          </cell>
          <cell r="N1664" t="str">
            <v>5W</v>
          </cell>
          <cell r="P1664" t="str">
            <v>PONFCS</v>
          </cell>
          <cell r="Q1664" t="str">
            <v>/  /</v>
          </cell>
        </row>
        <row r="1665">
          <cell r="A1665">
            <v>4587177</v>
          </cell>
          <cell r="B1665">
            <v>44181</v>
          </cell>
          <cell r="C1665" t="str">
            <v>PON</v>
          </cell>
          <cell r="D1665">
            <v>641517321</v>
          </cell>
          <cell r="E1665" t="str">
            <v>F21 Planet2 5.8 Grey Wa M</v>
          </cell>
          <cell r="F1665">
            <v>1</v>
          </cell>
          <cell r="G1665">
            <v>0</v>
          </cell>
          <cell r="I1665" t="str">
            <v>JD114</v>
          </cell>
          <cell r="L1665">
            <v>18.600000000000001</v>
          </cell>
          <cell r="M1665">
            <v>0.55000000000000004</v>
          </cell>
          <cell r="N1665" t="str">
            <v>5W</v>
          </cell>
          <cell r="P1665" t="str">
            <v>PONFCS</v>
          </cell>
          <cell r="Q1665" t="str">
            <v>/  /</v>
          </cell>
        </row>
        <row r="1666">
          <cell r="A1666">
            <v>4587178</v>
          </cell>
          <cell r="B1666">
            <v>44181</v>
          </cell>
          <cell r="C1666" t="str">
            <v>PON</v>
          </cell>
          <cell r="D1666">
            <v>641517321</v>
          </cell>
          <cell r="E1666" t="str">
            <v>F21 Planet2 5.8 Grey Wa M</v>
          </cell>
          <cell r="F1666">
            <v>1</v>
          </cell>
          <cell r="G1666">
            <v>0</v>
          </cell>
          <cell r="I1666" t="str">
            <v>JD114</v>
          </cell>
          <cell r="L1666">
            <v>18.600000000000001</v>
          </cell>
          <cell r="M1666">
            <v>0.55000000000000004</v>
          </cell>
          <cell r="N1666" t="str">
            <v>5W</v>
          </cell>
          <cell r="P1666" t="str">
            <v>PONFCS</v>
          </cell>
          <cell r="Q1666" t="str">
            <v>/  /</v>
          </cell>
        </row>
        <row r="1667">
          <cell r="A1667">
            <v>4587179</v>
          </cell>
          <cell r="B1667">
            <v>44181</v>
          </cell>
          <cell r="C1667" t="str">
            <v>PON</v>
          </cell>
          <cell r="D1667">
            <v>641517321</v>
          </cell>
          <cell r="E1667" t="str">
            <v>F21 Planet2 5.8 Grey Wa M</v>
          </cell>
          <cell r="F1667">
            <v>1</v>
          </cell>
          <cell r="G1667">
            <v>0</v>
          </cell>
          <cell r="I1667" t="str">
            <v>JD114</v>
          </cell>
          <cell r="L1667">
            <v>18.600000000000001</v>
          </cell>
          <cell r="M1667">
            <v>0.55000000000000004</v>
          </cell>
          <cell r="N1667" t="str">
            <v>5W</v>
          </cell>
          <cell r="P1667" t="str">
            <v>PONFCS</v>
          </cell>
          <cell r="Q1667" t="str">
            <v>/  /</v>
          </cell>
        </row>
        <row r="1668">
          <cell r="A1668">
            <v>4587180</v>
          </cell>
          <cell r="B1668">
            <v>44181</v>
          </cell>
          <cell r="C1668" t="str">
            <v>PON</v>
          </cell>
          <cell r="D1668">
            <v>641517321</v>
          </cell>
          <cell r="E1668" t="str">
            <v>F21 Planet2 5.8 Grey Wa M</v>
          </cell>
          <cell r="F1668">
            <v>1</v>
          </cell>
          <cell r="G1668">
            <v>0</v>
          </cell>
          <cell r="I1668" t="str">
            <v>JD114</v>
          </cell>
          <cell r="L1668">
            <v>18.600000000000001</v>
          </cell>
          <cell r="M1668">
            <v>0.55000000000000004</v>
          </cell>
          <cell r="N1668" t="str">
            <v>5W</v>
          </cell>
          <cell r="P1668" t="str">
            <v>PONFCS</v>
          </cell>
          <cell r="Q1668" t="str">
            <v>/  /</v>
          </cell>
        </row>
        <row r="1669">
          <cell r="A1669">
            <v>4587080</v>
          </cell>
          <cell r="B1669">
            <v>44181</v>
          </cell>
          <cell r="C1669" t="str">
            <v>PON</v>
          </cell>
          <cell r="D1669">
            <v>637019381</v>
          </cell>
          <cell r="E1669" t="str">
            <v>F21 Whistler 3.5 S40 F Orange</v>
          </cell>
          <cell r="F1669">
            <v>1</v>
          </cell>
          <cell r="G1669">
            <v>0</v>
          </cell>
          <cell r="I1669" t="str">
            <v>JD121</v>
          </cell>
          <cell r="L1669">
            <v>19.600000000000001</v>
          </cell>
          <cell r="M1669">
            <v>0.38700000000000001</v>
          </cell>
          <cell r="N1669" t="str">
            <v>5W</v>
          </cell>
          <cell r="P1669" t="str">
            <v>PONFCS</v>
          </cell>
          <cell r="Q1669" t="str">
            <v>/  /</v>
          </cell>
        </row>
        <row r="1670">
          <cell r="A1670">
            <v>4587081</v>
          </cell>
          <cell r="B1670">
            <v>44181</v>
          </cell>
          <cell r="C1670" t="str">
            <v>PON</v>
          </cell>
          <cell r="D1670">
            <v>637019381</v>
          </cell>
          <cell r="E1670" t="str">
            <v>F21 Whistler 3.5 S40 F Orange</v>
          </cell>
          <cell r="F1670">
            <v>1</v>
          </cell>
          <cell r="G1670">
            <v>0</v>
          </cell>
          <cell r="I1670" t="str">
            <v>JD121</v>
          </cell>
          <cell r="L1670">
            <v>19.600000000000001</v>
          </cell>
          <cell r="M1670">
            <v>0.38700000000000001</v>
          </cell>
          <cell r="N1670" t="str">
            <v>5W</v>
          </cell>
          <cell r="P1670" t="str">
            <v>PONFCS</v>
          </cell>
          <cell r="Q1670" t="str">
            <v>/  /</v>
          </cell>
        </row>
        <row r="1671">
          <cell r="A1671">
            <v>4088312</v>
          </cell>
          <cell r="B1671">
            <v>43780</v>
          </cell>
          <cell r="C1671" t="str">
            <v>PON</v>
          </cell>
          <cell r="D1671">
            <v>637073122</v>
          </cell>
          <cell r="E1671" t="str">
            <v>CV C20S SerDscF/S Wh/Oge/Bur54</v>
          </cell>
          <cell r="F1671">
            <v>1</v>
          </cell>
          <cell r="G1671">
            <v>0</v>
          </cell>
          <cell r="I1671" t="str">
            <v>JD122</v>
          </cell>
          <cell r="L1671">
            <v>7.4</v>
          </cell>
          <cell r="M1671">
            <v>0.187</v>
          </cell>
          <cell r="N1671" t="str">
            <v>5W</v>
          </cell>
          <cell r="P1671" t="str">
            <v>PONCVL</v>
          </cell>
          <cell r="Q1671" t="str">
            <v>/  /</v>
          </cell>
        </row>
        <row r="1672">
          <cell r="A1672">
            <v>3933016</v>
          </cell>
          <cell r="B1672">
            <v>43780</v>
          </cell>
          <cell r="C1672" t="str">
            <v>PON</v>
          </cell>
          <cell r="D1672">
            <v>637073123</v>
          </cell>
          <cell r="E1672" t="str">
            <v>CV C20S SerDscF/S Wh/Oge/Bur56</v>
          </cell>
          <cell r="F1672">
            <v>1</v>
          </cell>
          <cell r="G1672">
            <v>0</v>
          </cell>
          <cell r="I1672" t="str">
            <v>JD122</v>
          </cell>
          <cell r="L1672">
            <v>7.5</v>
          </cell>
          <cell r="M1672">
            <v>0.16900000000000001</v>
          </cell>
          <cell r="N1672" t="str">
            <v>5W</v>
          </cell>
          <cell r="P1672" t="str">
            <v>PONCVL</v>
          </cell>
          <cell r="Q1672" t="str">
            <v>/  /</v>
          </cell>
        </row>
        <row r="1673">
          <cell r="A1673">
            <v>4088313</v>
          </cell>
          <cell r="B1673">
            <v>43780</v>
          </cell>
          <cell r="C1673" t="str">
            <v>PON</v>
          </cell>
          <cell r="D1673">
            <v>637073123</v>
          </cell>
          <cell r="E1673" t="str">
            <v>CV C20S SerDscF/S Wh/Oge/Bur56</v>
          </cell>
          <cell r="F1673">
            <v>1</v>
          </cell>
          <cell r="G1673">
            <v>0</v>
          </cell>
          <cell r="I1673" t="str">
            <v>JD122</v>
          </cell>
          <cell r="L1673">
            <v>7.5</v>
          </cell>
          <cell r="M1673">
            <v>0.16900000000000001</v>
          </cell>
          <cell r="N1673" t="str">
            <v>5W</v>
          </cell>
          <cell r="P1673" t="str">
            <v>PONCVL</v>
          </cell>
          <cell r="Q1673" t="str">
            <v>/  /</v>
          </cell>
        </row>
        <row r="1674">
          <cell r="A1674">
            <v>3933020</v>
          </cell>
          <cell r="B1674">
            <v>43780</v>
          </cell>
          <cell r="C1674" t="str">
            <v>PON</v>
          </cell>
          <cell r="D1674">
            <v>637073127</v>
          </cell>
          <cell r="E1674" t="str">
            <v>CV C20S SerDsc F/S GphBlk Rd51</v>
          </cell>
          <cell r="F1674">
            <v>1</v>
          </cell>
          <cell r="G1674">
            <v>0</v>
          </cell>
          <cell r="I1674" t="str">
            <v>JD122</v>
          </cell>
          <cell r="L1674">
            <v>7.3</v>
          </cell>
          <cell r="M1674">
            <v>0.16900000000000001</v>
          </cell>
          <cell r="N1674" t="str">
            <v>5W</v>
          </cell>
          <cell r="P1674" t="str">
            <v>PONCVL</v>
          </cell>
          <cell r="Q1674" t="str">
            <v>/  /</v>
          </cell>
        </row>
        <row r="1675">
          <cell r="A1675">
            <v>4088314</v>
          </cell>
          <cell r="B1675">
            <v>43780</v>
          </cell>
          <cell r="C1675" t="str">
            <v>PON</v>
          </cell>
          <cell r="D1675">
            <v>637073127</v>
          </cell>
          <cell r="E1675" t="str">
            <v>CV C20S SerDsc F/S GphBlk Rd51</v>
          </cell>
          <cell r="F1675">
            <v>1</v>
          </cell>
          <cell r="G1675">
            <v>0</v>
          </cell>
          <cell r="I1675" t="str">
            <v>JD122</v>
          </cell>
          <cell r="L1675">
            <v>7.3</v>
          </cell>
          <cell r="M1675">
            <v>0.16900000000000001</v>
          </cell>
          <cell r="N1675" t="str">
            <v>5W</v>
          </cell>
          <cell r="P1675" t="str">
            <v>PONCVL</v>
          </cell>
          <cell r="Q1675" t="str">
            <v>/  /</v>
          </cell>
        </row>
        <row r="1676">
          <cell r="A1676">
            <v>4459060</v>
          </cell>
          <cell r="B1676">
            <v>44112</v>
          </cell>
          <cell r="C1676" t="str">
            <v>PON</v>
          </cell>
          <cell r="D1676">
            <v>641080003</v>
          </cell>
          <cell r="E1676" t="str">
            <v>F21 IZ MAX DISC F/S 9 54M CBN</v>
          </cell>
          <cell r="F1676">
            <v>1</v>
          </cell>
          <cell r="G1676">
            <v>0</v>
          </cell>
          <cell r="I1676" t="str">
            <v>JD122</v>
          </cell>
          <cell r="L1676">
            <v>5.9</v>
          </cell>
          <cell r="M1676">
            <v>0.13800000000000001</v>
          </cell>
          <cell r="N1676" t="str">
            <v>5W</v>
          </cell>
          <cell r="P1676" t="str">
            <v>PONFCS</v>
          </cell>
          <cell r="Q1676" t="str">
            <v>/  /</v>
          </cell>
        </row>
        <row r="1677">
          <cell r="A1677">
            <v>4587149</v>
          </cell>
          <cell r="B1677">
            <v>44181</v>
          </cell>
          <cell r="C1677" t="str">
            <v>PON</v>
          </cell>
          <cell r="D1677">
            <v>637518142</v>
          </cell>
          <cell r="E1677" t="str">
            <v>F20 JAM2 6.7 NINE 45L BLK BSCH</v>
          </cell>
          <cell r="F1677">
            <v>1</v>
          </cell>
          <cell r="G1677">
            <v>0</v>
          </cell>
          <cell r="I1677" t="str">
            <v>JD123</v>
          </cell>
          <cell r="L1677">
            <v>32.700000000000003</v>
          </cell>
          <cell r="M1677">
            <v>0.57799999999999996</v>
          </cell>
          <cell r="N1677" t="str">
            <v>5W</v>
          </cell>
          <cell r="P1677" t="str">
            <v>PONFCS</v>
          </cell>
          <cell r="Q1677" t="str">
            <v>/  /</v>
          </cell>
        </row>
        <row r="1678">
          <cell r="A1678">
            <v>4587150</v>
          </cell>
          <cell r="B1678">
            <v>44181</v>
          </cell>
          <cell r="C1678" t="str">
            <v>PON</v>
          </cell>
          <cell r="D1678">
            <v>637518142</v>
          </cell>
          <cell r="E1678" t="str">
            <v>F20 JAM2 6.7 NINE 45L BLK BSCH</v>
          </cell>
          <cell r="F1678">
            <v>1</v>
          </cell>
          <cell r="G1678">
            <v>0</v>
          </cell>
          <cell r="I1678" t="str">
            <v>JD123</v>
          </cell>
          <cell r="L1678">
            <v>32.700000000000003</v>
          </cell>
          <cell r="M1678">
            <v>0.57799999999999996</v>
          </cell>
          <cell r="N1678" t="str">
            <v>5W</v>
          </cell>
          <cell r="P1678" t="str">
            <v>PONFCS</v>
          </cell>
          <cell r="Q1678" t="str">
            <v>/  /</v>
          </cell>
        </row>
        <row r="1679">
          <cell r="A1679">
            <v>4587151</v>
          </cell>
          <cell r="B1679">
            <v>44181</v>
          </cell>
          <cell r="C1679" t="str">
            <v>PON</v>
          </cell>
          <cell r="D1679">
            <v>637518142</v>
          </cell>
          <cell r="E1679" t="str">
            <v>F20 JAM2 6.7 NINE 45L BLK BSCH</v>
          </cell>
          <cell r="F1679">
            <v>1</v>
          </cell>
          <cell r="G1679">
            <v>0</v>
          </cell>
          <cell r="I1679" t="str">
            <v>JD123</v>
          </cell>
          <cell r="L1679">
            <v>32.700000000000003</v>
          </cell>
          <cell r="M1679">
            <v>0.57799999999999996</v>
          </cell>
          <cell r="N1679" t="str">
            <v>5W</v>
          </cell>
          <cell r="P1679" t="str">
            <v>PONFCS</v>
          </cell>
          <cell r="Q1679" t="str">
            <v>/  /</v>
          </cell>
        </row>
        <row r="1680">
          <cell r="A1680">
            <v>4587152</v>
          </cell>
          <cell r="B1680">
            <v>44181</v>
          </cell>
          <cell r="C1680" t="str">
            <v>PON</v>
          </cell>
          <cell r="D1680">
            <v>637518142</v>
          </cell>
          <cell r="E1680" t="str">
            <v>F20 JAM2 6.7 NINE 45L BLK BSCH</v>
          </cell>
          <cell r="F1680">
            <v>1</v>
          </cell>
          <cell r="G1680">
            <v>0</v>
          </cell>
          <cell r="I1680" t="str">
            <v>JD123</v>
          </cell>
          <cell r="L1680">
            <v>32.700000000000003</v>
          </cell>
          <cell r="M1680">
            <v>0.57799999999999996</v>
          </cell>
          <cell r="N1680" t="str">
            <v>5W</v>
          </cell>
          <cell r="P1680" t="str">
            <v>PONFCS</v>
          </cell>
          <cell r="Q1680" t="str">
            <v>/  /</v>
          </cell>
        </row>
        <row r="1681">
          <cell r="A1681">
            <v>4587153</v>
          </cell>
          <cell r="B1681">
            <v>44181</v>
          </cell>
          <cell r="C1681" t="str">
            <v>PON</v>
          </cell>
          <cell r="D1681">
            <v>637518142</v>
          </cell>
          <cell r="E1681" t="str">
            <v>F20 JAM2 6.7 NINE 45L BLK BSCH</v>
          </cell>
          <cell r="F1681">
            <v>1</v>
          </cell>
          <cell r="G1681">
            <v>0</v>
          </cell>
          <cell r="I1681" t="str">
            <v>JD123</v>
          </cell>
          <cell r="L1681">
            <v>32.700000000000003</v>
          </cell>
          <cell r="M1681">
            <v>0.57799999999999996</v>
          </cell>
          <cell r="N1681" t="str">
            <v>5W</v>
          </cell>
          <cell r="P1681" t="str">
            <v>PONFCS</v>
          </cell>
          <cell r="Q1681" t="str">
            <v>/  /</v>
          </cell>
        </row>
        <row r="1682">
          <cell r="A1682">
            <v>4587146</v>
          </cell>
          <cell r="B1682">
            <v>44181</v>
          </cell>
          <cell r="C1682" t="str">
            <v>PON</v>
          </cell>
          <cell r="D1682">
            <v>637518142</v>
          </cell>
          <cell r="E1682" t="str">
            <v>F20 JAM2 6.7 NINE 45L BLK BSCH</v>
          </cell>
          <cell r="F1682">
            <v>1</v>
          </cell>
          <cell r="G1682">
            <v>0</v>
          </cell>
          <cell r="I1682" t="str">
            <v>JD124</v>
          </cell>
          <cell r="L1682">
            <v>32.700000000000003</v>
          </cell>
          <cell r="M1682">
            <v>0.57799999999999996</v>
          </cell>
          <cell r="N1682" t="str">
            <v>5W</v>
          </cell>
          <cell r="P1682" t="str">
            <v>PONFCS</v>
          </cell>
          <cell r="Q1682" t="str">
            <v>/  /</v>
          </cell>
        </row>
        <row r="1683">
          <cell r="A1683">
            <v>4587147</v>
          </cell>
          <cell r="B1683">
            <v>44181</v>
          </cell>
          <cell r="C1683" t="str">
            <v>PON</v>
          </cell>
          <cell r="D1683">
            <v>637518142</v>
          </cell>
          <cell r="E1683" t="str">
            <v>F20 JAM2 6.7 NINE 45L BLK BSCH</v>
          </cell>
          <cell r="F1683">
            <v>1</v>
          </cell>
          <cell r="G1683">
            <v>0</v>
          </cell>
          <cell r="I1683" t="str">
            <v>JD124</v>
          </cell>
          <cell r="L1683">
            <v>32.700000000000003</v>
          </cell>
          <cell r="M1683">
            <v>0.57799999999999996</v>
          </cell>
          <cell r="N1683" t="str">
            <v>5W</v>
          </cell>
          <cell r="P1683" t="str">
            <v>PONFCS</v>
          </cell>
          <cell r="Q1683" t="str">
            <v>/  /</v>
          </cell>
        </row>
        <row r="1684">
          <cell r="A1684">
            <v>4587148</v>
          </cell>
          <cell r="B1684">
            <v>44181</v>
          </cell>
          <cell r="C1684" t="str">
            <v>PON</v>
          </cell>
          <cell r="D1684">
            <v>637518142</v>
          </cell>
          <cell r="E1684" t="str">
            <v>F20 JAM2 6.7 NINE 45L BLK BSCH</v>
          </cell>
          <cell r="F1684">
            <v>1</v>
          </cell>
          <cell r="G1684">
            <v>0</v>
          </cell>
          <cell r="I1684" t="str">
            <v>JD124</v>
          </cell>
          <cell r="L1684">
            <v>32.700000000000003</v>
          </cell>
          <cell r="M1684">
            <v>0.57799999999999996</v>
          </cell>
          <cell r="N1684" t="str">
            <v>5W</v>
          </cell>
          <cell r="P1684" t="str">
            <v>PONFCS</v>
          </cell>
          <cell r="Q1684" t="str">
            <v>/  /</v>
          </cell>
        </row>
        <row r="1685">
          <cell r="A1685">
            <v>4587190</v>
          </cell>
          <cell r="B1685">
            <v>44181</v>
          </cell>
          <cell r="C1685" t="str">
            <v>PON</v>
          </cell>
          <cell r="D1685">
            <v>641517321</v>
          </cell>
          <cell r="E1685" t="str">
            <v>F21 Planet2 5.8 Grey Wa M</v>
          </cell>
          <cell r="F1685">
            <v>1</v>
          </cell>
          <cell r="G1685">
            <v>0</v>
          </cell>
          <cell r="I1685" t="str">
            <v>JD124</v>
          </cell>
          <cell r="L1685">
            <v>18.600000000000001</v>
          </cell>
          <cell r="M1685">
            <v>0.55000000000000004</v>
          </cell>
          <cell r="N1685" t="str">
            <v>5W</v>
          </cell>
          <cell r="P1685" t="str">
            <v>PONFCS</v>
          </cell>
          <cell r="Q1685" t="str">
            <v>/  /</v>
          </cell>
        </row>
        <row r="1686">
          <cell r="A1686">
            <v>4587191</v>
          </cell>
          <cell r="B1686">
            <v>44181</v>
          </cell>
          <cell r="C1686" t="str">
            <v>PON</v>
          </cell>
          <cell r="D1686">
            <v>641517321</v>
          </cell>
          <cell r="E1686" t="str">
            <v>F21 Planet2 5.8 Grey Wa M</v>
          </cell>
          <cell r="F1686">
            <v>1</v>
          </cell>
          <cell r="G1686">
            <v>0</v>
          </cell>
          <cell r="I1686" t="str">
            <v>JD124</v>
          </cell>
          <cell r="L1686">
            <v>18.600000000000001</v>
          </cell>
          <cell r="M1686">
            <v>0.55000000000000004</v>
          </cell>
          <cell r="N1686" t="str">
            <v>5W</v>
          </cell>
          <cell r="P1686" t="str">
            <v>PONFCS</v>
          </cell>
          <cell r="Q1686" t="str">
            <v>/  /</v>
          </cell>
        </row>
        <row r="1687">
          <cell r="A1687">
            <v>4039743</v>
          </cell>
          <cell r="B1687">
            <v>43852</v>
          </cell>
          <cell r="C1687" t="str">
            <v>PON</v>
          </cell>
          <cell r="D1687">
            <v>613076026</v>
          </cell>
          <cell r="E1687" t="str">
            <v>Cervelo C13 S5 FS 61</v>
          </cell>
          <cell r="F1687">
            <v>1</v>
          </cell>
          <cell r="G1687">
            <v>0</v>
          </cell>
          <cell r="I1687" t="str">
            <v>JD132</v>
          </cell>
          <cell r="L1687">
            <v>6.1</v>
          </cell>
          <cell r="M1687">
            <v>0.14199999999999999</v>
          </cell>
          <cell r="N1687" t="str">
            <v>5W</v>
          </cell>
          <cell r="P1687" t="str">
            <v>PONCVL</v>
          </cell>
          <cell r="Q1687" t="str">
            <v>/  /</v>
          </cell>
        </row>
        <row r="1688">
          <cell r="A1688">
            <v>4041392</v>
          </cell>
          <cell r="B1688">
            <v>43852</v>
          </cell>
          <cell r="C1688" t="str">
            <v>PON</v>
          </cell>
          <cell r="D1688">
            <v>613077064</v>
          </cell>
          <cell r="E1688" t="str">
            <v>C13 P2 Frameset 56</v>
          </cell>
          <cell r="F1688">
            <v>1</v>
          </cell>
          <cell r="G1688">
            <v>0</v>
          </cell>
          <cell r="I1688" t="str">
            <v>JD132</v>
          </cell>
          <cell r="L1688">
            <v>0</v>
          </cell>
          <cell r="M1688">
            <v>0</v>
          </cell>
          <cell r="N1688" t="str">
            <v>5W</v>
          </cell>
          <cell r="P1688" t="str">
            <v>PONCVL</v>
          </cell>
          <cell r="Q1688" t="str">
            <v>/  /</v>
          </cell>
        </row>
        <row r="1689">
          <cell r="A1689">
            <v>3951677</v>
          </cell>
          <cell r="B1689">
            <v>43789</v>
          </cell>
          <cell r="C1689" t="str">
            <v>PON</v>
          </cell>
          <cell r="D1689">
            <v>625073002</v>
          </cell>
          <cell r="E1689" t="str">
            <v>Cervelo C17 F/S S3 Disc 54RED</v>
          </cell>
          <cell r="F1689">
            <v>1</v>
          </cell>
          <cell r="G1689">
            <v>0</v>
          </cell>
          <cell r="I1689" t="str">
            <v>JD132</v>
          </cell>
          <cell r="L1689">
            <v>5.6</v>
          </cell>
          <cell r="M1689">
            <v>0.152</v>
          </cell>
          <cell r="N1689" t="str">
            <v>5W</v>
          </cell>
          <cell r="P1689" t="str">
            <v>PONCVL</v>
          </cell>
          <cell r="Q1689" t="str">
            <v>/  /</v>
          </cell>
        </row>
        <row r="1690">
          <cell r="A1690">
            <v>3951683</v>
          </cell>
          <cell r="B1690">
            <v>43789</v>
          </cell>
          <cell r="C1690" t="str">
            <v>PON</v>
          </cell>
          <cell r="D1690">
            <v>628073061</v>
          </cell>
          <cell r="E1690" t="str">
            <v>CV C18 R3 Disc F/S 51 SM Fluo</v>
          </cell>
          <cell r="F1690">
            <v>1</v>
          </cell>
          <cell r="G1690">
            <v>0</v>
          </cell>
          <cell r="I1690" t="str">
            <v>JD132</v>
          </cell>
          <cell r="L1690">
            <v>5.3</v>
          </cell>
          <cell r="M1690">
            <v>0.14000000000000001</v>
          </cell>
          <cell r="N1690" t="str">
            <v>5W</v>
          </cell>
          <cell r="P1690" t="str">
            <v>PONCVL</v>
          </cell>
          <cell r="Q1690" t="str">
            <v>/  /</v>
          </cell>
        </row>
        <row r="1691">
          <cell r="A1691">
            <v>4081362</v>
          </cell>
          <cell r="B1691">
            <v>43787</v>
          </cell>
          <cell r="C1691" t="str">
            <v>PON</v>
          </cell>
          <cell r="D1691">
            <v>633073301</v>
          </cell>
          <cell r="E1691" t="str">
            <v>CV C20 R3 Dsc F/S 51S Oge Blu</v>
          </cell>
          <cell r="F1691">
            <v>1</v>
          </cell>
          <cell r="G1691">
            <v>0</v>
          </cell>
          <cell r="I1691" t="str">
            <v>JD132</v>
          </cell>
          <cell r="L1691">
            <v>3.7</v>
          </cell>
          <cell r="M1691">
            <v>0.182</v>
          </cell>
          <cell r="N1691" t="str">
            <v>5W</v>
          </cell>
          <cell r="P1691" t="str">
            <v>PONCVL</v>
          </cell>
          <cell r="Q1691" t="str">
            <v>/  /</v>
          </cell>
        </row>
        <row r="1692">
          <cell r="A1692">
            <v>4004830</v>
          </cell>
          <cell r="B1692">
            <v>43817</v>
          </cell>
          <cell r="C1692" t="str">
            <v>PON</v>
          </cell>
          <cell r="D1692">
            <v>633728537</v>
          </cell>
          <cell r="E1692" t="str">
            <v>FC EBF19 P/Sqre9.6 57LBlkAnth</v>
          </cell>
          <cell r="F1692">
            <v>1</v>
          </cell>
          <cell r="G1692">
            <v>0</v>
          </cell>
          <cell r="I1692" t="str">
            <v>JD133</v>
          </cell>
          <cell r="L1692">
            <v>23.8</v>
          </cell>
          <cell r="M1692">
            <v>0.57799999999999996</v>
          </cell>
          <cell r="N1692" t="str">
            <v>5W</v>
          </cell>
          <cell r="P1692" t="str">
            <v>PONFEB</v>
          </cell>
          <cell r="Q1692" t="str">
            <v>/  /</v>
          </cell>
        </row>
        <row r="1693">
          <cell r="A1693">
            <v>4587166</v>
          </cell>
          <cell r="B1693">
            <v>44181</v>
          </cell>
          <cell r="C1693" t="str">
            <v>PON</v>
          </cell>
          <cell r="D1693">
            <v>637518143</v>
          </cell>
          <cell r="E1693" t="str">
            <v>F20 Jam2 6.7 Nine 49XL Black</v>
          </cell>
          <cell r="F1693">
            <v>1</v>
          </cell>
          <cell r="G1693">
            <v>0</v>
          </cell>
          <cell r="I1693" t="str">
            <v>JD133</v>
          </cell>
          <cell r="L1693">
            <v>33.9</v>
          </cell>
          <cell r="M1693">
            <v>0.58099999999999996</v>
          </cell>
          <cell r="N1693" t="str">
            <v>5W</v>
          </cell>
          <cell r="P1693" t="str">
            <v>PONFCS</v>
          </cell>
          <cell r="Q1693" t="str">
            <v>/  /</v>
          </cell>
        </row>
        <row r="1694">
          <cell r="A1694">
            <v>4587167</v>
          </cell>
          <cell r="B1694">
            <v>44181</v>
          </cell>
          <cell r="C1694" t="str">
            <v>PON</v>
          </cell>
          <cell r="D1694">
            <v>637518143</v>
          </cell>
          <cell r="E1694" t="str">
            <v>F20 Jam2 6.7 Nine 49XL Black</v>
          </cell>
          <cell r="F1694">
            <v>1</v>
          </cell>
          <cell r="G1694">
            <v>0</v>
          </cell>
          <cell r="I1694" t="str">
            <v>JD133</v>
          </cell>
          <cell r="L1694">
            <v>33.9</v>
          </cell>
          <cell r="M1694">
            <v>0.58099999999999996</v>
          </cell>
          <cell r="N1694" t="str">
            <v>5W</v>
          </cell>
          <cell r="P1694" t="str">
            <v>PONFCS</v>
          </cell>
          <cell r="Q1694" t="str">
            <v>/  /</v>
          </cell>
        </row>
        <row r="1695">
          <cell r="A1695">
            <v>4587168</v>
          </cell>
          <cell r="B1695">
            <v>44181</v>
          </cell>
          <cell r="C1695" t="str">
            <v>PON</v>
          </cell>
          <cell r="D1695">
            <v>637518143</v>
          </cell>
          <cell r="E1695" t="str">
            <v>F20 Jam2 6.7 Nine 49XL Black</v>
          </cell>
          <cell r="F1695">
            <v>1</v>
          </cell>
          <cell r="G1695">
            <v>0</v>
          </cell>
          <cell r="I1695" t="str">
            <v>JD133</v>
          </cell>
          <cell r="L1695">
            <v>33.9</v>
          </cell>
          <cell r="M1695">
            <v>0.58099999999999996</v>
          </cell>
          <cell r="N1695" t="str">
            <v>5W</v>
          </cell>
          <cell r="P1695" t="str">
            <v>PONFCS</v>
          </cell>
          <cell r="Q1695" t="str">
            <v>/  /</v>
          </cell>
        </row>
        <row r="1696">
          <cell r="A1696">
            <v>3962930</v>
          </cell>
          <cell r="B1696">
            <v>43795</v>
          </cell>
          <cell r="C1696" t="str">
            <v>PON</v>
          </cell>
          <cell r="D1696">
            <v>633618541</v>
          </cell>
          <cell r="E1696" t="str">
            <v>FC EBikeF19 P/Sqre 6.9 54M Slv</v>
          </cell>
          <cell r="F1696">
            <v>1</v>
          </cell>
          <cell r="G1696">
            <v>0</v>
          </cell>
          <cell r="I1696" t="str">
            <v>JD134</v>
          </cell>
          <cell r="L1696">
            <v>25.4</v>
          </cell>
          <cell r="M1696">
            <v>0.58099999999999996</v>
          </cell>
          <cell r="N1696" t="str">
            <v>5W</v>
          </cell>
          <cell r="P1696" t="str">
            <v>PONFEB</v>
          </cell>
          <cell r="Q1696" t="str">
            <v>/  /</v>
          </cell>
        </row>
        <row r="1697">
          <cell r="A1697">
            <v>3996139</v>
          </cell>
          <cell r="B1697">
            <v>43812</v>
          </cell>
          <cell r="C1697" t="str">
            <v>PON</v>
          </cell>
          <cell r="D1697">
            <v>633718320</v>
          </cell>
          <cell r="E1697" t="str">
            <v>FC EBikeF19Planet2 6.8 DI48MRd</v>
          </cell>
          <cell r="F1697">
            <v>1</v>
          </cell>
          <cell r="G1697">
            <v>0</v>
          </cell>
          <cell r="I1697" t="str">
            <v>JD134</v>
          </cell>
          <cell r="L1697">
            <v>32.799999999999997</v>
          </cell>
          <cell r="M1697">
            <v>0.55500000000000005</v>
          </cell>
          <cell r="N1697" t="str">
            <v>5W</v>
          </cell>
          <cell r="P1697" t="str">
            <v>PONFEB</v>
          </cell>
          <cell r="Q1697" t="str">
            <v>/  /</v>
          </cell>
        </row>
        <row r="1698">
          <cell r="A1698">
            <v>4032275</v>
          </cell>
          <cell r="B1698">
            <v>43847</v>
          </cell>
          <cell r="C1698" t="str">
            <v>PON</v>
          </cell>
          <cell r="D1698">
            <v>633728538</v>
          </cell>
          <cell r="E1698" t="str">
            <v>FC EBF19 P/Sqre9.6 60XLB/Anthr</v>
          </cell>
          <cell r="F1698">
            <v>1</v>
          </cell>
          <cell r="G1698">
            <v>0</v>
          </cell>
          <cell r="I1698" t="str">
            <v>JD134</v>
          </cell>
          <cell r="L1698">
            <v>24</v>
          </cell>
          <cell r="M1698">
            <v>0.58099999999999996</v>
          </cell>
          <cell r="N1698" t="str">
            <v>5W</v>
          </cell>
          <cell r="P1698" t="str">
            <v>PONFEB</v>
          </cell>
          <cell r="Q1698" t="str">
            <v>/  /</v>
          </cell>
        </row>
        <row r="1699">
          <cell r="A1699">
            <v>3995869</v>
          </cell>
          <cell r="B1699">
            <v>43811</v>
          </cell>
          <cell r="C1699" t="str">
            <v>PON</v>
          </cell>
          <cell r="D1699" t="str">
            <v>A1878</v>
          </cell>
          <cell r="E1699" t="str">
            <v>GZ G17 Cityzen C8 HMB 61 Wom</v>
          </cell>
          <cell r="F1699">
            <v>1</v>
          </cell>
          <cell r="G1699">
            <v>0</v>
          </cell>
          <cell r="I1699" t="str">
            <v>JD134</v>
          </cell>
          <cell r="L1699">
            <v>28.7</v>
          </cell>
          <cell r="M1699">
            <v>0.624</v>
          </cell>
          <cell r="N1699" t="str">
            <v>5W</v>
          </cell>
          <cell r="P1699" t="str">
            <v>PONGAZ</v>
          </cell>
          <cell r="Q1699" t="str">
            <v>/  /</v>
          </cell>
        </row>
        <row r="1700">
          <cell r="A1700">
            <v>4100305</v>
          </cell>
          <cell r="B1700">
            <v>43851</v>
          </cell>
          <cell r="C1700" t="str">
            <v>PON</v>
          </cell>
          <cell r="D1700">
            <v>620009640</v>
          </cell>
          <cell r="E1700" t="str">
            <v>Focus F19 Donna Rookie RUN 12</v>
          </cell>
          <cell r="F1700">
            <v>1</v>
          </cell>
          <cell r="G1700">
            <v>0</v>
          </cell>
          <cell r="I1700" t="str">
            <v>JD141</v>
          </cell>
          <cell r="L1700">
            <v>8</v>
          </cell>
          <cell r="M1700">
            <v>6.8000000000000005E-2</v>
          </cell>
          <cell r="N1700" t="str">
            <v>5W</v>
          </cell>
          <cell r="P1700" t="str">
            <v>PONFCS</v>
          </cell>
          <cell r="Q1700" t="str">
            <v>/  /</v>
          </cell>
        </row>
        <row r="1701">
          <cell r="A1701">
            <v>4100306</v>
          </cell>
          <cell r="B1701">
            <v>43851</v>
          </cell>
          <cell r="C1701" t="str">
            <v>PON</v>
          </cell>
          <cell r="D1701">
            <v>620009640</v>
          </cell>
          <cell r="E1701" t="str">
            <v>Focus F19 Donna Rookie RUN 12</v>
          </cell>
          <cell r="F1701">
            <v>1</v>
          </cell>
          <cell r="G1701">
            <v>0</v>
          </cell>
          <cell r="I1701" t="str">
            <v>JD141</v>
          </cell>
          <cell r="L1701">
            <v>8</v>
          </cell>
          <cell r="M1701">
            <v>6.8000000000000005E-2</v>
          </cell>
          <cell r="N1701" t="str">
            <v>5W</v>
          </cell>
          <cell r="P1701" t="str">
            <v>PONFCS</v>
          </cell>
          <cell r="Q1701" t="str">
            <v>/  /</v>
          </cell>
        </row>
        <row r="1702">
          <cell r="A1702">
            <v>4100307</v>
          </cell>
          <cell r="B1702">
            <v>43851</v>
          </cell>
          <cell r="C1702" t="str">
            <v>PON</v>
          </cell>
          <cell r="D1702">
            <v>620009640</v>
          </cell>
          <cell r="E1702" t="str">
            <v>Focus F19 Donna Rookie RUN 12</v>
          </cell>
          <cell r="F1702">
            <v>1</v>
          </cell>
          <cell r="G1702">
            <v>0</v>
          </cell>
          <cell r="I1702" t="str">
            <v>JD141</v>
          </cell>
          <cell r="L1702">
            <v>8</v>
          </cell>
          <cell r="M1702">
            <v>6.8000000000000005E-2</v>
          </cell>
          <cell r="N1702" t="str">
            <v>5W</v>
          </cell>
          <cell r="P1702" t="str">
            <v>PONFCS</v>
          </cell>
          <cell r="Q1702" t="str">
            <v>/  /</v>
          </cell>
        </row>
        <row r="1703">
          <cell r="A1703">
            <v>4100308</v>
          </cell>
          <cell r="B1703">
            <v>43851</v>
          </cell>
          <cell r="C1703" t="str">
            <v>PON</v>
          </cell>
          <cell r="D1703">
            <v>620009640</v>
          </cell>
          <cell r="E1703" t="str">
            <v>Focus F19 Donna Rookie RUN 12</v>
          </cell>
          <cell r="F1703">
            <v>1</v>
          </cell>
          <cell r="G1703">
            <v>0</v>
          </cell>
          <cell r="I1703" t="str">
            <v>JD141</v>
          </cell>
          <cell r="L1703">
            <v>8</v>
          </cell>
          <cell r="M1703">
            <v>6.8000000000000005E-2</v>
          </cell>
          <cell r="N1703" t="str">
            <v>5W</v>
          </cell>
          <cell r="P1703" t="str">
            <v>PONFCS</v>
          </cell>
          <cell r="Q1703" t="str">
            <v>/  /</v>
          </cell>
        </row>
        <row r="1704">
          <cell r="A1704">
            <v>4100309</v>
          </cell>
          <cell r="B1704">
            <v>43851</v>
          </cell>
          <cell r="C1704" t="str">
            <v>PON</v>
          </cell>
          <cell r="D1704">
            <v>620009640</v>
          </cell>
          <cell r="E1704" t="str">
            <v>Focus F19 Donna Rookie RUN 12</v>
          </cell>
          <cell r="F1704">
            <v>1</v>
          </cell>
          <cell r="G1704">
            <v>0</v>
          </cell>
          <cell r="I1704" t="str">
            <v>JD141</v>
          </cell>
          <cell r="L1704">
            <v>8</v>
          </cell>
          <cell r="M1704">
            <v>6.8000000000000005E-2</v>
          </cell>
          <cell r="N1704" t="str">
            <v>5W</v>
          </cell>
          <cell r="P1704" t="str">
            <v>PONFCS</v>
          </cell>
          <cell r="Q1704" t="str">
            <v>/  /</v>
          </cell>
        </row>
        <row r="1705">
          <cell r="A1705">
            <v>4100310</v>
          </cell>
          <cell r="B1705">
            <v>43851</v>
          </cell>
          <cell r="C1705" t="str">
            <v>PON</v>
          </cell>
          <cell r="D1705">
            <v>620009640</v>
          </cell>
          <cell r="E1705" t="str">
            <v>Focus F19 Donna Rookie RUN 12</v>
          </cell>
          <cell r="F1705">
            <v>1</v>
          </cell>
          <cell r="G1705">
            <v>0</v>
          </cell>
          <cell r="I1705" t="str">
            <v>JD141</v>
          </cell>
          <cell r="L1705">
            <v>8</v>
          </cell>
          <cell r="M1705">
            <v>6.8000000000000005E-2</v>
          </cell>
          <cell r="N1705" t="str">
            <v>5W</v>
          </cell>
          <cell r="P1705" t="str">
            <v>PONFCS</v>
          </cell>
          <cell r="Q1705" t="str">
            <v>/  /</v>
          </cell>
        </row>
        <row r="1706">
          <cell r="A1706">
            <v>4039747</v>
          </cell>
          <cell r="B1706">
            <v>43852</v>
          </cell>
          <cell r="C1706" t="str">
            <v>PON</v>
          </cell>
          <cell r="D1706">
            <v>613076056</v>
          </cell>
          <cell r="E1706" t="str">
            <v>Cervelo C13 P5 3 FS 61</v>
          </cell>
          <cell r="F1706">
            <v>1</v>
          </cell>
          <cell r="G1706">
            <v>0</v>
          </cell>
          <cell r="I1706" t="str">
            <v>JD142</v>
          </cell>
          <cell r="L1706">
            <v>7.7</v>
          </cell>
          <cell r="M1706">
            <v>0.156</v>
          </cell>
          <cell r="N1706" t="str">
            <v>5W</v>
          </cell>
          <cell r="P1706" t="str">
            <v>PONCVL</v>
          </cell>
          <cell r="Q1706" t="str">
            <v>/  /</v>
          </cell>
        </row>
        <row r="1707">
          <cell r="A1707">
            <v>3951685</v>
          </cell>
          <cell r="B1707">
            <v>43789</v>
          </cell>
          <cell r="C1707" t="str">
            <v>PON</v>
          </cell>
          <cell r="D1707">
            <v>628073125</v>
          </cell>
          <cell r="E1707" t="str">
            <v>CV C18 R5Disc FS 61 XXLBlk/Grn</v>
          </cell>
          <cell r="F1707">
            <v>1</v>
          </cell>
          <cell r="G1707">
            <v>0</v>
          </cell>
          <cell r="I1707" t="str">
            <v>JD142</v>
          </cell>
          <cell r="L1707">
            <v>5.7</v>
          </cell>
          <cell r="M1707">
            <v>0.16600000000000001</v>
          </cell>
          <cell r="N1707" t="str">
            <v>5W</v>
          </cell>
          <cell r="P1707" t="str">
            <v>PONCVL</v>
          </cell>
          <cell r="Q1707" t="str">
            <v>/  /</v>
          </cell>
        </row>
        <row r="1708">
          <cell r="A1708">
            <v>3943815</v>
          </cell>
          <cell r="B1708">
            <v>43784</v>
          </cell>
          <cell r="C1708" t="str">
            <v>PON</v>
          </cell>
          <cell r="D1708">
            <v>633073585</v>
          </cell>
          <cell r="E1708" t="str">
            <v>CV C19 R5 Dsc F/Set Sunweb58cm</v>
          </cell>
          <cell r="F1708">
            <v>1</v>
          </cell>
          <cell r="G1708">
            <v>0</v>
          </cell>
          <cell r="I1708" t="str">
            <v>JD142</v>
          </cell>
          <cell r="L1708">
            <v>5.8</v>
          </cell>
          <cell r="M1708">
            <v>0.17299999999999999</v>
          </cell>
          <cell r="N1708" t="str">
            <v>5W</v>
          </cell>
          <cell r="P1708" t="str">
            <v>PONCVL</v>
          </cell>
          <cell r="Q1708" t="str">
            <v>/  /</v>
          </cell>
        </row>
        <row r="1709">
          <cell r="A1709">
            <v>4081388</v>
          </cell>
          <cell r="B1709">
            <v>43784</v>
          </cell>
          <cell r="C1709" t="str">
            <v>PON</v>
          </cell>
          <cell r="D1709">
            <v>633073585</v>
          </cell>
          <cell r="E1709" t="str">
            <v>CV C19 R5 Dsc F/Set Sunweb58cm</v>
          </cell>
          <cell r="F1709">
            <v>1</v>
          </cell>
          <cell r="G1709">
            <v>0</v>
          </cell>
          <cell r="I1709" t="str">
            <v>JD142</v>
          </cell>
          <cell r="L1709">
            <v>5.8</v>
          </cell>
          <cell r="M1709">
            <v>0.17299999999999999</v>
          </cell>
          <cell r="N1709" t="str">
            <v>5W</v>
          </cell>
          <cell r="P1709" t="str">
            <v>PONCVL</v>
          </cell>
          <cell r="Q1709" t="str">
            <v>/  /</v>
          </cell>
        </row>
        <row r="1710">
          <cell r="A1710">
            <v>4459061</v>
          </cell>
          <cell r="B1710">
            <v>44112</v>
          </cell>
          <cell r="C1710" t="str">
            <v>PON</v>
          </cell>
          <cell r="D1710">
            <v>641080003</v>
          </cell>
          <cell r="E1710" t="str">
            <v>F21 IZ MAX DISC F/S 9 54M CBN</v>
          </cell>
          <cell r="F1710">
            <v>1</v>
          </cell>
          <cell r="G1710">
            <v>0</v>
          </cell>
          <cell r="I1710" t="str">
            <v>JD142</v>
          </cell>
          <cell r="L1710">
            <v>5.9</v>
          </cell>
          <cell r="M1710">
            <v>0.13800000000000001</v>
          </cell>
          <cell r="N1710" t="str">
            <v>5W</v>
          </cell>
          <cell r="P1710" t="str">
            <v>PONFCS</v>
          </cell>
          <cell r="Q1710" t="str">
            <v>/  /</v>
          </cell>
        </row>
        <row r="1711">
          <cell r="A1711">
            <v>4459062</v>
          </cell>
          <cell r="B1711">
            <v>44112</v>
          </cell>
          <cell r="C1711" t="str">
            <v>PON</v>
          </cell>
          <cell r="D1711">
            <v>641080003</v>
          </cell>
          <cell r="E1711" t="str">
            <v>F21 IZ MAX DISC F/S 9 54M CBN</v>
          </cell>
          <cell r="F1711">
            <v>1</v>
          </cell>
          <cell r="G1711">
            <v>0</v>
          </cell>
          <cell r="I1711" t="str">
            <v>JD142</v>
          </cell>
          <cell r="L1711">
            <v>5.9</v>
          </cell>
          <cell r="M1711">
            <v>0.13800000000000001</v>
          </cell>
          <cell r="N1711" t="str">
            <v>5W</v>
          </cell>
          <cell r="P1711" t="str">
            <v>PONFCS</v>
          </cell>
          <cell r="Q1711" t="str">
            <v>/  /</v>
          </cell>
        </row>
        <row r="1712">
          <cell r="A1712">
            <v>4459063</v>
          </cell>
          <cell r="B1712">
            <v>44112</v>
          </cell>
          <cell r="C1712" t="str">
            <v>PON</v>
          </cell>
          <cell r="D1712">
            <v>641080003</v>
          </cell>
          <cell r="E1712" t="str">
            <v>F21 IZ MAX DISC F/S 9 54M CBN</v>
          </cell>
          <cell r="F1712">
            <v>1</v>
          </cell>
          <cell r="G1712">
            <v>0</v>
          </cell>
          <cell r="I1712" t="str">
            <v>JD142</v>
          </cell>
          <cell r="L1712">
            <v>5.9</v>
          </cell>
          <cell r="M1712">
            <v>0.13800000000000001</v>
          </cell>
          <cell r="N1712" t="str">
            <v>5W</v>
          </cell>
          <cell r="P1712" t="str">
            <v>PONFCS</v>
          </cell>
          <cell r="Q1712" t="str">
            <v>/  /</v>
          </cell>
        </row>
        <row r="1713">
          <cell r="A1713">
            <v>3975521</v>
          </cell>
          <cell r="B1713">
            <v>43803</v>
          </cell>
          <cell r="C1713" t="str">
            <v>PON</v>
          </cell>
          <cell r="D1713">
            <v>633618553</v>
          </cell>
          <cell r="E1713" t="str">
            <v>FC EBikeF19 P/Sqre 6.8 60XL Rd</v>
          </cell>
          <cell r="F1713">
            <v>1</v>
          </cell>
          <cell r="G1713">
            <v>0</v>
          </cell>
          <cell r="I1713" t="str">
            <v>JD143</v>
          </cell>
          <cell r="L1713">
            <v>25.3</v>
          </cell>
          <cell r="M1713">
            <v>0.58099999999999996</v>
          </cell>
          <cell r="N1713" t="str">
            <v>5W</v>
          </cell>
          <cell r="P1713" t="str">
            <v>PONFEB</v>
          </cell>
          <cell r="Q1713" t="str">
            <v>/  /</v>
          </cell>
        </row>
        <row r="1714">
          <cell r="A1714">
            <v>4086229</v>
          </cell>
          <cell r="B1714">
            <v>43803</v>
          </cell>
          <cell r="C1714" t="str">
            <v>PON</v>
          </cell>
          <cell r="D1714">
            <v>633618553</v>
          </cell>
          <cell r="E1714" t="str">
            <v>FC EBikeF19 P/Sqre 6.8 60XL Rd</v>
          </cell>
          <cell r="F1714">
            <v>1</v>
          </cell>
          <cell r="G1714">
            <v>0</v>
          </cell>
          <cell r="I1714" t="str">
            <v>JD143</v>
          </cell>
          <cell r="L1714">
            <v>25.3</v>
          </cell>
          <cell r="M1714">
            <v>0.58099999999999996</v>
          </cell>
          <cell r="N1714" t="str">
            <v>5W</v>
          </cell>
          <cell r="P1714" t="str">
            <v>PONFEB</v>
          </cell>
          <cell r="Q1714" t="str">
            <v>/  /</v>
          </cell>
        </row>
        <row r="1715">
          <cell r="A1715">
            <v>4087652</v>
          </cell>
          <cell r="B1715">
            <v>43803</v>
          </cell>
          <cell r="C1715" t="str">
            <v>PON</v>
          </cell>
          <cell r="D1715">
            <v>633618553</v>
          </cell>
          <cell r="E1715" t="str">
            <v>FC EBikeF19 P/Sqre 6.8 60XL Rd</v>
          </cell>
          <cell r="F1715">
            <v>1</v>
          </cell>
          <cell r="G1715">
            <v>0</v>
          </cell>
          <cell r="I1715" t="str">
            <v>JD143</v>
          </cell>
          <cell r="L1715">
            <v>25.3</v>
          </cell>
          <cell r="M1715">
            <v>0.58099999999999996</v>
          </cell>
          <cell r="N1715" t="str">
            <v>5W</v>
          </cell>
          <cell r="P1715" t="str">
            <v>PONFEB</v>
          </cell>
          <cell r="Q1715" t="str">
            <v>/  /</v>
          </cell>
        </row>
        <row r="1716">
          <cell r="A1716">
            <v>4089452</v>
          </cell>
          <cell r="B1716">
            <v>43803</v>
          </cell>
          <cell r="C1716" t="str">
            <v>PON</v>
          </cell>
          <cell r="D1716">
            <v>633618553</v>
          </cell>
          <cell r="E1716" t="str">
            <v>FC EBikeF19 P/Sqre 6.8 60XL Rd</v>
          </cell>
          <cell r="F1716">
            <v>1</v>
          </cell>
          <cell r="G1716">
            <v>0</v>
          </cell>
          <cell r="I1716" t="str">
            <v>JD143</v>
          </cell>
          <cell r="L1716">
            <v>25.3</v>
          </cell>
          <cell r="M1716">
            <v>0.58099999999999996</v>
          </cell>
          <cell r="N1716" t="str">
            <v>5W</v>
          </cell>
          <cell r="P1716" t="str">
            <v>PONFEB</v>
          </cell>
          <cell r="Q1716" t="str">
            <v>/  /</v>
          </cell>
        </row>
        <row r="1717">
          <cell r="A1717">
            <v>3996141</v>
          </cell>
          <cell r="B1717">
            <v>43812</v>
          </cell>
          <cell r="C1717" t="str">
            <v>PON</v>
          </cell>
          <cell r="D1717">
            <v>633718321</v>
          </cell>
          <cell r="E1717" t="str">
            <v>FC E BikeF19Planet2 6.8DI53LRd</v>
          </cell>
          <cell r="F1717">
            <v>1</v>
          </cell>
          <cell r="G1717">
            <v>0</v>
          </cell>
          <cell r="I1717" t="str">
            <v>JD144</v>
          </cell>
          <cell r="L1717">
            <v>33.299999999999997</v>
          </cell>
          <cell r="M1717">
            <v>0.55500000000000005</v>
          </cell>
          <cell r="N1717" t="str">
            <v>5W</v>
          </cell>
          <cell r="P1717" t="str">
            <v>PONFEB</v>
          </cell>
          <cell r="Q1717" t="str">
            <v>/  /</v>
          </cell>
        </row>
        <row r="1718">
          <cell r="A1718">
            <v>4087674</v>
          </cell>
          <cell r="B1718">
            <v>43852</v>
          </cell>
          <cell r="C1718" t="str">
            <v>PON</v>
          </cell>
          <cell r="D1718">
            <v>633728512</v>
          </cell>
          <cell r="E1718" t="str">
            <v>FC EBikeF19 P/Sqre9.8 57LAnthr</v>
          </cell>
          <cell r="F1718">
            <v>1</v>
          </cell>
          <cell r="G1718">
            <v>0</v>
          </cell>
          <cell r="I1718" t="str">
            <v>JD144</v>
          </cell>
          <cell r="L1718">
            <v>23.9</v>
          </cell>
          <cell r="M1718">
            <v>0.53200000000000003</v>
          </cell>
          <cell r="N1718" t="str">
            <v>5W</v>
          </cell>
          <cell r="P1718" t="str">
            <v>PONFEB</v>
          </cell>
          <cell r="Q1718" t="str">
            <v>/  /</v>
          </cell>
        </row>
        <row r="1719">
          <cell r="A1719">
            <v>4089474</v>
          </cell>
          <cell r="B1719">
            <v>43852</v>
          </cell>
          <cell r="C1719" t="str">
            <v>PON</v>
          </cell>
          <cell r="D1719">
            <v>633728512</v>
          </cell>
          <cell r="E1719" t="str">
            <v>FC EBikeF19 P/Sqre9.8 57LAnthr</v>
          </cell>
          <cell r="F1719">
            <v>1</v>
          </cell>
          <cell r="G1719">
            <v>0</v>
          </cell>
          <cell r="I1719" t="str">
            <v>JD144</v>
          </cell>
          <cell r="L1719">
            <v>23.9</v>
          </cell>
          <cell r="M1719">
            <v>0.53200000000000003</v>
          </cell>
          <cell r="N1719" t="str">
            <v>5W</v>
          </cell>
          <cell r="P1719" t="str">
            <v>PONFEB</v>
          </cell>
          <cell r="Q1719" t="str">
            <v>/  /</v>
          </cell>
        </row>
        <row r="1720">
          <cell r="A1720">
            <v>3957534</v>
          </cell>
          <cell r="B1720">
            <v>43794</v>
          </cell>
          <cell r="C1720" t="str">
            <v>PON</v>
          </cell>
          <cell r="D1720">
            <v>633728538</v>
          </cell>
          <cell r="E1720" t="str">
            <v>FC EBF19 P/Sqre9.6 60XLB/Anthr</v>
          </cell>
          <cell r="F1720">
            <v>1</v>
          </cell>
          <cell r="G1720">
            <v>0</v>
          </cell>
          <cell r="I1720" t="str">
            <v>JD144</v>
          </cell>
          <cell r="L1720">
            <v>24</v>
          </cell>
          <cell r="M1720">
            <v>0.58099999999999996</v>
          </cell>
          <cell r="N1720" t="str">
            <v>5W</v>
          </cell>
          <cell r="P1720" t="str">
            <v>PONFEB</v>
          </cell>
          <cell r="Q1720" t="str">
            <v>/  /</v>
          </cell>
        </row>
        <row r="1721">
          <cell r="A1721">
            <v>4019921</v>
          </cell>
          <cell r="B1721">
            <v>43837</v>
          </cell>
          <cell r="C1721" t="str">
            <v>PON</v>
          </cell>
          <cell r="D1721" t="str">
            <v>A5800</v>
          </cell>
          <cell r="E1721" t="str">
            <v>GZ G19 Chamonix T10 HMB 53 Men</v>
          </cell>
          <cell r="F1721">
            <v>1</v>
          </cell>
          <cell r="G1721">
            <v>0</v>
          </cell>
          <cell r="I1721" t="str">
            <v>JD144</v>
          </cell>
          <cell r="L1721">
            <v>29.4</v>
          </cell>
          <cell r="M1721">
            <v>0.64</v>
          </cell>
          <cell r="N1721" t="str">
            <v>5W</v>
          </cell>
          <cell r="P1721" t="str">
            <v>PONGAZ</v>
          </cell>
          <cell r="Q1721" t="str">
            <v>/  /</v>
          </cell>
        </row>
        <row r="1722">
          <cell r="A1722">
            <v>4644218</v>
          </cell>
          <cell r="B1722">
            <v>44225</v>
          </cell>
          <cell r="C1722" t="str">
            <v>PON</v>
          </cell>
          <cell r="D1722">
            <v>637019380</v>
          </cell>
          <cell r="E1722" t="str">
            <v>F21 Whistler 3.5 Xs36 F Orange</v>
          </cell>
          <cell r="F1722">
            <v>1</v>
          </cell>
          <cell r="G1722">
            <v>0</v>
          </cell>
          <cell r="I1722" t="str">
            <v>JE011</v>
          </cell>
          <cell r="L1722">
            <v>20</v>
          </cell>
          <cell r="M1722">
            <v>0.38700000000000001</v>
          </cell>
          <cell r="N1722" t="str">
            <v>5W</v>
          </cell>
          <cell r="P1722" t="str">
            <v>PONFCS</v>
          </cell>
          <cell r="Q1722" t="str">
            <v>/  /</v>
          </cell>
        </row>
        <row r="1723">
          <cell r="A1723">
            <v>4644219</v>
          </cell>
          <cell r="B1723">
            <v>44225</v>
          </cell>
          <cell r="C1723" t="str">
            <v>PON</v>
          </cell>
          <cell r="D1723">
            <v>637019380</v>
          </cell>
          <cell r="E1723" t="str">
            <v>F21 Whistler 3.5 Xs36 F Orange</v>
          </cell>
          <cell r="F1723">
            <v>1</v>
          </cell>
          <cell r="G1723">
            <v>0</v>
          </cell>
          <cell r="I1723" t="str">
            <v>JE011</v>
          </cell>
          <cell r="L1723">
            <v>20</v>
          </cell>
          <cell r="M1723">
            <v>0.38700000000000001</v>
          </cell>
          <cell r="N1723" t="str">
            <v>5W</v>
          </cell>
          <cell r="P1723" t="str">
            <v>PONFCS</v>
          </cell>
          <cell r="Q1723" t="str">
            <v>/  /</v>
          </cell>
        </row>
        <row r="1724">
          <cell r="A1724">
            <v>4644220</v>
          </cell>
          <cell r="B1724">
            <v>44225</v>
          </cell>
          <cell r="C1724" t="str">
            <v>PON</v>
          </cell>
          <cell r="D1724">
            <v>637019380</v>
          </cell>
          <cell r="E1724" t="str">
            <v>F21 Whistler 3.5 Xs36 F Orange</v>
          </cell>
          <cell r="F1724">
            <v>1</v>
          </cell>
          <cell r="G1724">
            <v>0</v>
          </cell>
          <cell r="I1724" t="str">
            <v>JE011</v>
          </cell>
          <cell r="L1724">
            <v>20</v>
          </cell>
          <cell r="M1724">
            <v>0.38700000000000001</v>
          </cell>
          <cell r="N1724" t="str">
            <v>5W</v>
          </cell>
          <cell r="P1724" t="str">
            <v>PONFCS</v>
          </cell>
          <cell r="Q1724" t="str">
            <v>/  /</v>
          </cell>
        </row>
        <row r="1725">
          <cell r="A1725">
            <v>4644222</v>
          </cell>
          <cell r="B1725">
            <v>44225</v>
          </cell>
          <cell r="C1725" t="str">
            <v>PON</v>
          </cell>
          <cell r="D1725">
            <v>637019380</v>
          </cell>
          <cell r="E1725" t="str">
            <v>F21 Whistler 3.5 Xs36 F Orange</v>
          </cell>
          <cell r="F1725">
            <v>1</v>
          </cell>
          <cell r="G1725">
            <v>0</v>
          </cell>
          <cell r="I1725" t="str">
            <v>JE011</v>
          </cell>
          <cell r="L1725">
            <v>20</v>
          </cell>
          <cell r="M1725">
            <v>0.38700000000000001</v>
          </cell>
          <cell r="N1725" t="str">
            <v>5W</v>
          </cell>
          <cell r="P1725" t="str">
            <v>PONFCS</v>
          </cell>
          <cell r="Q1725" t="str">
            <v>/  /</v>
          </cell>
        </row>
        <row r="1726">
          <cell r="A1726">
            <v>4644214</v>
          </cell>
          <cell r="B1726">
            <v>44225</v>
          </cell>
          <cell r="C1726" t="str">
            <v>PON</v>
          </cell>
          <cell r="D1726">
            <v>637019380</v>
          </cell>
          <cell r="E1726" t="str">
            <v>F21 Whistler 3.5 Xs36 F Orange</v>
          </cell>
          <cell r="F1726">
            <v>1</v>
          </cell>
          <cell r="G1726">
            <v>0</v>
          </cell>
          <cell r="I1726" t="str">
            <v>JE021</v>
          </cell>
          <cell r="L1726">
            <v>20</v>
          </cell>
          <cell r="M1726">
            <v>0.38700000000000001</v>
          </cell>
          <cell r="N1726" t="str">
            <v>5W</v>
          </cell>
          <cell r="P1726" t="str">
            <v>PONFCS</v>
          </cell>
          <cell r="Q1726" t="str">
            <v>/  /</v>
          </cell>
        </row>
        <row r="1727">
          <cell r="A1727">
            <v>4644215</v>
          </cell>
          <cell r="B1727">
            <v>44225</v>
          </cell>
          <cell r="C1727" t="str">
            <v>PON</v>
          </cell>
          <cell r="D1727">
            <v>637019380</v>
          </cell>
          <cell r="E1727" t="str">
            <v>F21 Whistler 3.5 Xs36 F Orange</v>
          </cell>
          <cell r="F1727">
            <v>1</v>
          </cell>
          <cell r="G1727">
            <v>0</v>
          </cell>
          <cell r="I1727" t="str">
            <v>JE021</v>
          </cell>
          <cell r="L1727">
            <v>20</v>
          </cell>
          <cell r="M1727">
            <v>0.38700000000000001</v>
          </cell>
          <cell r="N1727" t="str">
            <v>5W</v>
          </cell>
          <cell r="P1727" t="str">
            <v>PONFCS</v>
          </cell>
          <cell r="Q1727" t="str">
            <v>/  /</v>
          </cell>
        </row>
        <row r="1728">
          <cell r="A1728">
            <v>4644216</v>
          </cell>
          <cell r="B1728">
            <v>44225</v>
          </cell>
          <cell r="C1728" t="str">
            <v>PON</v>
          </cell>
          <cell r="D1728">
            <v>637019380</v>
          </cell>
          <cell r="E1728" t="str">
            <v>F21 Whistler 3.5 Xs36 F Orange</v>
          </cell>
          <cell r="F1728">
            <v>1</v>
          </cell>
          <cell r="G1728">
            <v>0</v>
          </cell>
          <cell r="I1728" t="str">
            <v>JE021</v>
          </cell>
          <cell r="L1728">
            <v>20</v>
          </cell>
          <cell r="M1728">
            <v>0.38700000000000001</v>
          </cell>
          <cell r="N1728" t="str">
            <v>5W</v>
          </cell>
          <cell r="P1728" t="str">
            <v>PONFCS</v>
          </cell>
          <cell r="Q1728" t="str">
            <v>/  /</v>
          </cell>
        </row>
        <row r="1729">
          <cell r="A1729">
            <v>4644217</v>
          </cell>
          <cell r="B1729">
            <v>44225</v>
          </cell>
          <cell r="C1729" t="str">
            <v>PON</v>
          </cell>
          <cell r="D1729">
            <v>637019380</v>
          </cell>
          <cell r="E1729" t="str">
            <v>F21 Whistler 3.5 Xs36 F Orange</v>
          </cell>
          <cell r="F1729">
            <v>1</v>
          </cell>
          <cell r="G1729">
            <v>0</v>
          </cell>
          <cell r="I1729" t="str">
            <v>JE021</v>
          </cell>
          <cell r="L1729">
            <v>20</v>
          </cell>
          <cell r="M1729">
            <v>0.38700000000000001</v>
          </cell>
          <cell r="N1729" t="str">
            <v>5W</v>
          </cell>
          <cell r="P1729" t="str">
            <v>PONFCS</v>
          </cell>
          <cell r="Q1729" t="str">
            <v>/  /</v>
          </cell>
        </row>
        <row r="1730">
          <cell r="A1730">
            <v>4278074</v>
          </cell>
          <cell r="B1730">
            <v>44005</v>
          </cell>
          <cell r="C1730" t="str">
            <v>PON</v>
          </cell>
          <cell r="D1730">
            <v>637070088</v>
          </cell>
          <cell r="E1730" t="str">
            <v>C20 P Series D/Force Wht L/G54</v>
          </cell>
          <cell r="F1730">
            <v>1</v>
          </cell>
          <cell r="G1730">
            <v>0</v>
          </cell>
          <cell r="I1730" t="str">
            <v>JE031</v>
          </cell>
          <cell r="L1730">
            <v>15.8</v>
          </cell>
          <cell r="M1730">
            <v>0.33800000000000002</v>
          </cell>
          <cell r="N1730" t="str">
            <v>5W</v>
          </cell>
          <cell r="P1730" t="str">
            <v>PONCVL</v>
          </cell>
          <cell r="Q1730" t="str">
            <v>/  /</v>
          </cell>
        </row>
        <row r="1731">
          <cell r="A1731">
            <v>3899149</v>
          </cell>
          <cell r="B1731">
            <v>43752</v>
          </cell>
          <cell r="C1731" t="str">
            <v>PON</v>
          </cell>
          <cell r="D1731" t="str">
            <v>614012181BIS</v>
          </cell>
          <cell r="E1731" t="str">
            <v>F14 IZ Ergo 1.5FS 2.0 BK 51CM</v>
          </cell>
          <cell r="F1731">
            <v>1</v>
          </cell>
          <cell r="G1731">
            <v>0</v>
          </cell>
          <cell r="I1731" t="str">
            <v>JE032</v>
          </cell>
          <cell r="L1731">
            <v>12</v>
          </cell>
          <cell r="M1731">
            <v>0.23200000000000001</v>
          </cell>
          <cell r="N1731" t="str">
            <v>5W</v>
          </cell>
          <cell r="P1731" t="str">
            <v>PONFCS</v>
          </cell>
          <cell r="Q1731" t="str">
            <v>/  /</v>
          </cell>
        </row>
        <row r="1732">
          <cell r="A1732">
            <v>3903714</v>
          </cell>
          <cell r="B1732">
            <v>43761</v>
          </cell>
          <cell r="C1732" t="str">
            <v>PON</v>
          </cell>
          <cell r="D1732">
            <v>633006365</v>
          </cell>
          <cell r="E1732" t="str">
            <v>FC F19 Mare 6.7 60XXL BlueMatt</v>
          </cell>
          <cell r="F1732">
            <v>1</v>
          </cell>
          <cell r="G1732">
            <v>0</v>
          </cell>
          <cell r="I1732" t="str">
            <v>JE032</v>
          </cell>
          <cell r="L1732">
            <v>16.2</v>
          </cell>
          <cell r="M1732">
            <v>0.26400000000000001</v>
          </cell>
          <cell r="N1732" t="str">
            <v>5W</v>
          </cell>
          <cell r="P1732" t="str">
            <v>PONFCS</v>
          </cell>
          <cell r="Q1732" t="str">
            <v>/  /</v>
          </cell>
        </row>
        <row r="1733">
          <cell r="A1733">
            <v>4144341</v>
          </cell>
          <cell r="B1733">
            <v>43917</v>
          </cell>
          <cell r="C1733" t="str">
            <v>PON</v>
          </cell>
          <cell r="D1733">
            <v>637006021</v>
          </cell>
          <cell r="E1733" t="str">
            <v>F20 IZ Max Disc 9.7 AXS 50 XS</v>
          </cell>
          <cell r="F1733">
            <v>1</v>
          </cell>
          <cell r="G1733">
            <v>0</v>
          </cell>
          <cell r="I1733" t="str">
            <v>JE032</v>
          </cell>
          <cell r="L1733">
            <v>13.4</v>
          </cell>
          <cell r="M1733">
            <v>0.214</v>
          </cell>
          <cell r="N1733" t="str">
            <v>5W</v>
          </cell>
          <cell r="P1733" t="str">
            <v>PONFCS</v>
          </cell>
          <cell r="Q1733" t="str">
            <v>/  /</v>
          </cell>
        </row>
        <row r="1734">
          <cell r="A1734">
            <v>4278324</v>
          </cell>
          <cell r="B1734">
            <v>44005</v>
          </cell>
          <cell r="C1734" t="str">
            <v>PON</v>
          </cell>
          <cell r="D1734">
            <v>637070108</v>
          </cell>
          <cell r="E1734" t="str">
            <v>C20 P Series D/Ultegra Or Cr58</v>
          </cell>
          <cell r="F1734">
            <v>1</v>
          </cell>
          <cell r="G1734">
            <v>0</v>
          </cell>
          <cell r="I1734" t="str">
            <v>JE041</v>
          </cell>
          <cell r="L1734">
            <v>15.1</v>
          </cell>
          <cell r="M1734">
            <v>0.33800000000000002</v>
          </cell>
          <cell r="N1734" t="str">
            <v>5W</v>
          </cell>
          <cell r="P1734" t="str">
            <v>PONCVL</v>
          </cell>
          <cell r="Q1734" t="str">
            <v>/  /</v>
          </cell>
        </row>
        <row r="1735">
          <cell r="A1735">
            <v>4538427</v>
          </cell>
          <cell r="B1735">
            <v>44160</v>
          </cell>
          <cell r="C1735" t="str">
            <v>PON</v>
          </cell>
          <cell r="D1735">
            <v>641013003</v>
          </cell>
          <cell r="E1735" t="str">
            <v>F21 Jam 8.9 Nine Xl 51 Blu</v>
          </cell>
          <cell r="F1735">
            <v>1</v>
          </cell>
          <cell r="G1735">
            <v>0</v>
          </cell>
          <cell r="I1735" t="str">
            <v>JE051</v>
          </cell>
          <cell r="L1735">
            <v>18.600000000000001</v>
          </cell>
          <cell r="M1735">
            <v>0.378</v>
          </cell>
          <cell r="N1735" t="str">
            <v>5W</v>
          </cell>
          <cell r="P1735" t="str">
            <v>PONFCS</v>
          </cell>
          <cell r="Q1735" t="str">
            <v>/  /</v>
          </cell>
        </row>
        <row r="1736">
          <cell r="A1736">
            <v>4538428</v>
          </cell>
          <cell r="B1736">
            <v>44160</v>
          </cell>
          <cell r="C1736" t="str">
            <v>PON</v>
          </cell>
          <cell r="D1736">
            <v>641013003</v>
          </cell>
          <cell r="E1736" t="str">
            <v>F21 Jam 8.9 Nine Xl 51 Blu</v>
          </cell>
          <cell r="F1736">
            <v>1</v>
          </cell>
          <cell r="G1736">
            <v>0</v>
          </cell>
          <cell r="I1736" t="str">
            <v>JE051</v>
          </cell>
          <cell r="L1736">
            <v>18.600000000000001</v>
          </cell>
          <cell r="M1736">
            <v>0.378</v>
          </cell>
          <cell r="N1736" t="str">
            <v>5W</v>
          </cell>
          <cell r="P1736" t="str">
            <v>PONFCS</v>
          </cell>
          <cell r="Q1736" t="str">
            <v>/  /</v>
          </cell>
        </row>
        <row r="1737">
          <cell r="A1737">
            <v>4383617</v>
          </cell>
          <cell r="B1737">
            <v>44068</v>
          </cell>
          <cell r="C1737" t="str">
            <v>PON</v>
          </cell>
          <cell r="D1737">
            <v>637016223</v>
          </cell>
          <cell r="E1737" t="str">
            <v>F21 PARALANE 8.9 L 56 BLK</v>
          </cell>
          <cell r="F1737">
            <v>1</v>
          </cell>
          <cell r="G1737">
            <v>0</v>
          </cell>
          <cell r="I1737" t="str">
            <v>JE061</v>
          </cell>
          <cell r="L1737">
            <v>13.4</v>
          </cell>
          <cell r="M1737">
            <v>0.34499999999999997</v>
          </cell>
          <cell r="N1737" t="str">
            <v>5W</v>
          </cell>
          <cell r="P1737" t="str">
            <v>PONFCS</v>
          </cell>
          <cell r="Q1737" t="str">
            <v>/  /</v>
          </cell>
        </row>
        <row r="1738">
          <cell r="A1738">
            <v>4538420</v>
          </cell>
          <cell r="B1738">
            <v>44160</v>
          </cell>
          <cell r="C1738" t="str">
            <v>PON</v>
          </cell>
          <cell r="D1738">
            <v>641012324</v>
          </cell>
          <cell r="E1738" t="str">
            <v>F21 Mares 9.8 Xl 58 Blu</v>
          </cell>
          <cell r="F1738">
            <v>1</v>
          </cell>
          <cell r="G1738">
            <v>0</v>
          </cell>
          <cell r="I1738" t="str">
            <v>JE071</v>
          </cell>
          <cell r="L1738">
            <v>12.8</v>
          </cell>
          <cell r="M1738">
            <v>0.34200000000000003</v>
          </cell>
          <cell r="N1738" t="str">
            <v>5W</v>
          </cell>
          <cell r="P1738" t="str">
            <v>PONFCS</v>
          </cell>
          <cell r="Q1738" t="str">
            <v>/  /</v>
          </cell>
        </row>
        <row r="1739">
          <cell r="A1739">
            <v>4538421</v>
          </cell>
          <cell r="B1739">
            <v>44160</v>
          </cell>
          <cell r="C1739" t="str">
            <v>PON</v>
          </cell>
          <cell r="D1739">
            <v>641012324</v>
          </cell>
          <cell r="E1739" t="str">
            <v>F21 Mares 9.8 Xl 58 Blu</v>
          </cell>
          <cell r="F1739">
            <v>1</v>
          </cell>
          <cell r="G1739">
            <v>0</v>
          </cell>
          <cell r="I1739" t="str">
            <v>JE071</v>
          </cell>
          <cell r="L1739">
            <v>12.8</v>
          </cell>
          <cell r="M1739">
            <v>0.34200000000000003</v>
          </cell>
          <cell r="N1739" t="str">
            <v>5W</v>
          </cell>
          <cell r="P1739" t="str">
            <v>PONFCS</v>
          </cell>
          <cell r="Q1739" t="str">
            <v>/  /</v>
          </cell>
        </row>
        <row r="1740">
          <cell r="A1740">
            <v>4031408</v>
          </cell>
          <cell r="B1740">
            <v>43846</v>
          </cell>
          <cell r="C1740" t="str">
            <v>PON</v>
          </cell>
          <cell r="D1740">
            <v>633012304</v>
          </cell>
          <cell r="E1740" t="str">
            <v>FC F19 Mares 9.9 58XLOrngeTeam</v>
          </cell>
          <cell r="F1740">
            <v>1</v>
          </cell>
          <cell r="G1740">
            <v>0</v>
          </cell>
          <cell r="I1740" t="str">
            <v>JE081</v>
          </cell>
          <cell r="L1740">
            <v>12.6</v>
          </cell>
          <cell r="M1740">
            <v>0.35199999999999998</v>
          </cell>
          <cell r="N1740" t="str">
            <v>5W</v>
          </cell>
          <cell r="P1740" t="str">
            <v>PONFCS</v>
          </cell>
          <cell r="Q1740" t="str">
            <v>/  /</v>
          </cell>
        </row>
        <row r="1741">
          <cell r="A1741">
            <v>4278075</v>
          </cell>
          <cell r="B1741">
            <v>44005</v>
          </cell>
          <cell r="C1741" t="str">
            <v>PON</v>
          </cell>
          <cell r="D1741">
            <v>637070088</v>
          </cell>
          <cell r="E1741" t="str">
            <v>C20 P Series D/Force Wht L/G54</v>
          </cell>
          <cell r="F1741">
            <v>1</v>
          </cell>
          <cell r="G1741">
            <v>0</v>
          </cell>
          <cell r="I1741" t="str">
            <v>JE081</v>
          </cell>
          <cell r="L1741">
            <v>15.8</v>
          </cell>
          <cell r="M1741">
            <v>0.33800000000000002</v>
          </cell>
          <cell r="N1741" t="str">
            <v>5W</v>
          </cell>
          <cell r="P1741" t="str">
            <v>PONCVL</v>
          </cell>
          <cell r="Q1741" t="str">
            <v>/  /</v>
          </cell>
        </row>
        <row r="1742">
          <cell r="A1742">
            <v>4278070</v>
          </cell>
          <cell r="B1742">
            <v>44005</v>
          </cell>
          <cell r="C1742" t="str">
            <v>PON</v>
          </cell>
          <cell r="D1742">
            <v>637070087</v>
          </cell>
          <cell r="E1742" t="str">
            <v>C20 P Series D/Force Wht L/G51</v>
          </cell>
          <cell r="F1742">
            <v>1</v>
          </cell>
          <cell r="G1742">
            <v>0</v>
          </cell>
          <cell r="I1742" t="str">
            <v>JE091</v>
          </cell>
          <cell r="L1742">
            <v>15.6</v>
          </cell>
          <cell r="M1742">
            <v>0.33800000000000002</v>
          </cell>
          <cell r="N1742" t="str">
            <v>5W</v>
          </cell>
          <cell r="P1742" t="str">
            <v>PONCVL</v>
          </cell>
          <cell r="Q1742" t="str">
            <v>/  /</v>
          </cell>
        </row>
        <row r="1743">
          <cell r="A1743">
            <v>4278071</v>
          </cell>
          <cell r="B1743">
            <v>44005</v>
          </cell>
          <cell r="C1743" t="str">
            <v>PON</v>
          </cell>
          <cell r="D1743">
            <v>637070087</v>
          </cell>
          <cell r="E1743" t="str">
            <v>C20 P Series D/Force Wht L/G51</v>
          </cell>
          <cell r="F1743">
            <v>1</v>
          </cell>
          <cell r="G1743">
            <v>0</v>
          </cell>
          <cell r="I1743" t="str">
            <v>JE091</v>
          </cell>
          <cell r="L1743">
            <v>15.6</v>
          </cell>
          <cell r="M1743">
            <v>0.33800000000000002</v>
          </cell>
          <cell r="N1743" t="str">
            <v>5W</v>
          </cell>
          <cell r="P1743" t="str">
            <v>PONCVL</v>
          </cell>
          <cell r="Q1743" t="str">
            <v>/  /</v>
          </cell>
        </row>
        <row r="1744">
          <cell r="A1744">
            <v>4278081</v>
          </cell>
          <cell r="B1744">
            <v>44005</v>
          </cell>
          <cell r="C1744" t="str">
            <v>PON</v>
          </cell>
          <cell r="D1744">
            <v>637070095</v>
          </cell>
          <cell r="E1744" t="str">
            <v>C20 P Series D/Force Org Crl56</v>
          </cell>
          <cell r="F1744">
            <v>1</v>
          </cell>
          <cell r="G1744">
            <v>0</v>
          </cell>
          <cell r="I1744" t="str">
            <v>JE101</v>
          </cell>
          <cell r="L1744">
            <v>15.7</v>
          </cell>
          <cell r="M1744">
            <v>0.33800000000000002</v>
          </cell>
          <cell r="N1744" t="str">
            <v>5W</v>
          </cell>
          <cell r="P1744" t="str">
            <v>PONCVL</v>
          </cell>
          <cell r="Q1744" t="str">
            <v>/  /</v>
          </cell>
        </row>
        <row r="1745">
          <cell r="A1745">
            <v>4538422</v>
          </cell>
          <cell r="B1745">
            <v>44160</v>
          </cell>
          <cell r="C1745" t="str">
            <v>PON</v>
          </cell>
          <cell r="D1745">
            <v>641012324</v>
          </cell>
          <cell r="E1745" t="str">
            <v>F21 Mares 9.8 Xl 58 Blu</v>
          </cell>
          <cell r="F1745">
            <v>1</v>
          </cell>
          <cell r="G1745">
            <v>0</v>
          </cell>
          <cell r="I1745" t="str">
            <v>JE101</v>
          </cell>
          <cell r="L1745">
            <v>12.8</v>
          </cell>
          <cell r="M1745">
            <v>0.34200000000000003</v>
          </cell>
          <cell r="N1745" t="str">
            <v>5W</v>
          </cell>
          <cell r="P1745" t="str">
            <v>PONFCS</v>
          </cell>
          <cell r="Q1745" t="str">
            <v>/  /</v>
          </cell>
        </row>
        <row r="1746">
          <cell r="A1746">
            <v>4538423</v>
          </cell>
          <cell r="B1746">
            <v>44160</v>
          </cell>
          <cell r="C1746" t="str">
            <v>PON</v>
          </cell>
          <cell r="D1746">
            <v>641012324</v>
          </cell>
          <cell r="E1746" t="str">
            <v>F21 Mares 9.8 Xl 58 Blu</v>
          </cell>
          <cell r="F1746">
            <v>1</v>
          </cell>
          <cell r="G1746">
            <v>0</v>
          </cell>
          <cell r="I1746" t="str">
            <v>JE101</v>
          </cell>
          <cell r="L1746">
            <v>12.8</v>
          </cell>
          <cell r="M1746">
            <v>0.34200000000000003</v>
          </cell>
          <cell r="N1746" t="str">
            <v>5W</v>
          </cell>
          <cell r="P1746" t="str">
            <v>PONFCS</v>
          </cell>
          <cell r="Q1746" t="str">
            <v>/  /</v>
          </cell>
        </row>
        <row r="1747">
          <cell r="A1747">
            <v>4538424</v>
          </cell>
          <cell r="B1747">
            <v>44160</v>
          </cell>
          <cell r="C1747" t="str">
            <v>PON</v>
          </cell>
          <cell r="D1747">
            <v>641012324</v>
          </cell>
          <cell r="E1747" t="str">
            <v>F21 Mares 9.8 Xl 58 Blu</v>
          </cell>
          <cell r="F1747">
            <v>1</v>
          </cell>
          <cell r="G1747">
            <v>0</v>
          </cell>
          <cell r="I1747" t="str">
            <v>JE101</v>
          </cell>
          <cell r="L1747">
            <v>12.8</v>
          </cell>
          <cell r="M1747">
            <v>0.34200000000000003</v>
          </cell>
          <cell r="N1747" t="str">
            <v>5W</v>
          </cell>
          <cell r="P1747" t="str">
            <v>PONFCS</v>
          </cell>
          <cell r="Q1747" t="str">
            <v>/  /</v>
          </cell>
        </row>
        <row r="1748">
          <cell r="A1748">
            <v>4397636</v>
          </cell>
          <cell r="B1748">
            <v>44077</v>
          </cell>
          <cell r="C1748" t="str">
            <v>PON</v>
          </cell>
          <cell r="D1748">
            <v>633078042</v>
          </cell>
          <cell r="E1748" t="str">
            <v>CV C19R5 DscDA Di2 54CMBlk/Gph</v>
          </cell>
          <cell r="F1748">
            <v>1</v>
          </cell>
          <cell r="G1748">
            <v>0</v>
          </cell>
          <cell r="I1748" t="str">
            <v>JE102</v>
          </cell>
          <cell r="L1748">
            <v>12.7</v>
          </cell>
          <cell r="M1748">
            <v>0.22500000000000001</v>
          </cell>
          <cell r="N1748" t="str">
            <v>5W</v>
          </cell>
          <cell r="P1748" t="str">
            <v>PONCVL</v>
          </cell>
          <cell r="Q1748" t="str">
            <v>/  /</v>
          </cell>
        </row>
        <row r="1749">
          <cell r="A1749">
            <v>4089553</v>
          </cell>
          <cell r="B1749">
            <v>43815</v>
          </cell>
          <cell r="C1749" t="str">
            <v>PON</v>
          </cell>
          <cell r="D1749">
            <v>637078240</v>
          </cell>
          <cell r="E1749" t="str">
            <v>CV C20 S5 Dsc Ult Blk/D-L/T54</v>
          </cell>
          <cell r="F1749">
            <v>1</v>
          </cell>
          <cell r="G1749">
            <v>0</v>
          </cell>
          <cell r="I1749" t="str">
            <v>JE102</v>
          </cell>
          <cell r="L1749">
            <v>13.7</v>
          </cell>
          <cell r="M1749">
            <v>0.24399999999999999</v>
          </cell>
          <cell r="N1749" t="str">
            <v>5W</v>
          </cell>
          <cell r="P1749" t="str">
            <v>PONCVL</v>
          </cell>
          <cell r="Q1749" t="str">
            <v>/  /</v>
          </cell>
        </row>
        <row r="1750">
          <cell r="A1750">
            <v>3974184</v>
          </cell>
          <cell r="B1750">
            <v>43802</v>
          </cell>
          <cell r="C1750" t="str">
            <v>PON</v>
          </cell>
          <cell r="D1750">
            <v>633017000</v>
          </cell>
          <cell r="E1750" t="str">
            <v>FC F19 Sam 9.9 41S Black/Red</v>
          </cell>
          <cell r="F1750">
            <v>1</v>
          </cell>
          <cell r="G1750">
            <v>0</v>
          </cell>
          <cell r="I1750" t="str">
            <v>JE111</v>
          </cell>
          <cell r="L1750">
            <v>18.7</v>
          </cell>
          <cell r="M1750">
            <v>0.38600000000000001</v>
          </cell>
          <cell r="N1750" t="str">
            <v>5W</v>
          </cell>
          <cell r="P1750" t="str">
            <v>PONFCS</v>
          </cell>
          <cell r="Q1750" t="str">
            <v>/  /</v>
          </cell>
        </row>
        <row r="1751">
          <cell r="A1751">
            <v>4278077</v>
          </cell>
          <cell r="B1751">
            <v>44005</v>
          </cell>
          <cell r="C1751" t="str">
            <v>PON</v>
          </cell>
          <cell r="D1751">
            <v>637070089</v>
          </cell>
          <cell r="E1751" t="str">
            <v>C20 P Series D/Force Wht L/G56</v>
          </cell>
          <cell r="F1751">
            <v>1</v>
          </cell>
          <cell r="G1751">
            <v>0</v>
          </cell>
          <cell r="I1751" t="str">
            <v>JE111</v>
          </cell>
          <cell r="L1751">
            <v>15.8</v>
          </cell>
          <cell r="M1751">
            <v>0.33800000000000002</v>
          </cell>
          <cell r="N1751" t="str">
            <v>5W</v>
          </cell>
          <cell r="P1751" t="str">
            <v>PONCVL</v>
          </cell>
          <cell r="Q1751" t="str">
            <v>/  /</v>
          </cell>
        </row>
        <row r="1752">
          <cell r="A1752">
            <v>4278079</v>
          </cell>
          <cell r="B1752">
            <v>44005</v>
          </cell>
          <cell r="C1752" t="str">
            <v>PON</v>
          </cell>
          <cell r="D1752">
            <v>637070094</v>
          </cell>
          <cell r="E1752" t="str">
            <v>C20 P Series D/Force Org Crl54</v>
          </cell>
          <cell r="F1752">
            <v>1</v>
          </cell>
          <cell r="G1752">
            <v>0</v>
          </cell>
          <cell r="I1752" t="str">
            <v>JE111</v>
          </cell>
          <cell r="L1752">
            <v>15.7</v>
          </cell>
          <cell r="M1752">
            <v>0.33800000000000002</v>
          </cell>
          <cell r="N1752" t="str">
            <v>5W</v>
          </cell>
          <cell r="P1752" t="str">
            <v>PONCVL</v>
          </cell>
          <cell r="Q1752" t="str">
            <v>/  /</v>
          </cell>
        </row>
        <row r="1753">
          <cell r="A1753">
            <v>4407811</v>
          </cell>
          <cell r="B1753">
            <v>44083</v>
          </cell>
          <cell r="C1753" t="str">
            <v>PON</v>
          </cell>
          <cell r="D1753">
            <v>620508012</v>
          </cell>
          <cell r="E1753" t="str">
            <v>FC F15 F/S Mares CX 3.0 54 MD</v>
          </cell>
          <cell r="F1753">
            <v>1</v>
          </cell>
          <cell r="G1753">
            <v>0</v>
          </cell>
          <cell r="I1753" t="str">
            <v>JE112</v>
          </cell>
          <cell r="L1753">
            <v>6</v>
          </cell>
          <cell r="M1753">
            <v>0.17399999999999999</v>
          </cell>
          <cell r="N1753" t="str">
            <v>5W</v>
          </cell>
          <cell r="P1753" t="str">
            <v>PONFCS</v>
          </cell>
          <cell r="Q1753" t="str">
            <v>/  /</v>
          </cell>
        </row>
        <row r="1754">
          <cell r="A1754">
            <v>4089734</v>
          </cell>
          <cell r="B1754">
            <v>43752</v>
          </cell>
          <cell r="C1754" t="str">
            <v>PON</v>
          </cell>
          <cell r="D1754">
            <v>633006365</v>
          </cell>
          <cell r="E1754" t="str">
            <v>FC F19 Mare 6.7 60XXL BlueMatt</v>
          </cell>
          <cell r="F1754">
            <v>1</v>
          </cell>
          <cell r="G1754">
            <v>0</v>
          </cell>
          <cell r="I1754" t="str">
            <v>JE112</v>
          </cell>
          <cell r="L1754">
            <v>16.2</v>
          </cell>
          <cell r="M1754">
            <v>0.26400000000000001</v>
          </cell>
          <cell r="N1754" t="str">
            <v>5W</v>
          </cell>
          <cell r="P1754" t="str">
            <v>PONFCS</v>
          </cell>
          <cell r="Q1754" t="str">
            <v>/  /</v>
          </cell>
        </row>
        <row r="1755">
          <cell r="A1755">
            <v>4407815</v>
          </cell>
          <cell r="B1755">
            <v>44083</v>
          </cell>
          <cell r="C1755" t="str">
            <v>PON</v>
          </cell>
          <cell r="D1755">
            <v>633073314</v>
          </cell>
          <cell r="E1755" t="str">
            <v>CV C19 R3 Dsc F/S 58CM Blk/Wh</v>
          </cell>
          <cell r="F1755">
            <v>1</v>
          </cell>
          <cell r="G1755">
            <v>0</v>
          </cell>
          <cell r="I1755" t="str">
            <v>JE112</v>
          </cell>
          <cell r="L1755">
            <v>5.6</v>
          </cell>
          <cell r="M1755">
            <v>0.17799999999999999</v>
          </cell>
          <cell r="N1755" t="str">
            <v>5W</v>
          </cell>
          <cell r="P1755" t="str">
            <v>PONCVL</v>
          </cell>
          <cell r="Q1755" t="str">
            <v>/  /</v>
          </cell>
        </row>
        <row r="1756">
          <cell r="A1756">
            <v>4407813</v>
          </cell>
          <cell r="B1756">
            <v>44083</v>
          </cell>
          <cell r="C1756" t="str">
            <v>PON</v>
          </cell>
          <cell r="D1756">
            <v>633080206</v>
          </cell>
          <cell r="E1756" t="str">
            <v>FC F19IzalcoMaxDisc 8 FS 61XXL</v>
          </cell>
          <cell r="F1756">
            <v>1</v>
          </cell>
          <cell r="G1756">
            <v>0</v>
          </cell>
          <cell r="I1756" t="str">
            <v>JE112</v>
          </cell>
          <cell r="L1756">
            <v>5.4</v>
          </cell>
          <cell r="M1756">
            <v>0.16800000000000001</v>
          </cell>
          <cell r="N1756" t="str">
            <v>5W</v>
          </cell>
          <cell r="P1756" t="str">
            <v>PONFCS</v>
          </cell>
          <cell r="Q1756" t="str">
            <v>/  /</v>
          </cell>
        </row>
        <row r="1757">
          <cell r="A1757">
            <v>4066840</v>
          </cell>
          <cell r="B1757">
            <v>43873</v>
          </cell>
          <cell r="C1757" t="str">
            <v>PON</v>
          </cell>
          <cell r="D1757">
            <v>637013005</v>
          </cell>
          <cell r="E1757" t="str">
            <v>F20 SAM 9.9</v>
          </cell>
          <cell r="F1757">
            <v>1</v>
          </cell>
          <cell r="G1757">
            <v>0</v>
          </cell>
          <cell r="I1757" t="str">
            <v>JE131</v>
          </cell>
          <cell r="L1757">
            <v>19.8</v>
          </cell>
          <cell r="M1757">
            <v>0.38300000000000001</v>
          </cell>
          <cell r="N1757" t="str">
            <v>5W</v>
          </cell>
          <cell r="P1757" t="str">
            <v>PONFCS</v>
          </cell>
          <cell r="Q1757" t="str">
            <v>/  /</v>
          </cell>
        </row>
        <row r="1758">
          <cell r="A1758">
            <v>4088298</v>
          </cell>
          <cell r="B1758">
            <v>43873</v>
          </cell>
          <cell r="C1758" t="str">
            <v>PON</v>
          </cell>
          <cell r="D1758">
            <v>637013005</v>
          </cell>
          <cell r="E1758" t="str">
            <v>F20 SAM 9.9</v>
          </cell>
          <cell r="F1758">
            <v>1</v>
          </cell>
          <cell r="G1758">
            <v>0</v>
          </cell>
          <cell r="I1758" t="str">
            <v>JE131</v>
          </cell>
          <cell r="L1758">
            <v>19.8</v>
          </cell>
          <cell r="M1758">
            <v>0.38300000000000001</v>
          </cell>
          <cell r="N1758" t="str">
            <v>5W</v>
          </cell>
          <cell r="P1758" t="str">
            <v>PONFCS</v>
          </cell>
          <cell r="Q1758" t="str">
            <v>/  /</v>
          </cell>
        </row>
        <row r="1759">
          <cell r="A1759">
            <v>4587085</v>
          </cell>
          <cell r="B1759">
            <v>44181</v>
          </cell>
          <cell r="C1759" t="str">
            <v>PON</v>
          </cell>
          <cell r="D1759">
            <v>637019381</v>
          </cell>
          <cell r="E1759" t="str">
            <v>F21 Whistler 3.5 S40 F Orange</v>
          </cell>
          <cell r="F1759">
            <v>1</v>
          </cell>
          <cell r="G1759">
            <v>0</v>
          </cell>
          <cell r="I1759" t="str">
            <v>JE131</v>
          </cell>
          <cell r="L1759">
            <v>19.600000000000001</v>
          </cell>
          <cell r="M1759">
            <v>0.38700000000000001</v>
          </cell>
          <cell r="N1759" t="str">
            <v>5W</v>
          </cell>
          <cell r="P1759" t="str">
            <v>PONFCS</v>
          </cell>
          <cell r="Q1759" t="str">
            <v>/  /</v>
          </cell>
        </row>
        <row r="1760">
          <cell r="A1760">
            <v>4587088</v>
          </cell>
          <cell r="B1760">
            <v>44181</v>
          </cell>
          <cell r="C1760" t="str">
            <v>PON</v>
          </cell>
          <cell r="D1760">
            <v>637019381</v>
          </cell>
          <cell r="E1760" t="str">
            <v>F21 Whistler 3.5 S40 F Orange</v>
          </cell>
          <cell r="F1760">
            <v>1</v>
          </cell>
          <cell r="G1760">
            <v>0</v>
          </cell>
          <cell r="I1760" t="str">
            <v>JE131</v>
          </cell>
          <cell r="L1760">
            <v>19.600000000000001</v>
          </cell>
          <cell r="M1760">
            <v>0.38700000000000001</v>
          </cell>
          <cell r="N1760" t="str">
            <v>5W</v>
          </cell>
          <cell r="P1760" t="str">
            <v>PONFCS</v>
          </cell>
          <cell r="Q1760" t="str">
            <v>/  /</v>
          </cell>
        </row>
        <row r="1761">
          <cell r="A1761">
            <v>4086814</v>
          </cell>
          <cell r="B1761">
            <v>43752</v>
          </cell>
          <cell r="C1761" t="str">
            <v>PON</v>
          </cell>
          <cell r="D1761">
            <v>633006365</v>
          </cell>
          <cell r="E1761" t="str">
            <v>FC F19 Mare 6.7 60XXL BlueMatt</v>
          </cell>
          <cell r="F1761">
            <v>1</v>
          </cell>
          <cell r="G1761">
            <v>0</v>
          </cell>
          <cell r="I1761" t="str">
            <v>JE132</v>
          </cell>
          <cell r="L1761">
            <v>16.2</v>
          </cell>
          <cell r="M1761">
            <v>0.26400000000000001</v>
          </cell>
          <cell r="N1761" t="str">
            <v>5W</v>
          </cell>
          <cell r="P1761" t="str">
            <v>PONFCS</v>
          </cell>
          <cell r="Q1761" t="str">
            <v>/  /</v>
          </cell>
        </row>
        <row r="1762">
          <cell r="A1762">
            <v>4087151</v>
          </cell>
          <cell r="B1762">
            <v>43752</v>
          </cell>
          <cell r="C1762" t="str">
            <v>PON</v>
          </cell>
          <cell r="D1762">
            <v>633006365</v>
          </cell>
          <cell r="E1762" t="str">
            <v>FC F19 Mare 6.7 60XXL BlueMatt</v>
          </cell>
          <cell r="F1762">
            <v>1</v>
          </cell>
          <cell r="G1762">
            <v>0</v>
          </cell>
          <cell r="I1762" t="str">
            <v>JE132</v>
          </cell>
          <cell r="L1762">
            <v>16.2</v>
          </cell>
          <cell r="M1762">
            <v>0.26400000000000001</v>
          </cell>
          <cell r="N1762" t="str">
            <v>5W</v>
          </cell>
          <cell r="P1762" t="str">
            <v>PONFCS</v>
          </cell>
          <cell r="Q1762" t="str">
            <v>/  /</v>
          </cell>
        </row>
        <row r="1763">
          <cell r="A1763">
            <v>4587086</v>
          </cell>
          <cell r="B1763">
            <v>44181</v>
          </cell>
          <cell r="C1763" t="str">
            <v>PON</v>
          </cell>
          <cell r="D1763">
            <v>637019381</v>
          </cell>
          <cell r="E1763" t="str">
            <v>F21 Whistler 3.5 S40 F Orange</v>
          </cell>
          <cell r="F1763">
            <v>1</v>
          </cell>
          <cell r="G1763">
            <v>0</v>
          </cell>
          <cell r="I1763" t="str">
            <v>JE141</v>
          </cell>
          <cell r="L1763">
            <v>19.600000000000001</v>
          </cell>
          <cell r="M1763">
            <v>0.38700000000000001</v>
          </cell>
          <cell r="N1763" t="str">
            <v>5W</v>
          </cell>
          <cell r="P1763" t="str">
            <v>PONFCS</v>
          </cell>
          <cell r="Q1763" t="str">
            <v>/  /</v>
          </cell>
        </row>
        <row r="1764">
          <cell r="A1764">
            <v>4587087</v>
          </cell>
          <cell r="B1764">
            <v>44181</v>
          </cell>
          <cell r="C1764" t="str">
            <v>PON</v>
          </cell>
          <cell r="D1764">
            <v>637019381</v>
          </cell>
          <cell r="E1764" t="str">
            <v>F21 Whistler 3.5 S40 F Orange</v>
          </cell>
          <cell r="F1764">
            <v>1</v>
          </cell>
          <cell r="G1764">
            <v>0</v>
          </cell>
          <cell r="I1764" t="str">
            <v>JE141</v>
          </cell>
          <cell r="L1764">
            <v>19.600000000000001</v>
          </cell>
          <cell r="M1764">
            <v>0.38700000000000001</v>
          </cell>
          <cell r="N1764" t="str">
            <v>5W</v>
          </cell>
          <cell r="P1764" t="str">
            <v>PONFCS</v>
          </cell>
          <cell r="Q1764" t="str">
            <v>/  /</v>
          </cell>
        </row>
        <row r="1765">
          <cell r="A1765">
            <v>4087152</v>
          </cell>
          <cell r="B1765">
            <v>43752</v>
          </cell>
          <cell r="C1765" t="str">
            <v>PON</v>
          </cell>
          <cell r="D1765">
            <v>633006365</v>
          </cell>
          <cell r="E1765" t="str">
            <v>FC F19 Mare 6.7 60XXL BlueMatt</v>
          </cell>
          <cell r="F1765">
            <v>1</v>
          </cell>
          <cell r="G1765">
            <v>0</v>
          </cell>
          <cell r="I1765" t="str">
            <v>JE142</v>
          </cell>
          <cell r="L1765">
            <v>16.2</v>
          </cell>
          <cell r="M1765">
            <v>0.26400000000000001</v>
          </cell>
          <cell r="N1765" t="str">
            <v>5W</v>
          </cell>
          <cell r="P1765" t="str">
            <v>PONFCS</v>
          </cell>
          <cell r="Q1765" t="str">
            <v>/  /</v>
          </cell>
        </row>
        <row r="1766">
          <cell r="A1766">
            <v>4644674</v>
          </cell>
          <cell r="B1766">
            <v>44225</v>
          </cell>
          <cell r="C1766" t="str">
            <v>PON</v>
          </cell>
          <cell r="D1766">
            <v>641078307</v>
          </cell>
          <cell r="E1766" t="str">
            <v>C21 ETAP Carbon/Holographic 54</v>
          </cell>
          <cell r="F1766">
            <v>1</v>
          </cell>
          <cell r="G1766">
            <v>0</v>
          </cell>
          <cell r="I1766" t="str">
            <v>JE142</v>
          </cell>
          <cell r="L1766">
            <v>14.5</v>
          </cell>
          <cell r="M1766">
            <v>0.23300000000000001</v>
          </cell>
          <cell r="N1766" t="str">
            <v>5W</v>
          </cell>
          <cell r="P1766" t="str">
            <v>PONCVL</v>
          </cell>
          <cell r="Q1766" t="str">
            <v>/  /</v>
          </cell>
        </row>
        <row r="1767">
          <cell r="A1767">
            <v>4039881</v>
          </cell>
          <cell r="B1767">
            <v>43852</v>
          </cell>
          <cell r="C1767" t="str">
            <v>PON</v>
          </cell>
          <cell r="D1767" t="str">
            <v>CBOD2670</v>
          </cell>
          <cell r="E1767" t="str">
            <v>Focus SSPS Blue Road Race</v>
          </cell>
          <cell r="F1767">
            <v>1</v>
          </cell>
          <cell r="G1767">
            <v>0</v>
          </cell>
          <cell r="I1767" t="str">
            <v>JG011</v>
          </cell>
          <cell r="L1767">
            <v>12.4</v>
          </cell>
          <cell r="M1767">
            <v>0.24099999999999999</v>
          </cell>
          <cell r="N1767" t="str">
            <v>5W</v>
          </cell>
          <cell r="P1767" t="str">
            <v>PONFCS</v>
          </cell>
          <cell r="Q1767" t="str">
            <v>/  /</v>
          </cell>
        </row>
        <row r="1768">
          <cell r="A1768">
            <v>4037589</v>
          </cell>
          <cell r="B1768">
            <v>43851</v>
          </cell>
          <cell r="C1768" t="str">
            <v>PON</v>
          </cell>
          <cell r="D1768">
            <v>612007997</v>
          </cell>
          <cell r="E1768" t="str">
            <v>Focus F12 F/S* Raven 1.0 MD48</v>
          </cell>
          <cell r="F1768">
            <v>1</v>
          </cell>
          <cell r="G1768">
            <v>0</v>
          </cell>
          <cell r="I1768" t="str">
            <v>JG012</v>
          </cell>
          <cell r="L1768">
            <v>4.5999999999999996</v>
          </cell>
          <cell r="M1768">
            <v>0.17799999999999999</v>
          </cell>
          <cell r="N1768" t="str">
            <v>5W</v>
          </cell>
          <cell r="P1768" t="str">
            <v>PONFCS</v>
          </cell>
          <cell r="Q1768" t="str">
            <v>/  /</v>
          </cell>
        </row>
        <row r="1769">
          <cell r="A1769">
            <v>4037593</v>
          </cell>
          <cell r="B1769">
            <v>43851</v>
          </cell>
          <cell r="C1769" t="str">
            <v>PON</v>
          </cell>
          <cell r="D1769">
            <v>612076221</v>
          </cell>
          <cell r="E1769" t="str">
            <v>CV C12 S5 FS Team 51CM Blk</v>
          </cell>
          <cell r="F1769">
            <v>1</v>
          </cell>
          <cell r="G1769">
            <v>0</v>
          </cell>
          <cell r="I1769" t="str">
            <v>JG012</v>
          </cell>
          <cell r="L1769">
            <v>5.3</v>
          </cell>
          <cell r="M1769">
            <v>0.128</v>
          </cell>
          <cell r="N1769" t="str">
            <v>5W</v>
          </cell>
          <cell r="P1769" t="str">
            <v>PONCVL</v>
          </cell>
          <cell r="Q1769" t="str">
            <v>/  /</v>
          </cell>
        </row>
        <row r="1770">
          <cell r="A1770">
            <v>4037595</v>
          </cell>
          <cell r="B1770">
            <v>43851</v>
          </cell>
          <cell r="C1770" t="str">
            <v>PON</v>
          </cell>
          <cell r="D1770">
            <v>612076225</v>
          </cell>
          <cell r="E1770" t="str">
            <v>CV C12 S5 FS Team 61CM Blk</v>
          </cell>
          <cell r="F1770">
            <v>1</v>
          </cell>
          <cell r="G1770">
            <v>0</v>
          </cell>
          <cell r="I1770" t="str">
            <v>JG012</v>
          </cell>
          <cell r="L1770">
            <v>6.5</v>
          </cell>
          <cell r="M1770">
            <v>0.15</v>
          </cell>
          <cell r="N1770" t="str">
            <v>5W</v>
          </cell>
          <cell r="P1770" t="str">
            <v>PONCVL</v>
          </cell>
          <cell r="Q1770" t="str">
            <v>/  /</v>
          </cell>
        </row>
        <row r="1771">
          <cell r="A1771">
            <v>4037635</v>
          </cell>
          <cell r="B1771">
            <v>43851</v>
          </cell>
          <cell r="C1771" t="str">
            <v>PON</v>
          </cell>
          <cell r="D1771">
            <v>614508062</v>
          </cell>
          <cell r="E1771" t="str">
            <v>FC F14 FS IZ Team 1.0 52 SMDi2</v>
          </cell>
          <cell r="F1771">
            <v>1</v>
          </cell>
          <cell r="G1771">
            <v>0</v>
          </cell>
          <cell r="I1771" t="str">
            <v>JG012</v>
          </cell>
          <cell r="L1771">
            <v>5.5</v>
          </cell>
          <cell r="M1771">
            <v>0.17199999999999999</v>
          </cell>
          <cell r="N1771" t="str">
            <v>5W</v>
          </cell>
          <cell r="P1771" t="str">
            <v>PONFCS</v>
          </cell>
          <cell r="Q1771" t="str">
            <v>/  /</v>
          </cell>
        </row>
        <row r="1772">
          <cell r="A1772">
            <v>3948705</v>
          </cell>
          <cell r="B1772">
            <v>43788</v>
          </cell>
          <cell r="C1772" t="str">
            <v>PON</v>
          </cell>
          <cell r="D1772">
            <v>628509102</v>
          </cell>
          <cell r="E1772" t="str">
            <v>FC F18 IZ Max Disc DI2 F/S 52S</v>
          </cell>
          <cell r="F1772">
            <v>1</v>
          </cell>
          <cell r="G1772">
            <v>0</v>
          </cell>
          <cell r="I1772" t="str">
            <v>JG012</v>
          </cell>
          <cell r="L1772">
            <v>5.4</v>
          </cell>
          <cell r="M1772">
            <v>0.14299999999999999</v>
          </cell>
          <cell r="N1772" t="str">
            <v>5W</v>
          </cell>
          <cell r="P1772" t="str">
            <v>PONFCS</v>
          </cell>
          <cell r="Q1772" t="str">
            <v>/  /</v>
          </cell>
        </row>
        <row r="1773">
          <cell r="A1773">
            <v>4037663</v>
          </cell>
          <cell r="B1773">
            <v>43851</v>
          </cell>
          <cell r="C1773" t="str">
            <v>PON</v>
          </cell>
          <cell r="D1773" t="str">
            <v>C11S1FS56</v>
          </cell>
          <cell r="E1773" t="str">
            <v>C11 S1 56cm F/S</v>
          </cell>
          <cell r="F1773">
            <v>1</v>
          </cell>
          <cell r="G1773">
            <v>0</v>
          </cell>
          <cell r="I1773" t="str">
            <v>JG012</v>
          </cell>
          <cell r="L1773">
            <v>5.4</v>
          </cell>
          <cell r="M1773">
            <v>0.128</v>
          </cell>
          <cell r="N1773" t="str">
            <v>5W</v>
          </cell>
          <cell r="P1773" t="str">
            <v>PONCVL</v>
          </cell>
          <cell r="Q1773" t="str">
            <v>/  /</v>
          </cell>
        </row>
        <row r="1774">
          <cell r="A1774">
            <v>4037617</v>
          </cell>
          <cell r="B1774">
            <v>43851</v>
          </cell>
          <cell r="C1774" t="str">
            <v>PON</v>
          </cell>
          <cell r="D1774">
            <v>613508052</v>
          </cell>
          <cell r="E1774" t="str">
            <v>FC F13 FS Mare CX 2.0 56 LGDi2</v>
          </cell>
          <cell r="F1774">
            <v>1</v>
          </cell>
          <cell r="G1774">
            <v>0</v>
          </cell>
          <cell r="I1774" t="str">
            <v>JG021</v>
          </cell>
          <cell r="L1774">
            <v>3.5</v>
          </cell>
          <cell r="M1774">
            <v>0.123</v>
          </cell>
          <cell r="N1774" t="str">
            <v>5W</v>
          </cell>
          <cell r="P1774" t="str">
            <v>PONFCS</v>
          </cell>
          <cell r="Q1774" t="str">
            <v>/  /</v>
          </cell>
        </row>
        <row r="1775">
          <cell r="A1775">
            <v>4037580</v>
          </cell>
          <cell r="B1775">
            <v>43851</v>
          </cell>
          <cell r="C1775" t="str">
            <v>PON</v>
          </cell>
          <cell r="D1775">
            <v>612007082</v>
          </cell>
          <cell r="E1775" t="str">
            <v>Focus F12 IZ F/S* TM 4.0 52SM</v>
          </cell>
          <cell r="F1775">
            <v>1</v>
          </cell>
          <cell r="G1775">
            <v>0</v>
          </cell>
          <cell r="I1775" t="str">
            <v>JG022</v>
          </cell>
          <cell r="L1775">
            <v>5.6</v>
          </cell>
          <cell r="M1775">
            <v>0.191</v>
          </cell>
          <cell r="N1775" t="str">
            <v>5W</v>
          </cell>
          <cell r="P1775" t="str">
            <v>PONFCS</v>
          </cell>
          <cell r="Q1775" t="str">
            <v>/  /</v>
          </cell>
        </row>
        <row r="1776">
          <cell r="A1776">
            <v>4080943</v>
          </cell>
          <cell r="B1776">
            <v>43851</v>
          </cell>
          <cell r="C1776" t="str">
            <v>PON</v>
          </cell>
          <cell r="D1776">
            <v>612007082</v>
          </cell>
          <cell r="E1776" t="str">
            <v>Focus F12 IZ F/S* TM 4.0 52SM</v>
          </cell>
          <cell r="F1776">
            <v>1</v>
          </cell>
          <cell r="G1776">
            <v>0</v>
          </cell>
          <cell r="I1776" t="str">
            <v>JG022</v>
          </cell>
          <cell r="L1776">
            <v>5.6</v>
          </cell>
          <cell r="M1776">
            <v>0.191</v>
          </cell>
          <cell r="N1776" t="str">
            <v>5W</v>
          </cell>
          <cell r="P1776" t="str">
            <v>PONFCS</v>
          </cell>
          <cell r="Q1776" t="str">
            <v>/  /</v>
          </cell>
        </row>
        <row r="1777">
          <cell r="A1777">
            <v>4037615</v>
          </cell>
          <cell r="B1777">
            <v>43851</v>
          </cell>
          <cell r="C1777" t="str">
            <v>PON</v>
          </cell>
          <cell r="D1777">
            <v>613508051</v>
          </cell>
          <cell r="E1777" t="str">
            <v>FC F13 FS Mare CX 2.0 54 MDDi2</v>
          </cell>
          <cell r="F1777">
            <v>1</v>
          </cell>
          <cell r="G1777">
            <v>0</v>
          </cell>
          <cell r="I1777" t="str">
            <v>JG022</v>
          </cell>
          <cell r="L1777">
            <v>6.4</v>
          </cell>
          <cell r="M1777">
            <v>0.191</v>
          </cell>
          <cell r="N1777" t="str">
            <v>5W</v>
          </cell>
          <cell r="P1777" t="str">
            <v>PONFCS</v>
          </cell>
          <cell r="Q1777" t="str">
            <v>/  /</v>
          </cell>
        </row>
        <row r="1778">
          <cell r="A1778">
            <v>4632693</v>
          </cell>
          <cell r="B1778">
            <v>43731</v>
          </cell>
          <cell r="C1778" t="str">
            <v>PON</v>
          </cell>
          <cell r="D1778">
            <v>197015001</v>
          </cell>
          <cell r="E1778" t="str">
            <v>Carbon Bottl Cage Blk/Ant 50pc</v>
          </cell>
          <cell r="F1778">
            <v>350</v>
          </cell>
          <cell r="G1778">
            <v>0.5</v>
          </cell>
          <cell r="I1778" t="str">
            <v>JG031</v>
          </cell>
          <cell r="L1778">
            <v>28</v>
          </cell>
          <cell r="M1778">
            <v>0.749</v>
          </cell>
          <cell r="N1778" t="str">
            <v>5W</v>
          </cell>
          <cell r="P1778" t="str">
            <v>PONACC</v>
          </cell>
          <cell r="Q1778" t="str">
            <v>/  /</v>
          </cell>
        </row>
        <row r="1779">
          <cell r="A1779">
            <v>3944658</v>
          </cell>
          <cell r="B1779">
            <v>43787</v>
          </cell>
          <cell r="C1779" t="str">
            <v>PON</v>
          </cell>
          <cell r="D1779">
            <v>633073451</v>
          </cell>
          <cell r="E1779" t="str">
            <v>CV C19S3 RimF/S 51CMGph/Blk/Rd</v>
          </cell>
          <cell r="F1779">
            <v>1</v>
          </cell>
          <cell r="G1779">
            <v>0</v>
          </cell>
          <cell r="I1779" t="str">
            <v>JG032</v>
          </cell>
          <cell r="J1779">
            <v>1</v>
          </cell>
          <cell r="L1779">
            <v>6.8</v>
          </cell>
          <cell r="M1779">
            <v>0.16600000000000001</v>
          </cell>
          <cell r="N1779" t="str">
            <v>5W</v>
          </cell>
          <cell r="P1779" t="str">
            <v>PONCVL</v>
          </cell>
          <cell r="Q1779" t="str">
            <v>/  /</v>
          </cell>
        </row>
        <row r="1780">
          <cell r="A1780">
            <v>4081383</v>
          </cell>
          <cell r="B1780">
            <v>43787</v>
          </cell>
          <cell r="C1780" t="str">
            <v>PON</v>
          </cell>
          <cell r="D1780">
            <v>633073451</v>
          </cell>
          <cell r="E1780" t="str">
            <v>CV C19S3 RimF/S 51CMGph/Blk/Rd</v>
          </cell>
          <cell r="F1780">
            <v>1</v>
          </cell>
          <cell r="G1780">
            <v>0</v>
          </cell>
          <cell r="I1780" t="str">
            <v>JG032</v>
          </cell>
          <cell r="J1780">
            <v>1</v>
          </cell>
          <cell r="L1780">
            <v>6.8</v>
          </cell>
          <cell r="M1780">
            <v>0.16600000000000001</v>
          </cell>
          <cell r="N1780" t="str">
            <v>5W</v>
          </cell>
          <cell r="P1780" t="str">
            <v>PONCVL</v>
          </cell>
          <cell r="Q1780" t="str">
            <v>/  /</v>
          </cell>
        </row>
        <row r="1781">
          <cell r="A1781">
            <v>3944662</v>
          </cell>
          <cell r="B1781">
            <v>43787</v>
          </cell>
          <cell r="C1781" t="str">
            <v>PON</v>
          </cell>
          <cell r="D1781">
            <v>633073453</v>
          </cell>
          <cell r="E1781" t="str">
            <v>CV C19S3 RimF/S 56CMGph/Blk/Rd</v>
          </cell>
          <cell r="F1781">
            <v>1</v>
          </cell>
          <cell r="G1781">
            <v>0</v>
          </cell>
          <cell r="I1781" t="str">
            <v>JG032</v>
          </cell>
          <cell r="J1781">
            <v>1</v>
          </cell>
          <cell r="L1781">
            <v>6.8</v>
          </cell>
          <cell r="M1781">
            <v>0.16700000000000001</v>
          </cell>
          <cell r="N1781" t="str">
            <v>5W</v>
          </cell>
          <cell r="P1781" t="str">
            <v>PONCVL</v>
          </cell>
          <cell r="Q1781" t="str">
            <v>/  /</v>
          </cell>
        </row>
        <row r="1782">
          <cell r="A1782">
            <v>3895740</v>
          </cell>
          <cell r="B1782">
            <v>43752</v>
          </cell>
          <cell r="C1782" t="str">
            <v>PON</v>
          </cell>
          <cell r="D1782" t="str">
            <v>ODOP3DFS1X58</v>
          </cell>
          <cell r="E1782" t="str">
            <v>C18 Benn F/Set Blk Gr/Rd Sz 58</v>
          </cell>
          <cell r="F1782">
            <v>1</v>
          </cell>
          <cell r="G1782">
            <v>0</v>
          </cell>
          <cell r="I1782" t="str">
            <v>JG032</v>
          </cell>
          <cell r="L1782">
            <v>6</v>
          </cell>
          <cell r="M1782">
            <v>0.14699999999999999</v>
          </cell>
          <cell r="N1782" t="str">
            <v>5W</v>
          </cell>
          <cell r="P1782" t="str">
            <v>PONCVL</v>
          </cell>
          <cell r="Q1782" t="str">
            <v>/  /</v>
          </cell>
        </row>
        <row r="1783">
          <cell r="A1783">
            <v>3874727</v>
          </cell>
          <cell r="B1783">
            <v>43731</v>
          </cell>
          <cell r="C1783" t="str">
            <v>PON</v>
          </cell>
          <cell r="D1783">
            <v>197015001</v>
          </cell>
          <cell r="E1783" t="str">
            <v>Carbon Bottl Cage Blk/Ant 50pc</v>
          </cell>
          <cell r="F1783">
            <v>170</v>
          </cell>
          <cell r="G1783">
            <v>0.25</v>
          </cell>
          <cell r="I1783" t="str">
            <v>JG042</v>
          </cell>
          <cell r="L1783">
            <v>13.6</v>
          </cell>
          <cell r="M1783">
            <v>0.36380000000000001</v>
          </cell>
          <cell r="N1783" t="str">
            <v>5W</v>
          </cell>
          <cell r="P1783" t="str">
            <v>PONACC</v>
          </cell>
          <cell r="Q1783" t="str">
            <v>/  /</v>
          </cell>
        </row>
        <row r="1784">
          <cell r="A1784">
            <v>3895613</v>
          </cell>
          <cell r="B1784">
            <v>43752</v>
          </cell>
          <cell r="C1784" t="str">
            <v>PON</v>
          </cell>
          <cell r="D1784">
            <v>625073004</v>
          </cell>
          <cell r="E1784" t="str">
            <v>Cervelo C17 F/S S3 Disc 58 Red</v>
          </cell>
          <cell r="F1784">
            <v>1</v>
          </cell>
          <cell r="G1784">
            <v>0</v>
          </cell>
          <cell r="I1784" t="str">
            <v>JG042</v>
          </cell>
          <cell r="L1784">
            <v>5.7</v>
          </cell>
          <cell r="M1784">
            <v>0.17199999999999999</v>
          </cell>
          <cell r="N1784" t="str">
            <v>5W</v>
          </cell>
          <cell r="P1784" t="str">
            <v>PONCVL</v>
          </cell>
          <cell r="Q1784" t="str">
            <v>/  /</v>
          </cell>
        </row>
        <row r="1785">
          <cell r="A1785">
            <v>4004812</v>
          </cell>
          <cell r="B1785">
            <v>43816</v>
          </cell>
          <cell r="C1785" t="str">
            <v>PON</v>
          </cell>
          <cell r="D1785">
            <v>628073063</v>
          </cell>
          <cell r="E1785" t="str">
            <v>CV C18 R3 Disc F/S 56 LG Fluo</v>
          </cell>
          <cell r="F1785">
            <v>1</v>
          </cell>
          <cell r="G1785">
            <v>0</v>
          </cell>
          <cell r="I1785" t="str">
            <v>JG042</v>
          </cell>
          <cell r="L1785">
            <v>5.6</v>
          </cell>
          <cell r="M1785">
            <v>0.153</v>
          </cell>
          <cell r="N1785" t="str">
            <v>5W</v>
          </cell>
          <cell r="P1785" t="str">
            <v>PONCVL</v>
          </cell>
          <cell r="Q1785" t="str">
            <v>/  /</v>
          </cell>
        </row>
        <row r="1786">
          <cell r="A1786">
            <v>3879228</v>
          </cell>
          <cell r="B1786">
            <v>43734</v>
          </cell>
          <cell r="C1786" t="str">
            <v>PON</v>
          </cell>
          <cell r="D1786">
            <v>196717201</v>
          </cell>
          <cell r="E1786" t="str">
            <v>Helium V4 Black Travel Case</v>
          </cell>
          <cell r="F1786">
            <v>4</v>
          </cell>
          <cell r="G1786">
            <v>0.5</v>
          </cell>
          <cell r="I1786" t="str">
            <v>JG051</v>
          </cell>
          <cell r="L1786">
            <v>52</v>
          </cell>
          <cell r="M1786">
            <v>0.70399999999999996</v>
          </cell>
          <cell r="N1786" t="str">
            <v>5W</v>
          </cell>
          <cell r="P1786" t="str">
            <v>PONACC</v>
          </cell>
          <cell r="Q1786" t="str">
            <v>/  /</v>
          </cell>
        </row>
        <row r="1787">
          <cell r="A1787">
            <v>3899167</v>
          </cell>
          <cell r="B1787">
            <v>43752</v>
          </cell>
          <cell r="C1787" t="str">
            <v>PON</v>
          </cell>
          <cell r="D1787">
            <v>625073004</v>
          </cell>
          <cell r="E1787" t="str">
            <v>Cervelo C17 F/S S3 Disc 58 Red</v>
          </cell>
          <cell r="F1787">
            <v>1</v>
          </cell>
          <cell r="G1787">
            <v>0</v>
          </cell>
          <cell r="I1787" t="str">
            <v>JG052</v>
          </cell>
          <cell r="L1787">
            <v>5.7</v>
          </cell>
          <cell r="M1787">
            <v>0.17199999999999999</v>
          </cell>
          <cell r="N1787" t="str">
            <v>5W</v>
          </cell>
          <cell r="P1787" t="str">
            <v>PONCVL</v>
          </cell>
          <cell r="Q1787" t="str">
            <v>/  /</v>
          </cell>
        </row>
        <row r="1788">
          <cell r="A1788">
            <v>3901100</v>
          </cell>
          <cell r="B1788">
            <v>43759</v>
          </cell>
          <cell r="C1788" t="str">
            <v>PON</v>
          </cell>
          <cell r="D1788">
            <v>628073121</v>
          </cell>
          <cell r="E1788" t="str">
            <v>CV C18 R5Disc FS 51 SM Blk/Grn</v>
          </cell>
          <cell r="F1788">
            <v>1</v>
          </cell>
          <cell r="G1788">
            <v>0</v>
          </cell>
          <cell r="I1788" t="str">
            <v>JG052</v>
          </cell>
          <cell r="L1788">
            <v>5.4</v>
          </cell>
          <cell r="M1788">
            <v>0.14299999999999999</v>
          </cell>
          <cell r="N1788" t="str">
            <v>5W</v>
          </cell>
          <cell r="P1788" t="str">
            <v>PONCVL</v>
          </cell>
          <cell r="Q1788" t="str">
            <v>/  /</v>
          </cell>
        </row>
        <row r="1789">
          <cell r="A1789">
            <v>4632685</v>
          </cell>
          <cell r="B1789">
            <v>43734</v>
          </cell>
          <cell r="C1789" t="str">
            <v>PON</v>
          </cell>
          <cell r="D1789">
            <v>196717201</v>
          </cell>
          <cell r="E1789" t="str">
            <v>Helium V4 Black Travel Case</v>
          </cell>
          <cell r="F1789">
            <v>4</v>
          </cell>
          <cell r="G1789">
            <v>0.5</v>
          </cell>
          <cell r="I1789" t="str">
            <v>JG061</v>
          </cell>
          <cell r="L1789">
            <v>52</v>
          </cell>
          <cell r="M1789">
            <v>0.70399999999999996</v>
          </cell>
          <cell r="N1789" t="str">
            <v>5W</v>
          </cell>
          <cell r="P1789" t="str">
            <v>PONACC</v>
          </cell>
          <cell r="Q1789" t="str">
            <v>/  /</v>
          </cell>
        </row>
        <row r="1790">
          <cell r="A1790">
            <v>4036397</v>
          </cell>
          <cell r="B1790">
            <v>43851</v>
          </cell>
          <cell r="C1790" t="str">
            <v>PON</v>
          </cell>
          <cell r="D1790">
            <v>614508064</v>
          </cell>
          <cell r="E1790" t="str">
            <v>FC F14 FS IZ Team 1.0 56 LGDi2</v>
          </cell>
          <cell r="F1790">
            <v>1</v>
          </cell>
          <cell r="G1790">
            <v>0</v>
          </cell>
          <cell r="I1790" t="str">
            <v>JG062</v>
          </cell>
          <cell r="L1790">
            <v>5.8</v>
          </cell>
          <cell r="M1790">
            <v>0.17199999999999999</v>
          </cell>
          <cell r="N1790" t="str">
            <v>5W</v>
          </cell>
          <cell r="P1790" t="str">
            <v>PONFCS</v>
          </cell>
          <cell r="Q1790" t="str">
            <v>/  /</v>
          </cell>
        </row>
        <row r="1791">
          <cell r="A1791">
            <v>4086069</v>
          </cell>
          <cell r="B1791">
            <v>43851</v>
          </cell>
          <cell r="C1791" t="str">
            <v>PON</v>
          </cell>
          <cell r="D1791">
            <v>614508064</v>
          </cell>
          <cell r="E1791" t="str">
            <v>FC F14 FS IZ Team 1.0 56 LGDi2</v>
          </cell>
          <cell r="F1791">
            <v>1</v>
          </cell>
          <cell r="G1791">
            <v>0</v>
          </cell>
          <cell r="I1791" t="str">
            <v>JG062</v>
          </cell>
          <cell r="L1791">
            <v>5.8</v>
          </cell>
          <cell r="M1791">
            <v>0.17199999999999999</v>
          </cell>
          <cell r="N1791" t="str">
            <v>5W</v>
          </cell>
          <cell r="P1791" t="str">
            <v>PONFCS</v>
          </cell>
          <cell r="Q1791" t="str">
            <v>/  /</v>
          </cell>
        </row>
        <row r="1792">
          <cell r="A1792">
            <v>4087261</v>
          </cell>
          <cell r="B1792">
            <v>43851</v>
          </cell>
          <cell r="C1792" t="str">
            <v>PON</v>
          </cell>
          <cell r="D1792">
            <v>614508064</v>
          </cell>
          <cell r="E1792" t="str">
            <v>FC F14 FS IZ Team 1.0 56 LGDi2</v>
          </cell>
          <cell r="F1792">
            <v>1</v>
          </cell>
          <cell r="G1792">
            <v>0</v>
          </cell>
          <cell r="I1792" t="str">
            <v>JG062</v>
          </cell>
          <cell r="L1792">
            <v>5.8</v>
          </cell>
          <cell r="M1792">
            <v>0.17199999999999999</v>
          </cell>
          <cell r="N1792" t="str">
            <v>5W</v>
          </cell>
          <cell r="P1792" t="str">
            <v>PONFCS</v>
          </cell>
          <cell r="Q1792" t="str">
            <v>/  /</v>
          </cell>
        </row>
        <row r="1793">
          <cell r="A1793">
            <v>4088517</v>
          </cell>
          <cell r="B1793">
            <v>43851</v>
          </cell>
          <cell r="C1793" t="str">
            <v>PON</v>
          </cell>
          <cell r="D1793">
            <v>614508064</v>
          </cell>
          <cell r="E1793" t="str">
            <v>FC F14 FS IZ Team 1.0 56 LGDi2</v>
          </cell>
          <cell r="F1793">
            <v>1</v>
          </cell>
          <cell r="G1793">
            <v>0</v>
          </cell>
          <cell r="I1793" t="str">
            <v>JG062</v>
          </cell>
          <cell r="L1793">
            <v>5.8</v>
          </cell>
          <cell r="M1793">
            <v>0.17199999999999999</v>
          </cell>
          <cell r="N1793" t="str">
            <v>5W</v>
          </cell>
          <cell r="P1793" t="str">
            <v>PONFCS</v>
          </cell>
          <cell r="Q1793" t="str">
            <v>/  /</v>
          </cell>
        </row>
        <row r="1794">
          <cell r="A1794">
            <v>4036404</v>
          </cell>
          <cell r="B1794">
            <v>43851</v>
          </cell>
          <cell r="C1794" t="str">
            <v>PON</v>
          </cell>
          <cell r="D1794">
            <v>614508152</v>
          </cell>
          <cell r="E1794" t="str">
            <v>FC F14 F/S Raven 1.0 29R MD 48</v>
          </cell>
          <cell r="F1794">
            <v>1</v>
          </cell>
          <cell r="G1794">
            <v>0</v>
          </cell>
          <cell r="I1794" t="str">
            <v>JG062</v>
          </cell>
          <cell r="L1794">
            <v>5.5</v>
          </cell>
          <cell r="M1794">
            <v>0.17599999999999999</v>
          </cell>
          <cell r="N1794" t="str">
            <v>5W</v>
          </cell>
          <cell r="P1794" t="str">
            <v>PONFCS</v>
          </cell>
          <cell r="Q1794" t="str">
            <v>/  /</v>
          </cell>
        </row>
        <row r="1795">
          <cell r="A1795">
            <v>4037647</v>
          </cell>
          <cell r="B1795">
            <v>43851</v>
          </cell>
          <cell r="C1795" t="str">
            <v>PON</v>
          </cell>
          <cell r="D1795">
            <v>614508371</v>
          </cell>
          <cell r="E1795" t="str">
            <v>FC F14 FS Mare CX 4.0 54 CANTI</v>
          </cell>
          <cell r="F1795">
            <v>1</v>
          </cell>
          <cell r="G1795">
            <v>0</v>
          </cell>
          <cell r="I1795" t="str">
            <v>JG062</v>
          </cell>
          <cell r="L1795">
            <v>4.0999999999999996</v>
          </cell>
          <cell r="M1795">
            <v>1.274</v>
          </cell>
          <cell r="N1795" t="str">
            <v>5W</v>
          </cell>
          <cell r="P1795" t="str">
            <v>PONFCS</v>
          </cell>
          <cell r="Q1795" t="str">
            <v>/  /</v>
          </cell>
        </row>
        <row r="1796">
          <cell r="A1796">
            <v>3879255</v>
          </cell>
          <cell r="B1796">
            <v>43734</v>
          </cell>
          <cell r="C1796" t="str">
            <v>PON</v>
          </cell>
          <cell r="D1796" t="str">
            <v>NA006401</v>
          </cell>
          <cell r="E1796" t="str">
            <v>Black Mannequin</v>
          </cell>
          <cell r="F1796">
            <v>4</v>
          </cell>
          <cell r="G1796">
            <v>0.5</v>
          </cell>
          <cell r="I1796" t="str">
            <v>JG071</v>
          </cell>
          <cell r="L1796">
            <v>40</v>
          </cell>
          <cell r="M1796">
            <v>0.65200000000000002</v>
          </cell>
          <cell r="N1796" t="str">
            <v>5W</v>
          </cell>
          <cell r="P1796" t="str">
            <v>PONMAR</v>
          </cell>
          <cell r="Q1796" t="str">
            <v>/  /</v>
          </cell>
        </row>
        <row r="1797">
          <cell r="A1797">
            <v>3971850</v>
          </cell>
          <cell r="B1797">
            <v>43802</v>
          </cell>
          <cell r="C1797" t="str">
            <v>PON</v>
          </cell>
          <cell r="D1797">
            <v>628071131</v>
          </cell>
          <cell r="E1797" t="str">
            <v>C18 S5 F/S 51 SM Blk/Fluo</v>
          </cell>
          <cell r="F1797">
            <v>1</v>
          </cell>
          <cell r="G1797">
            <v>0</v>
          </cell>
          <cell r="I1797" t="str">
            <v>JG072</v>
          </cell>
          <cell r="L1797">
            <v>5.2</v>
          </cell>
          <cell r="M1797">
            <v>0.12</v>
          </cell>
          <cell r="N1797" t="str">
            <v>5W</v>
          </cell>
          <cell r="P1797" t="str">
            <v>PONCVL</v>
          </cell>
          <cell r="Q1797" t="str">
            <v>/  /</v>
          </cell>
        </row>
        <row r="1798">
          <cell r="A1798">
            <v>4023677</v>
          </cell>
          <cell r="B1798">
            <v>43840</v>
          </cell>
          <cell r="C1798" t="str">
            <v>PON</v>
          </cell>
          <cell r="D1798">
            <v>628071131</v>
          </cell>
          <cell r="E1798" t="str">
            <v>C18 S5 F/S 51 SM Blk/Fluo</v>
          </cell>
          <cell r="F1798">
            <v>1</v>
          </cell>
          <cell r="G1798">
            <v>0</v>
          </cell>
          <cell r="I1798" t="str">
            <v>JG072</v>
          </cell>
          <cell r="L1798">
            <v>5.2</v>
          </cell>
          <cell r="M1798">
            <v>0.12</v>
          </cell>
          <cell r="N1798" t="str">
            <v>5W</v>
          </cell>
          <cell r="P1798" t="str">
            <v>PONCVL</v>
          </cell>
          <cell r="Q1798" t="str">
            <v>/  /</v>
          </cell>
        </row>
        <row r="1799">
          <cell r="A1799">
            <v>4172812</v>
          </cell>
          <cell r="B1799">
            <v>43943</v>
          </cell>
          <cell r="C1799" t="str">
            <v>PON</v>
          </cell>
          <cell r="D1799">
            <v>633073111</v>
          </cell>
          <cell r="E1799" t="str">
            <v>CV C19 R5 Dsc F/S 51CM Blk/Gph</v>
          </cell>
          <cell r="F1799">
            <v>1</v>
          </cell>
          <cell r="G1799">
            <v>0</v>
          </cell>
          <cell r="I1799" t="str">
            <v>JG072</v>
          </cell>
          <cell r="L1799">
            <v>5.2</v>
          </cell>
          <cell r="M1799">
            <v>0.14000000000000001</v>
          </cell>
          <cell r="N1799" t="str">
            <v>5W</v>
          </cell>
          <cell r="P1799" t="str">
            <v>PONCVL</v>
          </cell>
          <cell r="Q1799" t="str">
            <v>/  /</v>
          </cell>
        </row>
        <row r="1800">
          <cell r="A1800">
            <v>4172814</v>
          </cell>
          <cell r="B1800">
            <v>43943</v>
          </cell>
          <cell r="C1800" t="str">
            <v>PON</v>
          </cell>
          <cell r="D1800">
            <v>637073035</v>
          </cell>
          <cell r="E1800" t="str">
            <v>C20 P Ser Dsc F/S Wh LGry 51</v>
          </cell>
          <cell r="F1800">
            <v>1</v>
          </cell>
          <cell r="G1800">
            <v>0</v>
          </cell>
          <cell r="I1800" t="str">
            <v>JG072</v>
          </cell>
          <cell r="L1800">
            <v>7</v>
          </cell>
          <cell r="M1800">
            <v>0.16900000000000001</v>
          </cell>
          <cell r="N1800" t="str">
            <v>5W</v>
          </cell>
          <cell r="P1800" t="str">
            <v>PONCVL</v>
          </cell>
          <cell r="Q1800" t="str">
            <v>/  /</v>
          </cell>
        </row>
        <row r="1801">
          <cell r="A1801">
            <v>4039871</v>
          </cell>
          <cell r="B1801">
            <v>43852</v>
          </cell>
          <cell r="C1801" t="str">
            <v>PON</v>
          </cell>
          <cell r="D1801" t="str">
            <v>C11RSFS58</v>
          </cell>
          <cell r="E1801" t="str">
            <v>Cervelo C11 RS FS 58CM</v>
          </cell>
          <cell r="F1801">
            <v>1</v>
          </cell>
          <cell r="G1801">
            <v>0</v>
          </cell>
          <cell r="I1801" t="str">
            <v>JG072</v>
          </cell>
          <cell r="L1801">
            <v>5</v>
          </cell>
          <cell r="M1801">
            <v>0.16</v>
          </cell>
          <cell r="N1801" t="str">
            <v>5W</v>
          </cell>
          <cell r="P1801" t="str">
            <v>PONCVL</v>
          </cell>
          <cell r="Q1801" t="str">
            <v>/  /</v>
          </cell>
        </row>
        <row r="1802">
          <cell r="A1802">
            <v>3874729</v>
          </cell>
          <cell r="B1802">
            <v>43731</v>
          </cell>
          <cell r="C1802" t="str">
            <v>PON</v>
          </cell>
          <cell r="D1802">
            <v>197017030</v>
          </cell>
          <cell r="E1802" t="str">
            <v>Bottl 750ml Auto Tank Blk 50pc</v>
          </cell>
          <cell r="F1802">
            <v>100</v>
          </cell>
          <cell r="G1802">
            <v>0.1</v>
          </cell>
          <cell r="I1802" t="str">
            <v>JG081</v>
          </cell>
          <cell r="L1802">
            <v>8</v>
          </cell>
          <cell r="M1802">
            <v>0.16</v>
          </cell>
          <cell r="N1802" t="str">
            <v>5W</v>
          </cell>
          <cell r="P1802" t="str">
            <v>PONACC</v>
          </cell>
          <cell r="Q1802" t="str">
            <v>/  /</v>
          </cell>
        </row>
        <row r="1803">
          <cell r="A1803">
            <v>3879259</v>
          </cell>
          <cell r="B1803">
            <v>43734</v>
          </cell>
          <cell r="C1803" t="str">
            <v>PON</v>
          </cell>
          <cell r="D1803">
            <v>197017030</v>
          </cell>
          <cell r="E1803" t="str">
            <v>Bottl 750ml Auto Tank Blk 50pc</v>
          </cell>
          <cell r="F1803">
            <v>50</v>
          </cell>
          <cell r="G1803">
            <v>0.05</v>
          </cell>
          <cell r="I1803" t="str">
            <v>JG081</v>
          </cell>
          <cell r="L1803">
            <v>4</v>
          </cell>
          <cell r="M1803">
            <v>0.08</v>
          </cell>
          <cell r="N1803" t="str">
            <v>5W</v>
          </cell>
          <cell r="P1803" t="str">
            <v>PONACC</v>
          </cell>
          <cell r="Q1803" t="str">
            <v>/  /</v>
          </cell>
        </row>
        <row r="1804">
          <cell r="A1804">
            <v>3929012</v>
          </cell>
          <cell r="B1804">
            <v>43777</v>
          </cell>
          <cell r="C1804" t="str">
            <v>PON</v>
          </cell>
          <cell r="D1804">
            <v>633080114</v>
          </cell>
          <cell r="E1804" t="str">
            <v>FC F19Izalco MaxDsc9 FS 56LBlk</v>
          </cell>
          <cell r="F1804">
            <v>1</v>
          </cell>
          <cell r="G1804">
            <v>0</v>
          </cell>
          <cell r="I1804" t="str">
            <v>JG082</v>
          </cell>
          <cell r="L1804">
            <v>5.8</v>
          </cell>
          <cell r="M1804">
            <v>0.14299999999999999</v>
          </cell>
          <cell r="N1804" t="str">
            <v>5W</v>
          </cell>
          <cell r="P1804" t="str">
            <v>PONFCS</v>
          </cell>
          <cell r="Q1804" t="str">
            <v>/  /</v>
          </cell>
        </row>
        <row r="1805">
          <cell r="A1805">
            <v>4086825</v>
          </cell>
          <cell r="B1805">
            <v>43777</v>
          </cell>
          <cell r="C1805" t="str">
            <v>PON</v>
          </cell>
          <cell r="D1805">
            <v>633080114</v>
          </cell>
          <cell r="E1805" t="str">
            <v>FC F19Izalco MaxDsc9 FS 56LBlk</v>
          </cell>
          <cell r="F1805">
            <v>1</v>
          </cell>
          <cell r="G1805">
            <v>0</v>
          </cell>
          <cell r="I1805" t="str">
            <v>JG082</v>
          </cell>
          <cell r="L1805">
            <v>5.8</v>
          </cell>
          <cell r="M1805">
            <v>0.14299999999999999</v>
          </cell>
          <cell r="N1805" t="str">
            <v>5W</v>
          </cell>
          <cell r="P1805" t="str">
            <v>PONFCS</v>
          </cell>
          <cell r="Q1805" t="str">
            <v>/  /</v>
          </cell>
        </row>
        <row r="1806">
          <cell r="A1806">
            <v>4087172</v>
          </cell>
          <cell r="B1806">
            <v>43777</v>
          </cell>
          <cell r="C1806" t="str">
            <v>PON</v>
          </cell>
          <cell r="D1806">
            <v>633080114</v>
          </cell>
          <cell r="E1806" t="str">
            <v>FC F19Izalco MaxDsc9 FS 56LBlk</v>
          </cell>
          <cell r="F1806">
            <v>1</v>
          </cell>
          <cell r="G1806">
            <v>0</v>
          </cell>
          <cell r="I1806" t="str">
            <v>JG082</v>
          </cell>
          <cell r="L1806">
            <v>5.8</v>
          </cell>
          <cell r="M1806">
            <v>0.14299999999999999</v>
          </cell>
          <cell r="N1806" t="str">
            <v>5W</v>
          </cell>
          <cell r="P1806" t="str">
            <v>PONFCS</v>
          </cell>
          <cell r="Q1806" t="str">
            <v>/  /</v>
          </cell>
        </row>
        <row r="1807">
          <cell r="A1807">
            <v>4087173</v>
          </cell>
          <cell r="B1807">
            <v>43777</v>
          </cell>
          <cell r="C1807" t="str">
            <v>PON</v>
          </cell>
          <cell r="D1807">
            <v>633080114</v>
          </cell>
          <cell r="E1807" t="str">
            <v>FC F19Izalco MaxDsc9 FS 56LBlk</v>
          </cell>
          <cell r="F1807">
            <v>1</v>
          </cell>
          <cell r="G1807">
            <v>0</v>
          </cell>
          <cell r="I1807" t="str">
            <v>JG082</v>
          </cell>
          <cell r="L1807">
            <v>5.8</v>
          </cell>
          <cell r="M1807">
            <v>0.14299999999999999</v>
          </cell>
          <cell r="N1807" t="str">
            <v>5W</v>
          </cell>
          <cell r="P1807" t="str">
            <v>PONFCS</v>
          </cell>
          <cell r="Q1807" t="str">
            <v>/  /</v>
          </cell>
        </row>
        <row r="1808">
          <cell r="A1808">
            <v>4089744</v>
          </cell>
          <cell r="B1808">
            <v>43777</v>
          </cell>
          <cell r="C1808" t="str">
            <v>PON</v>
          </cell>
          <cell r="D1808">
            <v>633080114</v>
          </cell>
          <cell r="E1808" t="str">
            <v>FC F19Izalco MaxDsc9 FS 56LBlk</v>
          </cell>
          <cell r="F1808">
            <v>1</v>
          </cell>
          <cell r="G1808">
            <v>0</v>
          </cell>
          <cell r="I1808" t="str">
            <v>JG082</v>
          </cell>
          <cell r="L1808">
            <v>5.8</v>
          </cell>
          <cell r="M1808">
            <v>0.14299999999999999</v>
          </cell>
          <cell r="N1808" t="str">
            <v>5W</v>
          </cell>
          <cell r="P1808" t="str">
            <v>PONFCS</v>
          </cell>
          <cell r="Q1808" t="str">
            <v>/  /</v>
          </cell>
        </row>
        <row r="1809">
          <cell r="A1809">
            <v>3879257</v>
          </cell>
          <cell r="B1809">
            <v>43734</v>
          </cell>
          <cell r="C1809" t="str">
            <v>PON</v>
          </cell>
          <cell r="D1809" t="str">
            <v>NA005564</v>
          </cell>
          <cell r="E1809" t="str">
            <v>White Mannequin</v>
          </cell>
          <cell r="F1809">
            <v>1</v>
          </cell>
          <cell r="G1809">
            <v>0.13</v>
          </cell>
          <cell r="I1809" t="str">
            <v>JG091</v>
          </cell>
          <cell r="L1809">
            <v>10</v>
          </cell>
          <cell r="M1809">
            <v>0.16300000000000001</v>
          </cell>
          <cell r="N1809" t="str">
            <v>5W</v>
          </cell>
          <cell r="P1809" t="str">
            <v>PONMAR</v>
          </cell>
          <cell r="Q1809" t="str">
            <v>/  /</v>
          </cell>
        </row>
        <row r="1810">
          <cell r="A1810">
            <v>3913428</v>
          </cell>
          <cell r="B1810">
            <v>43767</v>
          </cell>
          <cell r="C1810" t="str">
            <v>PON</v>
          </cell>
          <cell r="D1810">
            <v>628073065</v>
          </cell>
          <cell r="E1810" t="str">
            <v>CV C18 R3 Disc F/S 61 XXL Fluo</v>
          </cell>
          <cell r="F1810">
            <v>1</v>
          </cell>
          <cell r="G1810">
            <v>0</v>
          </cell>
          <cell r="I1810" t="str">
            <v>JG092</v>
          </cell>
          <cell r="L1810">
            <v>5.7</v>
          </cell>
          <cell r="M1810">
            <v>0.16600000000000001</v>
          </cell>
          <cell r="N1810" t="str">
            <v>5W</v>
          </cell>
          <cell r="P1810" t="str">
            <v>PONCVL</v>
          </cell>
          <cell r="Q1810" t="str">
            <v>/  /</v>
          </cell>
        </row>
        <row r="1811">
          <cell r="A1811">
            <v>3879344</v>
          </cell>
          <cell r="B1811">
            <v>43734</v>
          </cell>
          <cell r="C1811" t="str">
            <v>PON</v>
          </cell>
          <cell r="D1811">
            <v>197018011</v>
          </cell>
          <cell r="E1811" t="str">
            <v>Shiva 750CC Clear Bottle 50p/c</v>
          </cell>
          <cell r="F1811">
            <v>250</v>
          </cell>
          <cell r="G1811">
            <v>0.25</v>
          </cell>
          <cell r="I1811" t="str">
            <v>JG101</v>
          </cell>
          <cell r="L1811">
            <v>25</v>
          </cell>
          <cell r="M1811">
            <v>0.37</v>
          </cell>
          <cell r="N1811" t="str">
            <v>5W</v>
          </cell>
          <cell r="P1811" t="str">
            <v>PONACC</v>
          </cell>
          <cell r="Q1811" t="str">
            <v>/  /</v>
          </cell>
        </row>
        <row r="1812">
          <cell r="A1812">
            <v>3928940</v>
          </cell>
          <cell r="B1812">
            <v>43777</v>
          </cell>
          <cell r="C1812" t="str">
            <v>PON</v>
          </cell>
          <cell r="D1812">
            <v>614508011</v>
          </cell>
          <cell r="E1812" t="str">
            <v>FC F14 FS IZ Max 1.0 50 XS Di2</v>
          </cell>
          <cell r="F1812">
            <v>1</v>
          </cell>
          <cell r="G1812">
            <v>0</v>
          </cell>
          <cell r="I1812" t="str">
            <v>JG102</v>
          </cell>
          <cell r="L1812">
            <v>5</v>
          </cell>
          <cell r="M1812">
            <v>0.155</v>
          </cell>
          <cell r="N1812" t="str">
            <v>5W</v>
          </cell>
          <cell r="P1812" t="str">
            <v>PONFCS</v>
          </cell>
          <cell r="Q1812" t="str">
            <v>/  /</v>
          </cell>
        </row>
        <row r="1813">
          <cell r="A1813">
            <v>3928984</v>
          </cell>
          <cell r="B1813">
            <v>43777</v>
          </cell>
          <cell r="C1813" t="str">
            <v>PON</v>
          </cell>
          <cell r="D1813">
            <v>633073004</v>
          </cell>
          <cell r="E1813" t="str">
            <v>CV C19R5 RimF/S 58CMNvy/Rd/Oge</v>
          </cell>
          <cell r="F1813">
            <v>1</v>
          </cell>
          <cell r="G1813">
            <v>0</v>
          </cell>
          <cell r="I1813" t="str">
            <v>JG102</v>
          </cell>
          <cell r="L1813">
            <v>5.2</v>
          </cell>
          <cell r="M1813">
            <v>0.14799999999999999</v>
          </cell>
          <cell r="N1813" t="str">
            <v>5W</v>
          </cell>
          <cell r="P1813" t="str">
            <v>PONCVL</v>
          </cell>
          <cell r="Q1813" t="str">
            <v>/  /</v>
          </cell>
        </row>
        <row r="1814">
          <cell r="A1814">
            <v>3928988</v>
          </cell>
          <cell r="B1814">
            <v>43777</v>
          </cell>
          <cell r="C1814" t="str">
            <v>PON</v>
          </cell>
          <cell r="D1814">
            <v>633073012</v>
          </cell>
          <cell r="E1814" t="str">
            <v>CV C19 R5 Rim F/S 54CM Blk/Gph</v>
          </cell>
          <cell r="F1814">
            <v>1</v>
          </cell>
          <cell r="G1814">
            <v>0</v>
          </cell>
          <cell r="I1814" t="str">
            <v>JG102</v>
          </cell>
          <cell r="L1814">
            <v>5</v>
          </cell>
          <cell r="M1814">
            <v>0.13100000000000001</v>
          </cell>
          <cell r="N1814" t="str">
            <v>5W</v>
          </cell>
          <cell r="P1814" t="str">
            <v>PONCVL</v>
          </cell>
          <cell r="Q1814" t="str">
            <v>/  /</v>
          </cell>
        </row>
        <row r="1815">
          <cell r="A1815">
            <v>4029803</v>
          </cell>
          <cell r="B1815">
            <v>43845</v>
          </cell>
          <cell r="C1815" t="str">
            <v>PON</v>
          </cell>
          <cell r="D1815">
            <v>196717201</v>
          </cell>
          <cell r="E1815" t="str">
            <v>Helium V4 Black Travel Case</v>
          </cell>
          <cell r="F1815">
            <v>1</v>
          </cell>
          <cell r="G1815">
            <v>0.13</v>
          </cell>
          <cell r="I1815" t="str">
            <v>JG111</v>
          </cell>
          <cell r="L1815">
            <v>13</v>
          </cell>
          <cell r="M1815">
            <v>0.17599999999999999</v>
          </cell>
          <cell r="N1815" t="str">
            <v>5W</v>
          </cell>
          <cell r="P1815" t="str">
            <v>PONACC</v>
          </cell>
          <cell r="Q1815" t="str">
            <v>/  /</v>
          </cell>
        </row>
        <row r="1816">
          <cell r="A1816">
            <v>4609753</v>
          </cell>
          <cell r="B1816">
            <v>44201</v>
          </cell>
          <cell r="C1816" t="str">
            <v>PON</v>
          </cell>
          <cell r="D1816">
            <v>196717201</v>
          </cell>
          <cell r="E1816" t="str">
            <v>Helium V4 Black Travel Case</v>
          </cell>
          <cell r="F1816">
            <v>1</v>
          </cell>
          <cell r="G1816">
            <v>0.13</v>
          </cell>
          <cell r="I1816" t="str">
            <v>JG111</v>
          </cell>
          <cell r="L1816">
            <v>13</v>
          </cell>
          <cell r="M1816">
            <v>0.17599999999999999</v>
          </cell>
          <cell r="N1816" t="str">
            <v>5W</v>
          </cell>
          <cell r="P1816" t="str">
            <v>PONACC</v>
          </cell>
          <cell r="Q1816" t="str">
            <v>/  /</v>
          </cell>
        </row>
        <row r="1817">
          <cell r="A1817">
            <v>3948667</v>
          </cell>
          <cell r="B1817">
            <v>43788</v>
          </cell>
          <cell r="C1817" t="str">
            <v>PON</v>
          </cell>
          <cell r="D1817">
            <v>625508002</v>
          </cell>
          <cell r="E1817" t="str">
            <v>Focus F17 IZ Max F/S 52 SM</v>
          </cell>
          <cell r="F1817">
            <v>1</v>
          </cell>
          <cell r="G1817">
            <v>0</v>
          </cell>
          <cell r="I1817" t="str">
            <v>JG112</v>
          </cell>
          <cell r="L1817">
            <v>5.2</v>
          </cell>
          <cell r="M1817">
            <v>0.14899999999999999</v>
          </cell>
          <cell r="N1817" t="str">
            <v>5W</v>
          </cell>
          <cell r="P1817" t="str">
            <v>PONFCS</v>
          </cell>
          <cell r="Q1817" t="str">
            <v>/  /</v>
          </cell>
        </row>
        <row r="1818">
          <cell r="A1818">
            <v>4004770</v>
          </cell>
          <cell r="B1818">
            <v>43816</v>
          </cell>
          <cell r="C1818" t="str">
            <v>PON</v>
          </cell>
          <cell r="D1818">
            <v>628509103</v>
          </cell>
          <cell r="E1818" t="str">
            <v>FC F18 IZ Max Disc DI2 F/S 54M</v>
          </cell>
          <cell r="F1818">
            <v>1</v>
          </cell>
          <cell r="G1818">
            <v>0</v>
          </cell>
          <cell r="I1818" t="str">
            <v>JG112</v>
          </cell>
          <cell r="L1818">
            <v>5.4</v>
          </cell>
          <cell r="M1818">
            <v>0.17599999999999999</v>
          </cell>
          <cell r="N1818" t="str">
            <v>5W</v>
          </cell>
          <cell r="P1818" t="str">
            <v>PONFCS</v>
          </cell>
          <cell r="Q1818" t="str">
            <v>/  /</v>
          </cell>
        </row>
        <row r="1819">
          <cell r="A1819">
            <v>4004772</v>
          </cell>
          <cell r="B1819">
            <v>43816</v>
          </cell>
          <cell r="C1819" t="str">
            <v>PON</v>
          </cell>
          <cell r="D1819">
            <v>628509104</v>
          </cell>
          <cell r="E1819" t="str">
            <v>FC F18 IZ Max Disc DI2 F/S 56L</v>
          </cell>
          <cell r="F1819">
            <v>1</v>
          </cell>
          <cell r="G1819">
            <v>0</v>
          </cell>
          <cell r="I1819" t="str">
            <v>JG112</v>
          </cell>
          <cell r="L1819">
            <v>4.9000000000000004</v>
          </cell>
          <cell r="M1819">
            <v>1.1519999999999999</v>
          </cell>
          <cell r="N1819" t="str">
            <v>5W</v>
          </cell>
          <cell r="P1819" t="str">
            <v>PONFCS</v>
          </cell>
          <cell r="Q1819" t="str">
            <v>/  /</v>
          </cell>
        </row>
        <row r="1820">
          <cell r="A1820">
            <v>4081148</v>
          </cell>
          <cell r="B1820">
            <v>43816</v>
          </cell>
          <cell r="C1820" t="str">
            <v>PON</v>
          </cell>
          <cell r="D1820">
            <v>628509104</v>
          </cell>
          <cell r="E1820" t="str">
            <v>FC F18 IZ Max Disc DI2 F/S 56L</v>
          </cell>
          <cell r="F1820">
            <v>1</v>
          </cell>
          <cell r="G1820">
            <v>0</v>
          </cell>
          <cell r="I1820" t="str">
            <v>JG112</v>
          </cell>
          <cell r="L1820">
            <v>4.9000000000000004</v>
          </cell>
          <cell r="M1820">
            <v>1.1519999999999999</v>
          </cell>
          <cell r="N1820" t="str">
            <v>5W</v>
          </cell>
          <cell r="P1820" t="str">
            <v>PONFCS</v>
          </cell>
          <cell r="Q1820" t="str">
            <v>/  /</v>
          </cell>
        </row>
        <row r="1821">
          <cell r="A1821">
            <v>4282326</v>
          </cell>
          <cell r="B1821">
            <v>44006</v>
          </cell>
          <cell r="C1821" t="str">
            <v>PON</v>
          </cell>
          <cell r="D1821">
            <v>637073000</v>
          </cell>
          <cell r="E1821" t="str">
            <v>C20 ASP Frame Olive Dune 48</v>
          </cell>
          <cell r="F1821">
            <v>1</v>
          </cell>
          <cell r="G1821">
            <v>0</v>
          </cell>
          <cell r="I1821" t="str">
            <v>JG112</v>
          </cell>
          <cell r="L1821">
            <v>6.8</v>
          </cell>
          <cell r="M1821">
            <v>0.184</v>
          </cell>
          <cell r="N1821" t="str">
            <v>5W</v>
          </cell>
          <cell r="P1821" t="str">
            <v>PONCVL</v>
          </cell>
          <cell r="Q1821" t="str">
            <v>/  /</v>
          </cell>
        </row>
        <row r="1822">
          <cell r="A1822">
            <v>4004810</v>
          </cell>
          <cell r="B1822">
            <v>43816</v>
          </cell>
          <cell r="C1822" t="str">
            <v>PON</v>
          </cell>
          <cell r="D1822" t="str">
            <v>FS625016013</v>
          </cell>
          <cell r="E1822" t="str">
            <v>FC F17 IZ MaxDisc Team FS 54MD</v>
          </cell>
          <cell r="F1822">
            <v>1</v>
          </cell>
          <cell r="G1822">
            <v>0</v>
          </cell>
          <cell r="I1822" t="str">
            <v>JG112</v>
          </cell>
          <cell r="L1822">
            <v>5.5</v>
          </cell>
          <cell r="M1822">
            <v>0.16800000000000001</v>
          </cell>
          <cell r="N1822" t="str">
            <v>5W</v>
          </cell>
          <cell r="P1822" t="str">
            <v>PONFCS</v>
          </cell>
          <cell r="Q1822" t="str">
            <v>/  /</v>
          </cell>
        </row>
        <row r="1823">
          <cell r="A1823">
            <v>4599367</v>
          </cell>
          <cell r="B1823">
            <v>44189</v>
          </cell>
          <cell r="C1823" t="str">
            <v>PON</v>
          </cell>
          <cell r="D1823">
            <v>628005010</v>
          </cell>
          <cell r="E1823" t="str">
            <v>Focus F19 Raven Rookie 20 Red</v>
          </cell>
          <cell r="F1823">
            <v>1</v>
          </cell>
          <cell r="G1823">
            <v>0</v>
          </cell>
          <cell r="I1823" t="str">
            <v>JG121</v>
          </cell>
          <cell r="L1823">
            <v>14</v>
          </cell>
          <cell r="M1823">
            <v>0.13600000000000001</v>
          </cell>
          <cell r="N1823" t="str">
            <v>5W</v>
          </cell>
          <cell r="P1823" t="str">
            <v>PONFCS</v>
          </cell>
          <cell r="Q1823" t="str">
            <v>/  /</v>
          </cell>
        </row>
        <row r="1824">
          <cell r="A1824">
            <v>4599368</v>
          </cell>
          <cell r="B1824">
            <v>44189</v>
          </cell>
          <cell r="C1824" t="str">
            <v>PON</v>
          </cell>
          <cell r="D1824">
            <v>633073111</v>
          </cell>
          <cell r="E1824" t="str">
            <v>CV C19 R5 Dsc F/S 51CM Blk/Gph</v>
          </cell>
          <cell r="F1824">
            <v>1</v>
          </cell>
          <cell r="G1824">
            <v>0</v>
          </cell>
          <cell r="I1824" t="str">
            <v>JG121</v>
          </cell>
          <cell r="L1824">
            <v>5.2</v>
          </cell>
          <cell r="M1824">
            <v>0.14000000000000001</v>
          </cell>
          <cell r="N1824" t="str">
            <v>5W</v>
          </cell>
          <cell r="P1824" t="str">
            <v>PONCVL</v>
          </cell>
          <cell r="Q1824" t="str">
            <v>/  /</v>
          </cell>
        </row>
        <row r="1825">
          <cell r="A1825">
            <v>3948655</v>
          </cell>
          <cell r="B1825">
            <v>43788</v>
          </cell>
          <cell r="C1825" t="str">
            <v>PON</v>
          </cell>
          <cell r="D1825">
            <v>614508064</v>
          </cell>
          <cell r="E1825" t="str">
            <v>FC F14 FS IZ Team 1.0 56 LGDi2</v>
          </cell>
          <cell r="F1825">
            <v>1</v>
          </cell>
          <cell r="G1825">
            <v>0</v>
          </cell>
          <cell r="I1825" t="str">
            <v>JG122</v>
          </cell>
          <cell r="L1825">
            <v>5.8</v>
          </cell>
          <cell r="M1825">
            <v>0.17199999999999999</v>
          </cell>
          <cell r="N1825" t="str">
            <v>5W</v>
          </cell>
          <cell r="P1825" t="str">
            <v>PONFCS</v>
          </cell>
          <cell r="Q1825" t="str">
            <v>/  /</v>
          </cell>
        </row>
        <row r="1826">
          <cell r="A1826">
            <v>3926901</v>
          </cell>
          <cell r="B1826">
            <v>43776</v>
          </cell>
          <cell r="C1826" t="str">
            <v>PON</v>
          </cell>
          <cell r="D1826">
            <v>620508062</v>
          </cell>
          <cell r="E1826" t="str">
            <v>FC F15 F/S Cayo 3.0 Disc 54 MD</v>
          </cell>
          <cell r="F1826">
            <v>1</v>
          </cell>
          <cell r="G1826">
            <v>0</v>
          </cell>
          <cell r="I1826" t="str">
            <v>JG122</v>
          </cell>
          <cell r="L1826">
            <v>5.9</v>
          </cell>
          <cell r="M1826">
            <v>0.17899999999999999</v>
          </cell>
          <cell r="N1826" t="str">
            <v>5W</v>
          </cell>
          <cell r="P1826" t="str">
            <v>PONFCS</v>
          </cell>
          <cell r="Q1826" t="str">
            <v>/  /</v>
          </cell>
        </row>
        <row r="1827">
          <cell r="A1827">
            <v>4081001</v>
          </cell>
          <cell r="B1827">
            <v>43776</v>
          </cell>
          <cell r="C1827" t="str">
            <v>PON</v>
          </cell>
          <cell r="D1827">
            <v>620508062</v>
          </cell>
          <cell r="E1827" t="str">
            <v>FC F15 F/S Cayo 3.0 Disc 54 MD</v>
          </cell>
          <cell r="F1827">
            <v>1</v>
          </cell>
          <cell r="G1827">
            <v>0</v>
          </cell>
          <cell r="I1827" t="str">
            <v>JG122</v>
          </cell>
          <cell r="L1827">
            <v>5.9</v>
          </cell>
          <cell r="M1827">
            <v>0.17899999999999999</v>
          </cell>
          <cell r="N1827" t="str">
            <v>5W</v>
          </cell>
          <cell r="P1827" t="str">
            <v>PONFCS</v>
          </cell>
          <cell r="Q1827" t="str">
            <v>/  /</v>
          </cell>
        </row>
        <row r="1828">
          <cell r="A1828">
            <v>3926904</v>
          </cell>
          <cell r="B1828">
            <v>43776</v>
          </cell>
          <cell r="C1828" t="str">
            <v>PON</v>
          </cell>
          <cell r="D1828">
            <v>623508001</v>
          </cell>
          <cell r="E1828" t="str">
            <v>FC F16 F/S IZ Max Mech 50 XS</v>
          </cell>
          <cell r="F1828">
            <v>1</v>
          </cell>
          <cell r="G1828">
            <v>0</v>
          </cell>
          <cell r="I1828" t="str">
            <v>JG122</v>
          </cell>
          <cell r="L1828">
            <v>5.0999999999999996</v>
          </cell>
          <cell r="M1828">
            <v>0.156</v>
          </cell>
          <cell r="N1828" t="str">
            <v>5W</v>
          </cell>
          <cell r="P1828" t="str">
            <v>PONFCS</v>
          </cell>
          <cell r="Q1828" t="str">
            <v>/  /</v>
          </cell>
        </row>
        <row r="1829">
          <cell r="A1829">
            <v>4081469</v>
          </cell>
          <cell r="B1829">
            <v>43776</v>
          </cell>
          <cell r="C1829" t="str">
            <v>PON</v>
          </cell>
          <cell r="D1829">
            <v>633080114</v>
          </cell>
          <cell r="E1829" t="str">
            <v>FC F19Izalco MaxDsc9 FS 56LBlk</v>
          </cell>
          <cell r="F1829">
            <v>1</v>
          </cell>
          <cell r="G1829">
            <v>0</v>
          </cell>
          <cell r="I1829" t="str">
            <v>JG122</v>
          </cell>
          <cell r="L1829">
            <v>5.8</v>
          </cell>
          <cell r="M1829">
            <v>0.14299999999999999</v>
          </cell>
          <cell r="N1829" t="str">
            <v>5W</v>
          </cell>
          <cell r="P1829" t="str">
            <v>PONFCS</v>
          </cell>
          <cell r="Q1829" t="str">
            <v>/  /</v>
          </cell>
        </row>
        <row r="1830">
          <cell r="A1830">
            <v>3948683</v>
          </cell>
          <cell r="B1830">
            <v>43788</v>
          </cell>
          <cell r="C1830" t="str">
            <v>PON</v>
          </cell>
          <cell r="D1830">
            <v>628073052</v>
          </cell>
          <cell r="E1830" t="str">
            <v>CV C18 R3 Disc FS 54 MDNvy/Wht</v>
          </cell>
          <cell r="F1830">
            <v>1</v>
          </cell>
          <cell r="G1830">
            <v>0</v>
          </cell>
          <cell r="I1830" t="str">
            <v>JG132</v>
          </cell>
          <cell r="L1830">
            <v>5.6</v>
          </cell>
          <cell r="M1830">
            <v>0.157</v>
          </cell>
          <cell r="N1830" t="str">
            <v>5W</v>
          </cell>
          <cell r="P1830" t="str">
            <v>PONCVL</v>
          </cell>
          <cell r="Q1830" t="str">
            <v>/  /</v>
          </cell>
        </row>
        <row r="1831">
          <cell r="A1831">
            <v>4081094</v>
          </cell>
          <cell r="B1831">
            <v>43788</v>
          </cell>
          <cell r="C1831" t="str">
            <v>PON</v>
          </cell>
          <cell r="D1831">
            <v>628073052</v>
          </cell>
          <cell r="E1831" t="str">
            <v>CV C18 R3 Disc FS 54 MDNvy/Wht</v>
          </cell>
          <cell r="F1831">
            <v>1</v>
          </cell>
          <cell r="G1831">
            <v>0</v>
          </cell>
          <cell r="I1831" t="str">
            <v>JG132</v>
          </cell>
          <cell r="L1831">
            <v>5.6</v>
          </cell>
          <cell r="M1831">
            <v>0.157</v>
          </cell>
          <cell r="N1831" t="str">
            <v>5W</v>
          </cell>
          <cell r="P1831" t="str">
            <v>PONCVL</v>
          </cell>
          <cell r="Q1831" t="str">
            <v>/  /</v>
          </cell>
        </row>
        <row r="1832">
          <cell r="A1832">
            <v>3926951</v>
          </cell>
          <cell r="B1832">
            <v>43776</v>
          </cell>
          <cell r="C1832" t="str">
            <v>PON</v>
          </cell>
          <cell r="D1832">
            <v>633073025</v>
          </cell>
          <cell r="E1832" t="str">
            <v>CV C19R5 RimF/S 61CMEm/Grn/Flu</v>
          </cell>
          <cell r="F1832">
            <v>1</v>
          </cell>
          <cell r="G1832">
            <v>0</v>
          </cell>
          <cell r="I1832" t="str">
            <v>JG132</v>
          </cell>
          <cell r="L1832">
            <v>5.2</v>
          </cell>
          <cell r="M1832">
            <v>0.14699999999999999</v>
          </cell>
          <cell r="N1832" t="str">
            <v>5W</v>
          </cell>
          <cell r="P1832" t="str">
            <v>PONCVL</v>
          </cell>
          <cell r="Q1832" t="str">
            <v>/  /</v>
          </cell>
        </row>
        <row r="1833">
          <cell r="A1833">
            <v>3879214</v>
          </cell>
          <cell r="B1833">
            <v>43734</v>
          </cell>
          <cell r="C1833" t="str">
            <v>PON</v>
          </cell>
          <cell r="D1833" t="str">
            <v>PWS926</v>
          </cell>
          <cell r="E1833" t="str">
            <v>PON Wall System Part 1</v>
          </cell>
          <cell r="F1833">
            <v>13</v>
          </cell>
          <cell r="G1833">
            <v>0.44</v>
          </cell>
          <cell r="I1833" t="str">
            <v>JG141</v>
          </cell>
          <cell r="L1833">
            <v>104</v>
          </cell>
          <cell r="M1833">
            <v>0.58499999999999996</v>
          </cell>
          <cell r="N1833" t="str">
            <v>5W</v>
          </cell>
          <cell r="P1833" t="str">
            <v>PONMAR</v>
          </cell>
          <cell r="Q1833" t="str">
            <v>/  /</v>
          </cell>
        </row>
        <row r="1834">
          <cell r="A1834">
            <v>4375177</v>
          </cell>
          <cell r="B1834">
            <v>44063</v>
          </cell>
          <cell r="C1834" t="str">
            <v>PON</v>
          </cell>
          <cell r="D1834">
            <v>628071065</v>
          </cell>
          <cell r="E1834" t="str">
            <v>C18 R3 Disc F/S 61 XXL Fluo</v>
          </cell>
          <cell r="F1834">
            <v>1</v>
          </cell>
          <cell r="G1834">
            <v>0</v>
          </cell>
          <cell r="I1834" t="str">
            <v>JG142</v>
          </cell>
          <cell r="L1834">
            <v>5.7</v>
          </cell>
          <cell r="M1834">
            <v>0.16600000000000001</v>
          </cell>
          <cell r="N1834" t="str">
            <v>5W</v>
          </cell>
          <cell r="P1834" t="str">
            <v>PONCVL</v>
          </cell>
          <cell r="Q1834" t="str">
            <v>/  /</v>
          </cell>
        </row>
        <row r="1835">
          <cell r="A1835">
            <v>4088942</v>
          </cell>
          <cell r="B1835">
            <v>43776</v>
          </cell>
          <cell r="C1835" t="str">
            <v>PON</v>
          </cell>
          <cell r="D1835">
            <v>633073012</v>
          </cell>
          <cell r="E1835" t="str">
            <v>CV C19 R5 Rim F/S 54CM Blk/Gph</v>
          </cell>
          <cell r="F1835">
            <v>1</v>
          </cell>
          <cell r="G1835">
            <v>0</v>
          </cell>
          <cell r="I1835" t="str">
            <v>JG142</v>
          </cell>
          <cell r="L1835">
            <v>5</v>
          </cell>
          <cell r="M1835">
            <v>0.13100000000000001</v>
          </cell>
          <cell r="N1835" t="str">
            <v>5W</v>
          </cell>
          <cell r="P1835" t="str">
            <v>PONCVL</v>
          </cell>
          <cell r="Q1835" t="str">
            <v>/  /</v>
          </cell>
        </row>
        <row r="1836">
          <cell r="A1836">
            <v>3948721</v>
          </cell>
          <cell r="B1836">
            <v>43788</v>
          </cell>
          <cell r="C1836" t="str">
            <v>PON</v>
          </cell>
          <cell r="D1836">
            <v>633073022</v>
          </cell>
          <cell r="E1836" t="str">
            <v>CV C19R5 RimF/S 54CMEm/Grn/Flu</v>
          </cell>
          <cell r="F1836">
            <v>1</v>
          </cell>
          <cell r="G1836">
            <v>0</v>
          </cell>
          <cell r="I1836" t="str">
            <v>JG142</v>
          </cell>
          <cell r="L1836">
            <v>5</v>
          </cell>
          <cell r="M1836">
            <v>0.129</v>
          </cell>
          <cell r="N1836" t="str">
            <v>5W</v>
          </cell>
          <cell r="P1836" t="str">
            <v>PONCVL</v>
          </cell>
          <cell r="Q1836" t="str">
            <v>/  /</v>
          </cell>
        </row>
        <row r="1837">
          <cell r="A1837">
            <v>4081349</v>
          </cell>
          <cell r="B1837">
            <v>43788</v>
          </cell>
          <cell r="C1837" t="str">
            <v>PON</v>
          </cell>
          <cell r="D1837">
            <v>633073022</v>
          </cell>
          <cell r="E1837" t="str">
            <v>CV C19R5 RimF/S 54CMEm/Grn/Flu</v>
          </cell>
          <cell r="F1837">
            <v>1</v>
          </cell>
          <cell r="G1837">
            <v>0</v>
          </cell>
          <cell r="I1837" t="str">
            <v>JG142</v>
          </cell>
          <cell r="L1837">
            <v>5</v>
          </cell>
          <cell r="M1837">
            <v>0.129</v>
          </cell>
          <cell r="N1837" t="str">
            <v>5W</v>
          </cell>
          <cell r="P1837" t="str">
            <v>PONCVL</v>
          </cell>
          <cell r="Q1837" t="str">
            <v>/  /</v>
          </cell>
        </row>
        <row r="1838">
          <cell r="A1838">
            <v>4383600</v>
          </cell>
          <cell r="B1838">
            <v>44068</v>
          </cell>
          <cell r="C1838" t="str">
            <v>PON</v>
          </cell>
          <cell r="D1838">
            <v>637016222</v>
          </cell>
          <cell r="E1838" t="str">
            <v>F21 PARALANE 8.9 M 54 BLK</v>
          </cell>
          <cell r="F1838">
            <v>1</v>
          </cell>
          <cell r="G1838">
            <v>0</v>
          </cell>
          <cell r="I1838" t="str">
            <v>JH011</v>
          </cell>
          <cell r="L1838">
            <v>13.4</v>
          </cell>
          <cell r="M1838">
            <v>0.34499999999999997</v>
          </cell>
          <cell r="N1838" t="str">
            <v>5W</v>
          </cell>
          <cell r="P1838" t="str">
            <v>PONFCS</v>
          </cell>
          <cell r="Q1838" t="str">
            <v>/  /</v>
          </cell>
        </row>
        <row r="1839">
          <cell r="A1839">
            <v>3970541</v>
          </cell>
          <cell r="B1839">
            <v>43801</v>
          </cell>
          <cell r="C1839" t="str">
            <v>PON</v>
          </cell>
          <cell r="D1839">
            <v>633718325</v>
          </cell>
          <cell r="E1839" t="str">
            <v>FC EBikeF19Planet2TR 6.8 53LRd</v>
          </cell>
          <cell r="F1839">
            <v>1</v>
          </cell>
          <cell r="G1839">
            <v>0</v>
          </cell>
          <cell r="I1839" t="str">
            <v>JH013</v>
          </cell>
          <cell r="L1839">
            <v>32.9</v>
          </cell>
          <cell r="M1839">
            <v>0.57299999999999995</v>
          </cell>
          <cell r="N1839" t="str">
            <v>5W</v>
          </cell>
          <cell r="P1839" t="str">
            <v>PONFEB</v>
          </cell>
          <cell r="Q1839" t="str">
            <v>/  /</v>
          </cell>
        </row>
        <row r="1840">
          <cell r="A1840">
            <v>4040321</v>
          </cell>
          <cell r="B1840">
            <v>43852</v>
          </cell>
          <cell r="C1840" t="str">
            <v>PON</v>
          </cell>
          <cell r="D1840">
            <v>633728537</v>
          </cell>
          <cell r="E1840" t="str">
            <v>FC EBF19 P/Sqre9.6 57LBlkAnth</v>
          </cell>
          <cell r="F1840">
            <v>1</v>
          </cell>
          <cell r="G1840">
            <v>0</v>
          </cell>
          <cell r="I1840" t="str">
            <v>JH013</v>
          </cell>
          <cell r="L1840">
            <v>23.8</v>
          </cell>
          <cell r="M1840">
            <v>0.57799999999999996</v>
          </cell>
          <cell r="N1840" t="str">
            <v>5W</v>
          </cell>
          <cell r="P1840" t="str">
            <v>PONFEB</v>
          </cell>
          <cell r="Q1840" t="str">
            <v>/  /</v>
          </cell>
        </row>
        <row r="1841">
          <cell r="A1841">
            <v>4086250</v>
          </cell>
          <cell r="B1841">
            <v>43852</v>
          </cell>
          <cell r="C1841" t="str">
            <v>PON</v>
          </cell>
          <cell r="D1841">
            <v>633728537</v>
          </cell>
          <cell r="E1841" t="str">
            <v>FC EBF19 P/Sqre9.6 57LBlkAnth</v>
          </cell>
          <cell r="F1841">
            <v>1</v>
          </cell>
          <cell r="G1841">
            <v>0</v>
          </cell>
          <cell r="I1841" t="str">
            <v>JH013</v>
          </cell>
          <cell r="L1841">
            <v>23.8</v>
          </cell>
          <cell r="M1841">
            <v>0.57799999999999996</v>
          </cell>
          <cell r="N1841" t="str">
            <v>5W</v>
          </cell>
          <cell r="P1841" t="str">
            <v>PONFEB</v>
          </cell>
          <cell r="Q1841" t="str">
            <v>/  /</v>
          </cell>
        </row>
        <row r="1842">
          <cell r="A1842">
            <v>4087691</v>
          </cell>
          <cell r="B1842">
            <v>43852</v>
          </cell>
          <cell r="C1842" t="str">
            <v>PON</v>
          </cell>
          <cell r="D1842">
            <v>633728537</v>
          </cell>
          <cell r="E1842" t="str">
            <v>FC EBF19 P/Sqre9.6 57LBlkAnth</v>
          </cell>
          <cell r="F1842">
            <v>1</v>
          </cell>
          <cell r="G1842">
            <v>0</v>
          </cell>
          <cell r="I1842" t="str">
            <v>JH013</v>
          </cell>
          <cell r="L1842">
            <v>23.8</v>
          </cell>
          <cell r="M1842">
            <v>0.57799999999999996</v>
          </cell>
          <cell r="N1842" t="str">
            <v>5W</v>
          </cell>
          <cell r="P1842" t="str">
            <v>PONFEB</v>
          </cell>
          <cell r="Q1842" t="str">
            <v>/  /</v>
          </cell>
        </row>
        <row r="1843">
          <cell r="A1843">
            <v>4089490</v>
          </cell>
          <cell r="B1843">
            <v>43852</v>
          </cell>
          <cell r="C1843" t="str">
            <v>PON</v>
          </cell>
          <cell r="D1843">
            <v>633728537</v>
          </cell>
          <cell r="E1843" t="str">
            <v>FC EBF19 P/Sqre9.6 57LBlkAnth</v>
          </cell>
          <cell r="F1843">
            <v>1</v>
          </cell>
          <cell r="G1843">
            <v>0</v>
          </cell>
          <cell r="I1843" t="str">
            <v>JH013</v>
          </cell>
          <cell r="L1843">
            <v>23.8</v>
          </cell>
          <cell r="M1843">
            <v>0.57799999999999996</v>
          </cell>
          <cell r="N1843" t="str">
            <v>5W</v>
          </cell>
          <cell r="P1843" t="str">
            <v>PONFEB</v>
          </cell>
          <cell r="Q1843" t="str">
            <v>/  /</v>
          </cell>
        </row>
        <row r="1844">
          <cell r="A1844">
            <v>4086359</v>
          </cell>
          <cell r="B1844">
            <v>43847</v>
          </cell>
          <cell r="C1844" t="str">
            <v>PON</v>
          </cell>
          <cell r="D1844" t="str">
            <v>A2949</v>
          </cell>
          <cell r="E1844" t="str">
            <v>GZ G17 Orange CX HMB 61 Men</v>
          </cell>
          <cell r="F1844">
            <v>1</v>
          </cell>
          <cell r="G1844">
            <v>0</v>
          </cell>
          <cell r="I1844" t="str">
            <v>JH014</v>
          </cell>
          <cell r="L1844">
            <v>33.5</v>
          </cell>
          <cell r="M1844">
            <v>0.621</v>
          </cell>
          <cell r="N1844" t="str">
            <v>5W</v>
          </cell>
          <cell r="P1844" t="str">
            <v>PONGAZ</v>
          </cell>
          <cell r="Q1844" t="str">
            <v>/  /</v>
          </cell>
        </row>
        <row r="1845">
          <cell r="A1845">
            <v>4087950</v>
          </cell>
          <cell r="B1845">
            <v>43847</v>
          </cell>
          <cell r="C1845" t="str">
            <v>PON</v>
          </cell>
          <cell r="D1845" t="str">
            <v>A2949</v>
          </cell>
          <cell r="E1845" t="str">
            <v>GZ G17 Orange CX HMB 61 Men</v>
          </cell>
          <cell r="F1845">
            <v>1</v>
          </cell>
          <cell r="G1845">
            <v>0</v>
          </cell>
          <cell r="I1845" t="str">
            <v>JH014</v>
          </cell>
          <cell r="L1845">
            <v>33.5</v>
          </cell>
          <cell r="M1845">
            <v>0.621</v>
          </cell>
          <cell r="N1845" t="str">
            <v>5W</v>
          </cell>
          <cell r="P1845" t="str">
            <v>PONGAZ</v>
          </cell>
          <cell r="Q1845" t="str">
            <v>/  /</v>
          </cell>
        </row>
        <row r="1846">
          <cell r="A1846">
            <v>4089827</v>
          </cell>
          <cell r="B1846">
            <v>43847</v>
          </cell>
          <cell r="C1846" t="str">
            <v>PON</v>
          </cell>
          <cell r="D1846" t="str">
            <v>A2949</v>
          </cell>
          <cell r="E1846" t="str">
            <v>GZ G17 Orange CX HMB 61 Men</v>
          </cell>
          <cell r="F1846">
            <v>1</v>
          </cell>
          <cell r="G1846">
            <v>0</v>
          </cell>
          <cell r="I1846" t="str">
            <v>JH014</v>
          </cell>
          <cell r="L1846">
            <v>33.5</v>
          </cell>
          <cell r="M1846">
            <v>0.621</v>
          </cell>
          <cell r="N1846" t="str">
            <v>5W</v>
          </cell>
          <cell r="P1846" t="str">
            <v>PONGAZ</v>
          </cell>
          <cell r="Q1846" t="str">
            <v>/  /</v>
          </cell>
        </row>
        <row r="1847">
          <cell r="A1847">
            <v>4183131</v>
          </cell>
          <cell r="B1847">
            <v>43948</v>
          </cell>
          <cell r="C1847" t="str">
            <v>PON</v>
          </cell>
          <cell r="D1847" t="str">
            <v>A4730</v>
          </cell>
          <cell r="E1847" t="str">
            <v>GZ G19G/noble C7+ HMB57 MenBlk</v>
          </cell>
          <cell r="F1847">
            <v>1</v>
          </cell>
          <cell r="G1847">
            <v>0</v>
          </cell>
          <cell r="I1847" t="str">
            <v>JH014</v>
          </cell>
          <cell r="L1847">
            <v>32.799999999999997</v>
          </cell>
          <cell r="M1847">
            <v>0.64500000000000002</v>
          </cell>
          <cell r="N1847" t="str">
            <v>5W</v>
          </cell>
          <cell r="P1847" t="str">
            <v>PONGAZ</v>
          </cell>
          <cell r="Q1847" t="str">
            <v>/  /</v>
          </cell>
        </row>
        <row r="1848">
          <cell r="A1848">
            <v>3999784</v>
          </cell>
          <cell r="B1848">
            <v>43815</v>
          </cell>
          <cell r="C1848" t="str">
            <v>PON</v>
          </cell>
          <cell r="D1848" t="str">
            <v>A5802</v>
          </cell>
          <cell r="E1848" t="str">
            <v>GZ G19 Chamonix T10 HMB 61 Men</v>
          </cell>
          <cell r="F1848">
            <v>1</v>
          </cell>
          <cell r="G1848">
            <v>0</v>
          </cell>
          <cell r="I1848" t="str">
            <v>JH014</v>
          </cell>
          <cell r="L1848">
            <v>29</v>
          </cell>
          <cell r="M1848">
            <v>0.622</v>
          </cell>
          <cell r="N1848" t="str">
            <v>5W</v>
          </cell>
          <cell r="P1848" t="str">
            <v>PONGAZ</v>
          </cell>
          <cell r="Q1848" t="str">
            <v>/  /</v>
          </cell>
        </row>
        <row r="1849">
          <cell r="A1849">
            <v>3962938</v>
          </cell>
          <cell r="B1849">
            <v>43795</v>
          </cell>
          <cell r="C1849" t="str">
            <v>PON</v>
          </cell>
          <cell r="D1849">
            <v>633618542</v>
          </cell>
          <cell r="E1849" t="str">
            <v>FC EBikeF19 P/Sqre 6.9 57L Slv</v>
          </cell>
          <cell r="F1849">
            <v>1</v>
          </cell>
          <cell r="G1849">
            <v>0</v>
          </cell>
          <cell r="I1849" t="str">
            <v>JH023</v>
          </cell>
          <cell r="L1849">
            <v>25.6</v>
          </cell>
          <cell r="M1849">
            <v>0.58099999999999996</v>
          </cell>
          <cell r="N1849" t="str">
            <v>5W</v>
          </cell>
          <cell r="P1849" t="str">
            <v>PONFEB</v>
          </cell>
          <cell r="Q1849" t="str">
            <v>/  /</v>
          </cell>
        </row>
        <row r="1850">
          <cell r="A1850">
            <v>3962939</v>
          </cell>
          <cell r="B1850">
            <v>43795</v>
          </cell>
          <cell r="C1850" t="str">
            <v>PON</v>
          </cell>
          <cell r="D1850">
            <v>633618542</v>
          </cell>
          <cell r="E1850" t="str">
            <v>FC EBikeF19 P/Sqre 6.9 57L Slv</v>
          </cell>
          <cell r="F1850">
            <v>1</v>
          </cell>
          <cell r="G1850">
            <v>0</v>
          </cell>
          <cell r="I1850" t="str">
            <v>JH023</v>
          </cell>
          <cell r="L1850">
            <v>25.6</v>
          </cell>
          <cell r="M1850">
            <v>0.58099999999999996</v>
          </cell>
          <cell r="N1850" t="str">
            <v>5W</v>
          </cell>
          <cell r="P1850" t="str">
            <v>PONFEB</v>
          </cell>
          <cell r="Q1850" t="str">
            <v>/  /</v>
          </cell>
        </row>
        <row r="1851">
          <cell r="A1851">
            <v>4086219</v>
          </cell>
          <cell r="B1851">
            <v>43795</v>
          </cell>
          <cell r="C1851" t="str">
            <v>PON</v>
          </cell>
          <cell r="D1851">
            <v>633618542</v>
          </cell>
          <cell r="E1851" t="str">
            <v>FC EBikeF19 P/Sqre 6.9 57L Slv</v>
          </cell>
          <cell r="F1851">
            <v>1</v>
          </cell>
          <cell r="G1851">
            <v>0</v>
          </cell>
          <cell r="I1851" t="str">
            <v>JH023</v>
          </cell>
          <cell r="L1851">
            <v>25.6</v>
          </cell>
          <cell r="M1851">
            <v>0.58099999999999996</v>
          </cell>
          <cell r="N1851" t="str">
            <v>5W</v>
          </cell>
          <cell r="P1851" t="str">
            <v>PONFEB</v>
          </cell>
          <cell r="Q1851" t="str">
            <v>/  /</v>
          </cell>
        </row>
        <row r="1852">
          <cell r="A1852">
            <v>4087638</v>
          </cell>
          <cell r="B1852">
            <v>43795</v>
          </cell>
          <cell r="C1852" t="str">
            <v>PON</v>
          </cell>
          <cell r="D1852">
            <v>633618542</v>
          </cell>
          <cell r="E1852" t="str">
            <v>FC EBikeF19 P/Sqre 6.9 57L Slv</v>
          </cell>
          <cell r="F1852">
            <v>1</v>
          </cell>
          <cell r="G1852">
            <v>0</v>
          </cell>
          <cell r="I1852" t="str">
            <v>JH023</v>
          </cell>
          <cell r="L1852">
            <v>25.6</v>
          </cell>
          <cell r="M1852">
            <v>0.58099999999999996</v>
          </cell>
          <cell r="N1852" t="str">
            <v>5W</v>
          </cell>
          <cell r="P1852" t="str">
            <v>PONFEB</v>
          </cell>
          <cell r="Q1852" t="str">
            <v>/  /</v>
          </cell>
        </row>
        <row r="1853">
          <cell r="A1853">
            <v>4089438</v>
          </cell>
          <cell r="B1853">
            <v>43795</v>
          </cell>
          <cell r="C1853" t="str">
            <v>PON</v>
          </cell>
          <cell r="D1853">
            <v>633618542</v>
          </cell>
          <cell r="E1853" t="str">
            <v>FC EBikeF19 P/Sqre 6.9 57L Slv</v>
          </cell>
          <cell r="F1853">
            <v>1</v>
          </cell>
          <cell r="G1853">
            <v>0</v>
          </cell>
          <cell r="I1853" t="str">
            <v>JH023</v>
          </cell>
          <cell r="L1853">
            <v>25.6</v>
          </cell>
          <cell r="M1853">
            <v>0.58099999999999996</v>
          </cell>
          <cell r="N1853" t="str">
            <v>5W</v>
          </cell>
          <cell r="P1853" t="str">
            <v>PONFEB</v>
          </cell>
          <cell r="Q1853" t="str">
            <v>/  /</v>
          </cell>
        </row>
        <row r="1854">
          <cell r="A1854">
            <v>4021724</v>
          </cell>
          <cell r="B1854">
            <v>43838</v>
          </cell>
          <cell r="C1854" t="str">
            <v>PON</v>
          </cell>
          <cell r="D1854">
            <v>633618552</v>
          </cell>
          <cell r="E1854" t="str">
            <v>FC EBikeF19 P/Sqre 6.8 57L Red</v>
          </cell>
          <cell r="F1854">
            <v>1</v>
          </cell>
          <cell r="G1854">
            <v>0</v>
          </cell>
          <cell r="I1854" t="str">
            <v>JH024</v>
          </cell>
          <cell r="L1854">
            <v>25.9</v>
          </cell>
          <cell r="M1854">
            <v>0.58099999999999996</v>
          </cell>
          <cell r="N1854" t="str">
            <v>5W</v>
          </cell>
          <cell r="P1854" t="str">
            <v>PONFEB</v>
          </cell>
          <cell r="Q1854" t="str">
            <v>/  /</v>
          </cell>
        </row>
        <row r="1855">
          <cell r="A1855">
            <v>4041719</v>
          </cell>
          <cell r="B1855">
            <v>43852</v>
          </cell>
          <cell r="C1855" t="str">
            <v>PON</v>
          </cell>
          <cell r="D1855">
            <v>633728522</v>
          </cell>
          <cell r="E1855" t="str">
            <v>FC EBF19P/Sqre 9.7 57LB/Anthr</v>
          </cell>
          <cell r="F1855">
            <v>1</v>
          </cell>
          <cell r="G1855">
            <v>0</v>
          </cell>
          <cell r="I1855" t="str">
            <v>JH024</v>
          </cell>
          <cell r="L1855">
            <v>23.3</v>
          </cell>
          <cell r="M1855">
            <v>0.57299999999999995</v>
          </cell>
          <cell r="N1855" t="str">
            <v>5W</v>
          </cell>
          <cell r="P1855" t="str">
            <v>PONFEB</v>
          </cell>
          <cell r="Q1855" t="str">
            <v>/  /</v>
          </cell>
        </row>
        <row r="1856">
          <cell r="A1856">
            <v>4088113</v>
          </cell>
          <cell r="B1856">
            <v>43852</v>
          </cell>
          <cell r="C1856" t="str">
            <v>PON</v>
          </cell>
          <cell r="D1856">
            <v>633728522</v>
          </cell>
          <cell r="E1856" t="str">
            <v>FC EBF19P/Sqre 9.7 57LB/Anthr</v>
          </cell>
          <cell r="F1856">
            <v>1</v>
          </cell>
          <cell r="G1856">
            <v>0</v>
          </cell>
          <cell r="I1856" t="str">
            <v>JH024</v>
          </cell>
          <cell r="L1856">
            <v>23.3</v>
          </cell>
          <cell r="M1856">
            <v>0.57299999999999995</v>
          </cell>
          <cell r="N1856" t="str">
            <v>5W</v>
          </cell>
          <cell r="P1856" t="str">
            <v>PONFEB</v>
          </cell>
          <cell r="Q1856" t="str">
            <v>/  /</v>
          </cell>
        </row>
        <row r="1857">
          <cell r="A1857">
            <v>3978546</v>
          </cell>
          <cell r="B1857">
            <v>43804</v>
          </cell>
          <cell r="C1857" t="str">
            <v>PON</v>
          </cell>
          <cell r="D1857" t="str">
            <v>A2948</v>
          </cell>
          <cell r="E1857" t="str">
            <v>GZ G17 Orange CX HMB 57 Men</v>
          </cell>
          <cell r="F1857">
            <v>1</v>
          </cell>
          <cell r="G1857">
            <v>0</v>
          </cell>
          <cell r="I1857" t="str">
            <v>JH024</v>
          </cell>
          <cell r="L1857">
            <v>31</v>
          </cell>
          <cell r="M1857">
            <v>0.57599999999999996</v>
          </cell>
          <cell r="N1857" t="str">
            <v>5W</v>
          </cell>
          <cell r="P1857" t="str">
            <v>PONGAZ</v>
          </cell>
          <cell r="Q1857" t="str">
            <v>/  /</v>
          </cell>
        </row>
        <row r="1858">
          <cell r="A1858">
            <v>3979133</v>
          </cell>
          <cell r="B1858">
            <v>43804</v>
          </cell>
          <cell r="C1858" t="str">
            <v>PON</v>
          </cell>
          <cell r="D1858" t="str">
            <v>A2948</v>
          </cell>
          <cell r="E1858" t="str">
            <v>GZ G17 Orange CX HMB 57 Men</v>
          </cell>
          <cell r="F1858">
            <v>1</v>
          </cell>
          <cell r="G1858">
            <v>0</v>
          </cell>
          <cell r="I1858" t="str">
            <v>JH024</v>
          </cell>
          <cell r="L1858">
            <v>31</v>
          </cell>
          <cell r="M1858">
            <v>0.57599999999999996</v>
          </cell>
          <cell r="N1858" t="str">
            <v>5W</v>
          </cell>
          <cell r="P1858" t="str">
            <v>PONGAZ</v>
          </cell>
          <cell r="Q1858" t="str">
            <v>/  /</v>
          </cell>
        </row>
        <row r="1859">
          <cell r="A1859">
            <v>3932930</v>
          </cell>
          <cell r="B1859">
            <v>43780</v>
          </cell>
          <cell r="C1859" t="str">
            <v>PON</v>
          </cell>
          <cell r="D1859">
            <v>633078612</v>
          </cell>
          <cell r="E1859" t="str">
            <v>CV C19P3X UltDi2LG Rvr/Flu/Blk</v>
          </cell>
          <cell r="F1859">
            <v>1</v>
          </cell>
          <cell r="G1859">
            <v>0</v>
          </cell>
          <cell r="I1859" t="str">
            <v>JH032</v>
          </cell>
          <cell r="L1859">
            <v>15</v>
          </cell>
          <cell r="M1859">
            <v>0.23</v>
          </cell>
          <cell r="N1859" t="str">
            <v>5W</v>
          </cell>
          <cell r="P1859" t="str">
            <v>PONCVL</v>
          </cell>
          <cell r="Q1859" t="str">
            <v>/  /</v>
          </cell>
        </row>
        <row r="1860">
          <cell r="A1860">
            <v>4081458</v>
          </cell>
          <cell r="B1860">
            <v>43780</v>
          </cell>
          <cell r="C1860" t="str">
            <v>PON</v>
          </cell>
          <cell r="D1860">
            <v>633078612</v>
          </cell>
          <cell r="E1860" t="str">
            <v>CV C19P3X UltDi2LG Rvr/Flu/Blk</v>
          </cell>
          <cell r="F1860">
            <v>1</v>
          </cell>
          <cell r="G1860">
            <v>0</v>
          </cell>
          <cell r="I1860" t="str">
            <v>JH032</v>
          </cell>
          <cell r="L1860">
            <v>15</v>
          </cell>
          <cell r="M1860">
            <v>0.23</v>
          </cell>
          <cell r="N1860" t="str">
            <v>5W</v>
          </cell>
          <cell r="P1860" t="str">
            <v>PONCVL</v>
          </cell>
          <cell r="Q1860" t="str">
            <v>/  /</v>
          </cell>
        </row>
        <row r="1861">
          <cell r="A1861">
            <v>4183135</v>
          </cell>
          <cell r="B1861">
            <v>43948</v>
          </cell>
          <cell r="C1861" t="str">
            <v>PON</v>
          </cell>
          <cell r="D1861">
            <v>637012014</v>
          </cell>
          <cell r="E1861" t="str">
            <v>F20 IZ MAX DISC 9.8 56L</v>
          </cell>
          <cell r="F1861">
            <v>1</v>
          </cell>
          <cell r="G1861">
            <v>0</v>
          </cell>
          <cell r="I1861" t="str">
            <v>JH041</v>
          </cell>
          <cell r="L1861">
            <v>12.1</v>
          </cell>
          <cell r="M1861">
            <v>0.34</v>
          </cell>
          <cell r="N1861" t="str">
            <v>5W</v>
          </cell>
          <cell r="P1861" t="str">
            <v>PONFCS</v>
          </cell>
          <cell r="Q1861" t="str">
            <v>/  /</v>
          </cell>
        </row>
        <row r="1862">
          <cell r="A1862">
            <v>4183137</v>
          </cell>
          <cell r="B1862">
            <v>43948</v>
          </cell>
          <cell r="C1862" t="str">
            <v>PON</v>
          </cell>
          <cell r="D1862">
            <v>637012014</v>
          </cell>
          <cell r="E1862" t="str">
            <v>F20 IZ MAX DISC 9.8 56L</v>
          </cell>
          <cell r="F1862">
            <v>1</v>
          </cell>
          <cell r="G1862">
            <v>0</v>
          </cell>
          <cell r="I1862" t="str">
            <v>JH041</v>
          </cell>
          <cell r="L1862">
            <v>12.1</v>
          </cell>
          <cell r="M1862">
            <v>0.34</v>
          </cell>
          <cell r="N1862" t="str">
            <v>5W</v>
          </cell>
          <cell r="P1862" t="str">
            <v>PONFCS</v>
          </cell>
          <cell r="Q1862" t="str">
            <v>/  /</v>
          </cell>
        </row>
        <row r="1863">
          <cell r="A1863">
            <v>4001253</v>
          </cell>
          <cell r="B1863">
            <v>43815</v>
          </cell>
          <cell r="C1863" t="str">
            <v>PON</v>
          </cell>
          <cell r="D1863">
            <v>637078089</v>
          </cell>
          <cell r="E1863" t="str">
            <v>C20PSer DscFceEtap AXSWhLGry56</v>
          </cell>
          <cell r="F1863">
            <v>1</v>
          </cell>
          <cell r="G1863">
            <v>0</v>
          </cell>
          <cell r="I1863" t="str">
            <v>JH042</v>
          </cell>
          <cell r="L1863">
            <v>15.2</v>
          </cell>
          <cell r="M1863">
            <v>0.23300000000000001</v>
          </cell>
          <cell r="N1863" t="str">
            <v>5W</v>
          </cell>
          <cell r="P1863" t="str">
            <v>PONCVL</v>
          </cell>
          <cell r="Q1863" t="str">
            <v>/  /</v>
          </cell>
        </row>
        <row r="1864">
          <cell r="A1864">
            <v>4001259</v>
          </cell>
          <cell r="B1864">
            <v>43815</v>
          </cell>
          <cell r="C1864" t="str">
            <v>PON</v>
          </cell>
          <cell r="D1864">
            <v>637078093</v>
          </cell>
          <cell r="E1864" t="str">
            <v>C20 P SDFEtap AXS Oge Coral 51</v>
          </cell>
          <cell r="F1864">
            <v>1</v>
          </cell>
          <cell r="G1864">
            <v>0</v>
          </cell>
          <cell r="I1864" t="str">
            <v>JH042</v>
          </cell>
          <cell r="L1864">
            <v>15.8</v>
          </cell>
          <cell r="M1864">
            <v>0.23300000000000001</v>
          </cell>
          <cell r="N1864" t="str">
            <v>5W</v>
          </cell>
          <cell r="P1864" t="str">
            <v>PONCVL</v>
          </cell>
          <cell r="Q1864" t="str">
            <v>/  /</v>
          </cell>
        </row>
        <row r="1865">
          <cell r="A1865">
            <v>4616055</v>
          </cell>
          <cell r="B1865">
            <v>44204</v>
          </cell>
          <cell r="C1865" t="str">
            <v>PON</v>
          </cell>
          <cell r="D1865">
            <v>641526686</v>
          </cell>
          <cell r="E1865" t="str">
            <v>K21 Agattu 1.B Move S 45 Co400</v>
          </cell>
          <cell r="F1865">
            <v>1</v>
          </cell>
          <cell r="G1865">
            <v>0</v>
          </cell>
          <cell r="I1865" t="str">
            <v>JH043</v>
          </cell>
          <cell r="L1865">
            <v>32</v>
          </cell>
          <cell r="M1865">
            <v>0.57299999999999995</v>
          </cell>
          <cell r="N1865" t="str">
            <v>5W</v>
          </cell>
          <cell r="P1865" t="str">
            <v>PONFCS</v>
          </cell>
          <cell r="Q1865" t="str">
            <v>/  /</v>
          </cell>
        </row>
        <row r="1866">
          <cell r="A1866">
            <v>4616056</v>
          </cell>
          <cell r="B1866">
            <v>44204</v>
          </cell>
          <cell r="C1866" t="str">
            <v>PON</v>
          </cell>
          <cell r="D1866">
            <v>641526686</v>
          </cell>
          <cell r="E1866" t="str">
            <v>K21 Agattu 1.B Move S 45 Co400</v>
          </cell>
          <cell r="F1866">
            <v>1</v>
          </cell>
          <cell r="G1866">
            <v>0</v>
          </cell>
          <cell r="I1866" t="str">
            <v>JH043</v>
          </cell>
          <cell r="L1866">
            <v>32</v>
          </cell>
          <cell r="M1866">
            <v>0.57299999999999995</v>
          </cell>
          <cell r="N1866" t="str">
            <v>5W</v>
          </cell>
          <cell r="P1866" t="str">
            <v>PONFCS</v>
          </cell>
          <cell r="Q1866" t="str">
            <v>/  /</v>
          </cell>
        </row>
        <row r="1867">
          <cell r="A1867">
            <v>4616057</v>
          </cell>
          <cell r="B1867">
            <v>44204</v>
          </cell>
          <cell r="C1867" t="str">
            <v>PON</v>
          </cell>
          <cell r="D1867">
            <v>641526686</v>
          </cell>
          <cell r="E1867" t="str">
            <v>K21 Agattu 1.B Move S 45 Co400</v>
          </cell>
          <cell r="F1867">
            <v>1</v>
          </cell>
          <cell r="G1867">
            <v>0</v>
          </cell>
          <cell r="I1867" t="str">
            <v>JH043</v>
          </cell>
          <cell r="L1867">
            <v>32</v>
          </cell>
          <cell r="M1867">
            <v>0.57299999999999995</v>
          </cell>
          <cell r="N1867" t="str">
            <v>5W</v>
          </cell>
          <cell r="P1867" t="str">
            <v>PONFCS</v>
          </cell>
          <cell r="Q1867" t="str">
            <v>/  /</v>
          </cell>
        </row>
        <row r="1868">
          <cell r="A1868">
            <v>4616058</v>
          </cell>
          <cell r="B1868">
            <v>44204</v>
          </cell>
          <cell r="C1868" t="str">
            <v>PON</v>
          </cell>
          <cell r="D1868">
            <v>641526686</v>
          </cell>
          <cell r="E1868" t="str">
            <v>K21 Agattu 1.B Move S 45 Co400</v>
          </cell>
          <cell r="F1868">
            <v>1</v>
          </cell>
          <cell r="G1868">
            <v>0</v>
          </cell>
          <cell r="I1868" t="str">
            <v>JH043</v>
          </cell>
          <cell r="L1868">
            <v>32</v>
          </cell>
          <cell r="M1868">
            <v>0.57299999999999995</v>
          </cell>
          <cell r="N1868" t="str">
            <v>5W</v>
          </cell>
          <cell r="P1868" t="str">
            <v>PONFCS</v>
          </cell>
          <cell r="Q1868" t="str">
            <v>/  /</v>
          </cell>
        </row>
        <row r="1869">
          <cell r="A1869">
            <v>4573974</v>
          </cell>
          <cell r="B1869">
            <v>44172</v>
          </cell>
          <cell r="C1869" t="str">
            <v>PON</v>
          </cell>
          <cell r="D1869">
            <v>633012043</v>
          </cell>
          <cell r="E1869" t="str">
            <v>F21 Iz Max Disc 8.9 54 M White</v>
          </cell>
          <cell r="F1869">
            <v>1</v>
          </cell>
          <cell r="G1869">
            <v>0</v>
          </cell>
          <cell r="I1869" t="str">
            <v>JH051</v>
          </cell>
          <cell r="L1869">
            <v>12.4</v>
          </cell>
          <cell r="M1869">
            <v>0.34699999999999998</v>
          </cell>
          <cell r="N1869" t="str">
            <v>5W</v>
          </cell>
          <cell r="P1869" t="str">
            <v>PONFCS</v>
          </cell>
          <cell r="Q1869" t="str">
            <v>/  /</v>
          </cell>
        </row>
        <row r="1870">
          <cell r="A1870">
            <v>4001189</v>
          </cell>
          <cell r="B1870">
            <v>43815</v>
          </cell>
          <cell r="C1870" t="str">
            <v>PON</v>
          </cell>
          <cell r="D1870">
            <v>633078602</v>
          </cell>
          <cell r="E1870" t="str">
            <v>CV C19P3X Ult Di2 LGGph/Blk/Rd</v>
          </cell>
          <cell r="F1870">
            <v>1</v>
          </cell>
          <cell r="G1870">
            <v>0</v>
          </cell>
          <cell r="I1870" t="str">
            <v>JH052</v>
          </cell>
          <cell r="L1870">
            <v>16.3</v>
          </cell>
          <cell r="M1870">
            <v>0.22900000000000001</v>
          </cell>
          <cell r="N1870" t="str">
            <v>5W</v>
          </cell>
          <cell r="P1870" t="str">
            <v>PONCVL</v>
          </cell>
          <cell r="Q1870" t="str">
            <v>/  /</v>
          </cell>
        </row>
        <row r="1871">
          <cell r="A1871">
            <v>4081455</v>
          </cell>
          <cell r="B1871">
            <v>43815</v>
          </cell>
          <cell r="C1871" t="str">
            <v>PON</v>
          </cell>
          <cell r="D1871">
            <v>633078602</v>
          </cell>
          <cell r="E1871" t="str">
            <v>CV C19P3X Ult Di2 LGGph/Blk/Rd</v>
          </cell>
          <cell r="F1871">
            <v>1</v>
          </cell>
          <cell r="G1871">
            <v>0</v>
          </cell>
          <cell r="I1871" t="str">
            <v>JH052</v>
          </cell>
          <cell r="L1871">
            <v>16.3</v>
          </cell>
          <cell r="M1871">
            <v>0.22900000000000001</v>
          </cell>
          <cell r="N1871" t="str">
            <v>5W</v>
          </cell>
          <cell r="P1871" t="str">
            <v>PONCVL</v>
          </cell>
          <cell r="Q1871" t="str">
            <v>/  /</v>
          </cell>
        </row>
        <row r="1872">
          <cell r="A1872">
            <v>4615954</v>
          </cell>
          <cell r="B1872">
            <v>44204</v>
          </cell>
          <cell r="C1872" t="str">
            <v>PON</v>
          </cell>
          <cell r="D1872">
            <v>637518001</v>
          </cell>
          <cell r="E1872" t="str">
            <v>F20 Thron2 6.9 44M</v>
          </cell>
          <cell r="F1872">
            <v>1</v>
          </cell>
          <cell r="G1872">
            <v>0</v>
          </cell>
          <cell r="I1872" t="str">
            <v>JH054</v>
          </cell>
          <cell r="L1872">
            <v>32.700000000000003</v>
          </cell>
          <cell r="M1872">
            <v>0.58099999999999996</v>
          </cell>
          <cell r="N1872" t="str">
            <v>5W</v>
          </cell>
          <cell r="P1872" t="str">
            <v>PONFCS</v>
          </cell>
          <cell r="Q1872" t="str">
            <v>/  /</v>
          </cell>
        </row>
        <row r="1873">
          <cell r="A1873">
            <v>4615955</v>
          </cell>
          <cell r="B1873">
            <v>44204</v>
          </cell>
          <cell r="C1873" t="str">
            <v>PON</v>
          </cell>
          <cell r="D1873">
            <v>637518001</v>
          </cell>
          <cell r="E1873" t="str">
            <v>F20 Thron2 6.9 44M</v>
          </cell>
          <cell r="F1873">
            <v>1</v>
          </cell>
          <cell r="G1873">
            <v>0</v>
          </cell>
          <cell r="I1873" t="str">
            <v>JH054</v>
          </cell>
          <cell r="L1873">
            <v>32.700000000000003</v>
          </cell>
          <cell r="M1873">
            <v>0.58099999999999996</v>
          </cell>
          <cell r="N1873" t="str">
            <v>5W</v>
          </cell>
          <cell r="P1873" t="str">
            <v>PONFCS</v>
          </cell>
          <cell r="Q1873" t="str">
            <v>/  /</v>
          </cell>
        </row>
        <row r="1874">
          <cell r="A1874">
            <v>4573975</v>
          </cell>
          <cell r="B1874">
            <v>44172</v>
          </cell>
          <cell r="C1874" t="str">
            <v>PON</v>
          </cell>
          <cell r="D1874">
            <v>633012043</v>
          </cell>
          <cell r="E1874" t="str">
            <v>F21 Iz Max Disc 8.9 54 M White</v>
          </cell>
          <cell r="F1874">
            <v>1</v>
          </cell>
          <cell r="G1874">
            <v>0</v>
          </cell>
          <cell r="I1874" t="str">
            <v>JH061</v>
          </cell>
          <cell r="L1874">
            <v>12.4</v>
          </cell>
          <cell r="M1874">
            <v>0.34699999999999998</v>
          </cell>
          <cell r="N1874" t="str">
            <v>5W</v>
          </cell>
          <cell r="P1874" t="str">
            <v>PONFCS</v>
          </cell>
          <cell r="Q1874" t="str">
            <v>/  /</v>
          </cell>
        </row>
        <row r="1875">
          <cell r="A1875">
            <v>4573976</v>
          </cell>
          <cell r="B1875">
            <v>44172</v>
          </cell>
          <cell r="C1875" t="str">
            <v>PON</v>
          </cell>
          <cell r="D1875">
            <v>633012043</v>
          </cell>
          <cell r="E1875" t="str">
            <v>F21 Iz Max Disc 8.9 54 M White</v>
          </cell>
          <cell r="F1875">
            <v>1</v>
          </cell>
          <cell r="G1875">
            <v>0</v>
          </cell>
          <cell r="I1875" t="str">
            <v>JH061</v>
          </cell>
          <cell r="L1875">
            <v>12.4</v>
          </cell>
          <cell r="M1875">
            <v>0.34699999999999998</v>
          </cell>
          <cell r="N1875" t="str">
            <v>5W</v>
          </cell>
          <cell r="P1875" t="str">
            <v>PONFCS</v>
          </cell>
          <cell r="Q1875" t="str">
            <v>/  /</v>
          </cell>
        </row>
        <row r="1876">
          <cell r="A1876">
            <v>4573977</v>
          </cell>
          <cell r="B1876">
            <v>44172</v>
          </cell>
          <cell r="C1876" t="str">
            <v>PON</v>
          </cell>
          <cell r="D1876">
            <v>633012043</v>
          </cell>
          <cell r="E1876" t="str">
            <v>F21 Iz Max Disc 8.9 54 M White</v>
          </cell>
          <cell r="F1876">
            <v>1</v>
          </cell>
          <cell r="G1876">
            <v>0</v>
          </cell>
          <cell r="I1876" t="str">
            <v>JH061</v>
          </cell>
          <cell r="L1876">
            <v>12.4</v>
          </cell>
          <cell r="M1876">
            <v>0.34699999999999998</v>
          </cell>
          <cell r="N1876" t="str">
            <v>5W</v>
          </cell>
          <cell r="P1876" t="str">
            <v>PONFCS</v>
          </cell>
          <cell r="Q1876" t="str">
            <v>/  /</v>
          </cell>
        </row>
        <row r="1877">
          <cell r="A1877">
            <v>4374351</v>
          </cell>
          <cell r="B1877">
            <v>44061</v>
          </cell>
          <cell r="C1877" t="str">
            <v>PON</v>
          </cell>
          <cell r="D1877">
            <v>641078058</v>
          </cell>
          <cell r="E1877" t="str">
            <v>C21 Aspero GRX Black/Gold 58</v>
          </cell>
          <cell r="F1877">
            <v>1</v>
          </cell>
          <cell r="G1877">
            <v>0</v>
          </cell>
          <cell r="I1877" t="str">
            <v>JH062</v>
          </cell>
          <cell r="L1877">
            <v>14.8</v>
          </cell>
          <cell r="M1877">
            <v>0.23300000000000001</v>
          </cell>
          <cell r="N1877" t="str">
            <v>5W</v>
          </cell>
          <cell r="P1877" t="str">
            <v>PONCVL</v>
          </cell>
          <cell r="Q1877" t="str">
            <v>/  /</v>
          </cell>
        </row>
        <row r="1878">
          <cell r="A1878">
            <v>4616002</v>
          </cell>
          <cell r="B1878">
            <v>44204</v>
          </cell>
          <cell r="C1878" t="str">
            <v>PON</v>
          </cell>
          <cell r="D1878">
            <v>637527022</v>
          </cell>
          <cell r="E1878" t="str">
            <v>K20 Endeavour 3.B Move 55L DI</v>
          </cell>
          <cell r="F1878">
            <v>1</v>
          </cell>
          <cell r="G1878">
            <v>0</v>
          </cell>
          <cell r="I1878" t="str">
            <v>JH063</v>
          </cell>
          <cell r="L1878">
            <v>33.4</v>
          </cell>
          <cell r="M1878">
            <v>0.57599999999999996</v>
          </cell>
          <cell r="N1878" t="str">
            <v>5W</v>
          </cell>
          <cell r="P1878" t="str">
            <v>PONFCS</v>
          </cell>
          <cell r="Q1878" t="str">
            <v>/  /</v>
          </cell>
        </row>
        <row r="1879">
          <cell r="A1879">
            <v>4616003</v>
          </cell>
          <cell r="B1879">
            <v>44204</v>
          </cell>
          <cell r="C1879" t="str">
            <v>PON</v>
          </cell>
          <cell r="D1879">
            <v>637527022</v>
          </cell>
          <cell r="E1879" t="str">
            <v>K20 Endeavour 3.B Move 55L DI</v>
          </cell>
          <cell r="F1879">
            <v>1</v>
          </cell>
          <cell r="G1879">
            <v>0</v>
          </cell>
          <cell r="I1879" t="str">
            <v>JH063</v>
          </cell>
          <cell r="L1879">
            <v>33.4</v>
          </cell>
          <cell r="M1879">
            <v>0.57599999999999996</v>
          </cell>
          <cell r="N1879" t="str">
            <v>5W</v>
          </cell>
          <cell r="P1879" t="str">
            <v>PONFCS</v>
          </cell>
          <cell r="Q1879" t="str">
            <v>/  /</v>
          </cell>
        </row>
        <row r="1880">
          <cell r="A1880">
            <v>4616004</v>
          </cell>
          <cell r="B1880">
            <v>44204</v>
          </cell>
          <cell r="C1880" t="str">
            <v>PON</v>
          </cell>
          <cell r="D1880">
            <v>637527022</v>
          </cell>
          <cell r="E1880" t="str">
            <v>K20 Endeavour 3.B Move 55L DI</v>
          </cell>
          <cell r="F1880">
            <v>1</v>
          </cell>
          <cell r="G1880">
            <v>0</v>
          </cell>
          <cell r="I1880" t="str">
            <v>JH063</v>
          </cell>
          <cell r="L1880">
            <v>33.4</v>
          </cell>
          <cell r="M1880">
            <v>0.57599999999999996</v>
          </cell>
          <cell r="N1880" t="str">
            <v>5W</v>
          </cell>
          <cell r="P1880" t="str">
            <v>PONFCS</v>
          </cell>
          <cell r="Q1880" t="str">
            <v>/  /</v>
          </cell>
        </row>
        <row r="1881">
          <cell r="A1881">
            <v>4616005</v>
          </cell>
          <cell r="B1881">
            <v>44204</v>
          </cell>
          <cell r="C1881" t="str">
            <v>PON</v>
          </cell>
          <cell r="D1881">
            <v>637527022</v>
          </cell>
          <cell r="E1881" t="str">
            <v>K20 Endeavour 3.B Move 55L DI</v>
          </cell>
          <cell r="F1881">
            <v>1</v>
          </cell>
          <cell r="G1881">
            <v>0</v>
          </cell>
          <cell r="I1881" t="str">
            <v>JH063</v>
          </cell>
          <cell r="L1881">
            <v>33.4</v>
          </cell>
          <cell r="M1881">
            <v>0.57599999999999996</v>
          </cell>
          <cell r="N1881" t="str">
            <v>5W</v>
          </cell>
          <cell r="P1881" t="str">
            <v>PONFCS</v>
          </cell>
          <cell r="Q1881" t="str">
            <v>/  /</v>
          </cell>
        </row>
        <row r="1882">
          <cell r="A1882">
            <v>4616017</v>
          </cell>
          <cell r="B1882">
            <v>44204</v>
          </cell>
          <cell r="C1882" t="str">
            <v>PON</v>
          </cell>
          <cell r="D1882">
            <v>637527054</v>
          </cell>
          <cell r="E1882" t="str">
            <v>K21 Endeavour 1.B Move 500 S</v>
          </cell>
          <cell r="F1882">
            <v>1</v>
          </cell>
          <cell r="G1882">
            <v>0</v>
          </cell>
          <cell r="I1882" t="str">
            <v>JH064</v>
          </cell>
          <cell r="L1882">
            <v>31</v>
          </cell>
          <cell r="M1882">
            <v>0.57299999999999995</v>
          </cell>
          <cell r="N1882" t="str">
            <v>5W</v>
          </cell>
          <cell r="P1882" t="str">
            <v>PONFCS</v>
          </cell>
          <cell r="Q1882" t="str">
            <v>/  /</v>
          </cell>
        </row>
        <row r="1883">
          <cell r="A1883">
            <v>4616018</v>
          </cell>
          <cell r="B1883">
            <v>44204</v>
          </cell>
          <cell r="C1883" t="str">
            <v>PON</v>
          </cell>
          <cell r="D1883">
            <v>637527054</v>
          </cell>
          <cell r="E1883" t="str">
            <v>K21 Endeavour 1.B Move 500 S</v>
          </cell>
          <cell r="F1883">
            <v>1</v>
          </cell>
          <cell r="G1883">
            <v>0</v>
          </cell>
          <cell r="I1883" t="str">
            <v>JH064</v>
          </cell>
          <cell r="L1883">
            <v>31</v>
          </cell>
          <cell r="M1883">
            <v>0.57299999999999995</v>
          </cell>
          <cell r="N1883" t="str">
            <v>5W</v>
          </cell>
          <cell r="P1883" t="str">
            <v>PONFCS</v>
          </cell>
          <cell r="Q1883" t="str">
            <v>/  /</v>
          </cell>
        </row>
        <row r="1884">
          <cell r="A1884">
            <v>4616048</v>
          </cell>
          <cell r="B1884">
            <v>44204</v>
          </cell>
          <cell r="C1884" t="str">
            <v>PON</v>
          </cell>
          <cell r="D1884">
            <v>641518007</v>
          </cell>
          <cell r="E1884" t="str">
            <v>F21 Sam2 6.8 L45 Bro 625Wh</v>
          </cell>
          <cell r="F1884">
            <v>1</v>
          </cell>
          <cell r="G1884">
            <v>0</v>
          </cell>
          <cell r="I1884" t="str">
            <v>JH073</v>
          </cell>
          <cell r="L1884">
            <v>36</v>
          </cell>
          <cell r="M1884">
            <v>0.57299999999999995</v>
          </cell>
          <cell r="N1884" t="str">
            <v>5W</v>
          </cell>
          <cell r="P1884" t="str">
            <v>PONFCS</v>
          </cell>
          <cell r="Q1884" t="str">
            <v>/  /</v>
          </cell>
        </row>
        <row r="1885">
          <cell r="A1885">
            <v>4634126</v>
          </cell>
          <cell r="B1885">
            <v>44218</v>
          </cell>
          <cell r="C1885" t="str">
            <v>PON</v>
          </cell>
          <cell r="D1885">
            <v>637019380</v>
          </cell>
          <cell r="E1885" t="str">
            <v>F21 Whistler 3.5 Xs36 F Orange</v>
          </cell>
          <cell r="F1885">
            <v>1</v>
          </cell>
          <cell r="G1885">
            <v>0</v>
          </cell>
          <cell r="I1885" t="str">
            <v>JH081</v>
          </cell>
          <cell r="L1885">
            <v>20</v>
          </cell>
          <cell r="M1885">
            <v>0.38700000000000001</v>
          </cell>
          <cell r="N1885" t="str">
            <v>5W</v>
          </cell>
          <cell r="P1885" t="str">
            <v>PONFCS</v>
          </cell>
          <cell r="Q1885" t="str">
            <v>/  /</v>
          </cell>
        </row>
        <row r="1886">
          <cell r="A1886">
            <v>4634127</v>
          </cell>
          <cell r="B1886">
            <v>44218</v>
          </cell>
          <cell r="C1886" t="str">
            <v>PON</v>
          </cell>
          <cell r="D1886">
            <v>637019380</v>
          </cell>
          <cell r="E1886" t="str">
            <v>F21 Whistler 3.5 Xs36 F Orange</v>
          </cell>
          <cell r="F1886">
            <v>1</v>
          </cell>
          <cell r="G1886">
            <v>0</v>
          </cell>
          <cell r="I1886" t="str">
            <v>JH081</v>
          </cell>
          <cell r="L1886">
            <v>20</v>
          </cell>
          <cell r="M1886">
            <v>0.38700000000000001</v>
          </cell>
          <cell r="N1886" t="str">
            <v>5W</v>
          </cell>
          <cell r="P1886" t="str">
            <v>PONFCS</v>
          </cell>
          <cell r="Q1886" t="str">
            <v>/  /</v>
          </cell>
        </row>
        <row r="1887">
          <cell r="A1887">
            <v>4634128</v>
          </cell>
          <cell r="B1887">
            <v>44218</v>
          </cell>
          <cell r="C1887" t="str">
            <v>PON</v>
          </cell>
          <cell r="D1887">
            <v>637019380</v>
          </cell>
          <cell r="E1887" t="str">
            <v>F21 Whistler 3.5 Xs36 F Orange</v>
          </cell>
          <cell r="F1887">
            <v>1</v>
          </cell>
          <cell r="G1887">
            <v>0</v>
          </cell>
          <cell r="I1887" t="str">
            <v>JH081</v>
          </cell>
          <cell r="L1887">
            <v>20</v>
          </cell>
          <cell r="M1887">
            <v>0.38700000000000001</v>
          </cell>
          <cell r="N1887" t="str">
            <v>5W</v>
          </cell>
          <cell r="P1887" t="str">
            <v>PONFCS</v>
          </cell>
          <cell r="Q1887" t="str">
            <v>/  /</v>
          </cell>
        </row>
        <row r="1888">
          <cell r="A1888">
            <v>4616030</v>
          </cell>
          <cell r="B1888">
            <v>44204</v>
          </cell>
          <cell r="C1888" t="str">
            <v>PON</v>
          </cell>
          <cell r="D1888">
            <v>637527067</v>
          </cell>
          <cell r="E1888" t="str">
            <v>K21 Endv 1.B Move 500 M Grey</v>
          </cell>
          <cell r="F1888">
            <v>1</v>
          </cell>
          <cell r="G1888">
            <v>0</v>
          </cell>
          <cell r="I1888" t="str">
            <v>JH083</v>
          </cell>
          <cell r="L1888">
            <v>35</v>
          </cell>
          <cell r="M1888">
            <v>0.57299999999999995</v>
          </cell>
          <cell r="N1888" t="str">
            <v>5W</v>
          </cell>
          <cell r="P1888" t="str">
            <v>PONFCS</v>
          </cell>
          <cell r="Q1888" t="str">
            <v>/  /</v>
          </cell>
        </row>
        <row r="1889">
          <cell r="A1889">
            <v>4616033</v>
          </cell>
          <cell r="B1889">
            <v>44204</v>
          </cell>
          <cell r="C1889" t="str">
            <v>PON</v>
          </cell>
          <cell r="D1889">
            <v>637529056</v>
          </cell>
          <cell r="E1889" t="str">
            <v>K21 Endeavour 7.B Belt M 48</v>
          </cell>
          <cell r="F1889">
            <v>1</v>
          </cell>
          <cell r="G1889">
            <v>0</v>
          </cell>
          <cell r="I1889" t="str">
            <v>JH083</v>
          </cell>
          <cell r="L1889">
            <v>35.5</v>
          </cell>
          <cell r="M1889">
            <v>0.57299999999999995</v>
          </cell>
          <cell r="N1889" t="str">
            <v>5W</v>
          </cell>
          <cell r="P1889" t="str">
            <v>PONFCS</v>
          </cell>
          <cell r="Q1889" t="str">
            <v>/  /</v>
          </cell>
        </row>
        <row r="1890">
          <cell r="A1890">
            <v>4616049</v>
          </cell>
          <cell r="B1890">
            <v>44204</v>
          </cell>
          <cell r="C1890" t="str">
            <v>PON</v>
          </cell>
          <cell r="D1890">
            <v>641518007</v>
          </cell>
          <cell r="E1890" t="str">
            <v>F21 Sam2 6.8 L45 Bro 625Wh</v>
          </cell>
          <cell r="F1890">
            <v>1</v>
          </cell>
          <cell r="G1890">
            <v>0</v>
          </cell>
          <cell r="I1890" t="str">
            <v>JH083</v>
          </cell>
          <cell r="L1890">
            <v>36</v>
          </cell>
          <cell r="M1890">
            <v>0.57299999999999995</v>
          </cell>
          <cell r="N1890" t="str">
            <v>5W</v>
          </cell>
          <cell r="P1890" t="str">
            <v>PONFCS</v>
          </cell>
          <cell r="Q1890" t="str">
            <v>/  /</v>
          </cell>
        </row>
        <row r="1891">
          <cell r="A1891">
            <v>4634129</v>
          </cell>
          <cell r="B1891">
            <v>44218</v>
          </cell>
          <cell r="C1891" t="str">
            <v>PON</v>
          </cell>
          <cell r="D1891">
            <v>637019380</v>
          </cell>
          <cell r="E1891" t="str">
            <v>F21 Whistler 3.5 Xs36 F Orange</v>
          </cell>
          <cell r="F1891">
            <v>1</v>
          </cell>
          <cell r="G1891">
            <v>0</v>
          </cell>
          <cell r="I1891" t="str">
            <v>JH091</v>
          </cell>
          <cell r="L1891">
            <v>20</v>
          </cell>
          <cell r="M1891">
            <v>0.38700000000000001</v>
          </cell>
          <cell r="N1891" t="str">
            <v>5W</v>
          </cell>
          <cell r="P1891" t="str">
            <v>PONFCS</v>
          </cell>
          <cell r="Q1891" t="str">
            <v>/  /</v>
          </cell>
        </row>
        <row r="1892">
          <cell r="A1892">
            <v>4634130</v>
          </cell>
          <cell r="B1892">
            <v>44218</v>
          </cell>
          <cell r="C1892" t="str">
            <v>PON</v>
          </cell>
          <cell r="D1892">
            <v>637019380</v>
          </cell>
          <cell r="E1892" t="str">
            <v>F21 Whistler 3.5 Xs36 F Orange</v>
          </cell>
          <cell r="F1892">
            <v>1</v>
          </cell>
          <cell r="G1892">
            <v>0</v>
          </cell>
          <cell r="I1892" t="str">
            <v>JH091</v>
          </cell>
          <cell r="L1892">
            <v>20</v>
          </cell>
          <cell r="M1892">
            <v>0.38700000000000001</v>
          </cell>
          <cell r="N1892" t="str">
            <v>5W</v>
          </cell>
          <cell r="P1892" t="str">
            <v>PONFCS</v>
          </cell>
          <cell r="Q1892" t="str">
            <v>/  /</v>
          </cell>
        </row>
        <row r="1893">
          <cell r="A1893">
            <v>4634131</v>
          </cell>
          <cell r="B1893">
            <v>44218</v>
          </cell>
          <cell r="C1893" t="str">
            <v>PON</v>
          </cell>
          <cell r="D1893">
            <v>637019380</v>
          </cell>
          <cell r="E1893" t="str">
            <v>F21 Whistler 3.5 Xs36 F Orange</v>
          </cell>
          <cell r="F1893">
            <v>1</v>
          </cell>
          <cell r="G1893">
            <v>0</v>
          </cell>
          <cell r="I1893" t="str">
            <v>JH091</v>
          </cell>
          <cell r="L1893">
            <v>20</v>
          </cell>
          <cell r="M1893">
            <v>0.38700000000000001</v>
          </cell>
          <cell r="N1893" t="str">
            <v>5W</v>
          </cell>
          <cell r="P1893" t="str">
            <v>PONFCS</v>
          </cell>
          <cell r="Q1893" t="str">
            <v>/  /</v>
          </cell>
        </row>
        <row r="1894">
          <cell r="A1894">
            <v>4634132</v>
          </cell>
          <cell r="B1894">
            <v>44218</v>
          </cell>
          <cell r="C1894" t="str">
            <v>PON</v>
          </cell>
          <cell r="D1894">
            <v>637019380</v>
          </cell>
          <cell r="E1894" t="str">
            <v>F21 Whistler 3.5 Xs36 F Orange</v>
          </cell>
          <cell r="F1894">
            <v>1</v>
          </cell>
          <cell r="G1894">
            <v>0</v>
          </cell>
          <cell r="I1894" t="str">
            <v>JH091</v>
          </cell>
          <cell r="L1894">
            <v>20</v>
          </cell>
          <cell r="M1894">
            <v>0.38700000000000001</v>
          </cell>
          <cell r="N1894" t="str">
            <v>5W</v>
          </cell>
          <cell r="P1894" t="str">
            <v>PONFCS</v>
          </cell>
          <cell r="Q1894" t="str">
            <v>/  /</v>
          </cell>
        </row>
        <row r="1895">
          <cell r="A1895">
            <v>4615971</v>
          </cell>
          <cell r="B1895">
            <v>44204</v>
          </cell>
          <cell r="C1895" t="str">
            <v>PON</v>
          </cell>
          <cell r="D1895">
            <v>637518020</v>
          </cell>
          <cell r="E1895" t="str">
            <v>F20 Thron2 6.8 40S Grey</v>
          </cell>
          <cell r="F1895">
            <v>1</v>
          </cell>
          <cell r="G1895">
            <v>0</v>
          </cell>
          <cell r="I1895" t="str">
            <v>JH093</v>
          </cell>
          <cell r="L1895">
            <v>32</v>
          </cell>
          <cell r="M1895">
            <v>0.58099999999999996</v>
          </cell>
          <cell r="N1895" t="str">
            <v>5W</v>
          </cell>
          <cell r="P1895" t="str">
            <v>PONFCS</v>
          </cell>
          <cell r="Q1895" t="str">
            <v>/  /</v>
          </cell>
        </row>
        <row r="1896">
          <cell r="A1896">
            <v>4615972</v>
          </cell>
          <cell r="B1896">
            <v>44204</v>
          </cell>
          <cell r="C1896" t="str">
            <v>PON</v>
          </cell>
          <cell r="D1896">
            <v>637518020</v>
          </cell>
          <cell r="E1896" t="str">
            <v>F20 Thron2 6.8 40S Grey</v>
          </cell>
          <cell r="F1896">
            <v>1</v>
          </cell>
          <cell r="G1896">
            <v>0</v>
          </cell>
          <cell r="I1896" t="str">
            <v>JH093</v>
          </cell>
          <cell r="L1896">
            <v>32</v>
          </cell>
          <cell r="M1896">
            <v>0.58099999999999996</v>
          </cell>
          <cell r="N1896" t="str">
            <v>5W</v>
          </cell>
          <cell r="P1896" t="str">
            <v>PONFCS</v>
          </cell>
          <cell r="Q1896" t="str">
            <v>/  /</v>
          </cell>
        </row>
        <row r="1897">
          <cell r="A1897">
            <v>4615973</v>
          </cell>
          <cell r="B1897">
            <v>44204</v>
          </cell>
          <cell r="C1897" t="str">
            <v>PON</v>
          </cell>
          <cell r="D1897">
            <v>637518020</v>
          </cell>
          <cell r="E1897" t="str">
            <v>F20 Thron2 6.8 40S Grey</v>
          </cell>
          <cell r="F1897">
            <v>1</v>
          </cell>
          <cell r="G1897">
            <v>0</v>
          </cell>
          <cell r="I1897" t="str">
            <v>JH093</v>
          </cell>
          <cell r="L1897">
            <v>32</v>
          </cell>
          <cell r="M1897">
            <v>0.58099999999999996</v>
          </cell>
          <cell r="N1897" t="str">
            <v>5W</v>
          </cell>
          <cell r="P1897" t="str">
            <v>PONFCS</v>
          </cell>
          <cell r="Q1897" t="str">
            <v>/  /</v>
          </cell>
        </row>
        <row r="1898">
          <cell r="A1898">
            <v>4616020</v>
          </cell>
          <cell r="B1898">
            <v>44204</v>
          </cell>
          <cell r="C1898" t="str">
            <v>PON</v>
          </cell>
          <cell r="D1898">
            <v>637527054</v>
          </cell>
          <cell r="E1898" t="str">
            <v>K21 Endeavour 1.B Move 500 S</v>
          </cell>
          <cell r="F1898">
            <v>1</v>
          </cell>
          <cell r="G1898">
            <v>0</v>
          </cell>
          <cell r="I1898" t="str">
            <v>JH093</v>
          </cell>
          <cell r="L1898">
            <v>31</v>
          </cell>
          <cell r="M1898">
            <v>0.57299999999999995</v>
          </cell>
          <cell r="N1898" t="str">
            <v>5W</v>
          </cell>
          <cell r="P1898" t="str">
            <v>PONFCS</v>
          </cell>
          <cell r="Q1898" t="str">
            <v>/  /</v>
          </cell>
        </row>
        <row r="1899">
          <cell r="A1899">
            <v>4413396</v>
          </cell>
          <cell r="B1899">
            <v>44082</v>
          </cell>
          <cell r="C1899" t="str">
            <v>PON</v>
          </cell>
          <cell r="D1899">
            <v>641078177</v>
          </cell>
          <cell r="E1899" t="str">
            <v>C21 P/Srs Ult Di2 Carbon/Blk54</v>
          </cell>
          <cell r="F1899">
            <v>1</v>
          </cell>
          <cell r="G1899">
            <v>0</v>
          </cell>
          <cell r="I1899" t="str">
            <v>JH101</v>
          </cell>
          <cell r="L1899">
            <v>15</v>
          </cell>
          <cell r="M1899">
            <v>0.23</v>
          </cell>
          <cell r="N1899" t="str">
            <v>5W</v>
          </cell>
          <cell r="P1899" t="str">
            <v>PONCVL</v>
          </cell>
          <cell r="Q1899" t="str">
            <v>/  /</v>
          </cell>
        </row>
        <row r="1900">
          <cell r="A1900">
            <v>4413397</v>
          </cell>
          <cell r="B1900">
            <v>44082</v>
          </cell>
          <cell r="C1900" t="str">
            <v>PON</v>
          </cell>
          <cell r="D1900">
            <v>641078177</v>
          </cell>
          <cell r="E1900" t="str">
            <v>C21 P/Srs Ult Di2 Carbon/Blk54</v>
          </cell>
          <cell r="F1900">
            <v>1</v>
          </cell>
          <cell r="G1900">
            <v>0</v>
          </cell>
          <cell r="I1900" t="str">
            <v>JH101</v>
          </cell>
          <cell r="L1900">
            <v>15</v>
          </cell>
          <cell r="M1900">
            <v>0.23</v>
          </cell>
          <cell r="N1900" t="str">
            <v>5W</v>
          </cell>
          <cell r="P1900" t="str">
            <v>PONCVL</v>
          </cell>
          <cell r="Q1900" t="str">
            <v>/  /</v>
          </cell>
        </row>
        <row r="1901">
          <cell r="A1901">
            <v>4413398</v>
          </cell>
          <cell r="B1901">
            <v>44082</v>
          </cell>
          <cell r="C1901" t="str">
            <v>PON</v>
          </cell>
          <cell r="D1901">
            <v>641078177</v>
          </cell>
          <cell r="E1901" t="str">
            <v>C21 P/Srs Ult Di2 Carbon/Blk54</v>
          </cell>
          <cell r="F1901">
            <v>1</v>
          </cell>
          <cell r="G1901">
            <v>0</v>
          </cell>
          <cell r="I1901" t="str">
            <v>JH101</v>
          </cell>
          <cell r="L1901">
            <v>15</v>
          </cell>
          <cell r="M1901">
            <v>0.23</v>
          </cell>
          <cell r="N1901" t="str">
            <v>5W</v>
          </cell>
          <cell r="P1901" t="str">
            <v>PONCVL</v>
          </cell>
          <cell r="Q1901" t="str">
            <v>/  /</v>
          </cell>
        </row>
        <row r="1902">
          <cell r="A1902">
            <v>4413399</v>
          </cell>
          <cell r="B1902">
            <v>44082</v>
          </cell>
          <cell r="C1902" t="str">
            <v>PON</v>
          </cell>
          <cell r="D1902">
            <v>641078177</v>
          </cell>
          <cell r="E1902" t="str">
            <v>C21 P/Srs Ult Di2 Carbon/Blk54</v>
          </cell>
          <cell r="F1902">
            <v>1</v>
          </cell>
          <cell r="G1902">
            <v>0</v>
          </cell>
          <cell r="I1902" t="str">
            <v>JH101</v>
          </cell>
          <cell r="L1902">
            <v>15</v>
          </cell>
          <cell r="M1902">
            <v>0.23</v>
          </cell>
          <cell r="N1902" t="str">
            <v>5W</v>
          </cell>
          <cell r="P1902" t="str">
            <v>PONCVL</v>
          </cell>
          <cell r="Q1902" t="str">
            <v>/  /</v>
          </cell>
        </row>
        <row r="1903">
          <cell r="A1903">
            <v>4413378</v>
          </cell>
          <cell r="B1903">
            <v>44082</v>
          </cell>
          <cell r="C1903" t="str">
            <v>PON</v>
          </cell>
          <cell r="D1903">
            <v>641078160</v>
          </cell>
          <cell r="E1903" t="str">
            <v>C21 P/Srs Frc Etap Carbn/Blk58</v>
          </cell>
          <cell r="F1903">
            <v>1</v>
          </cell>
          <cell r="G1903">
            <v>0</v>
          </cell>
          <cell r="I1903" t="str">
            <v>JH102</v>
          </cell>
          <cell r="L1903">
            <v>15.1</v>
          </cell>
          <cell r="M1903">
            <v>0.24399999999999999</v>
          </cell>
          <cell r="N1903" t="str">
            <v>5W</v>
          </cell>
          <cell r="P1903" t="str">
            <v>PONCVL</v>
          </cell>
          <cell r="Q1903" t="str">
            <v>/  /</v>
          </cell>
        </row>
        <row r="1904">
          <cell r="A1904">
            <v>4413379</v>
          </cell>
          <cell r="B1904">
            <v>44082</v>
          </cell>
          <cell r="C1904" t="str">
            <v>PON</v>
          </cell>
          <cell r="D1904">
            <v>641078160</v>
          </cell>
          <cell r="E1904" t="str">
            <v>C21 P/Srs Frc Etap Carbn/Blk58</v>
          </cell>
          <cell r="F1904">
            <v>1</v>
          </cell>
          <cell r="G1904">
            <v>0</v>
          </cell>
          <cell r="I1904" t="str">
            <v>JH102</v>
          </cell>
          <cell r="L1904">
            <v>15.1</v>
          </cell>
          <cell r="M1904">
            <v>0.24399999999999999</v>
          </cell>
          <cell r="N1904" t="str">
            <v>5W</v>
          </cell>
          <cell r="P1904" t="str">
            <v>PONCVL</v>
          </cell>
          <cell r="Q1904" t="str">
            <v>/  /</v>
          </cell>
        </row>
        <row r="1905">
          <cell r="A1905">
            <v>4616028</v>
          </cell>
          <cell r="B1905">
            <v>44204</v>
          </cell>
          <cell r="C1905" t="str">
            <v>PON</v>
          </cell>
          <cell r="D1905">
            <v>637527067</v>
          </cell>
          <cell r="E1905" t="str">
            <v>K21 Endv 1.B Move 500 M Grey</v>
          </cell>
          <cell r="F1905">
            <v>1</v>
          </cell>
          <cell r="G1905">
            <v>0</v>
          </cell>
          <cell r="I1905" t="str">
            <v>JH103</v>
          </cell>
          <cell r="L1905">
            <v>35</v>
          </cell>
          <cell r="M1905">
            <v>0.57299999999999995</v>
          </cell>
          <cell r="N1905" t="str">
            <v>5W</v>
          </cell>
          <cell r="P1905" t="str">
            <v>PONFCS</v>
          </cell>
          <cell r="Q1905" t="str">
            <v>/  /</v>
          </cell>
        </row>
        <row r="1906">
          <cell r="A1906">
            <v>4616029</v>
          </cell>
          <cell r="B1906">
            <v>44204</v>
          </cell>
          <cell r="C1906" t="str">
            <v>PON</v>
          </cell>
          <cell r="D1906">
            <v>637527067</v>
          </cell>
          <cell r="E1906" t="str">
            <v>K21 Endv 1.B Move 500 M Grey</v>
          </cell>
          <cell r="F1906">
            <v>1</v>
          </cell>
          <cell r="G1906">
            <v>0</v>
          </cell>
          <cell r="I1906" t="str">
            <v>JH103</v>
          </cell>
          <cell r="L1906">
            <v>35</v>
          </cell>
          <cell r="M1906">
            <v>0.57299999999999995</v>
          </cell>
          <cell r="N1906" t="str">
            <v>5W</v>
          </cell>
          <cell r="P1906" t="str">
            <v>PONFCS</v>
          </cell>
          <cell r="Q1906" t="str">
            <v>/  /</v>
          </cell>
        </row>
        <row r="1907">
          <cell r="A1907">
            <v>4615988</v>
          </cell>
          <cell r="B1907">
            <v>44204</v>
          </cell>
          <cell r="C1907" t="str">
            <v>PON</v>
          </cell>
          <cell r="D1907">
            <v>637526054</v>
          </cell>
          <cell r="E1907" t="str">
            <v>K21 Endeavour 1.B Move 400 S</v>
          </cell>
          <cell r="F1907">
            <v>1</v>
          </cell>
          <cell r="G1907">
            <v>0</v>
          </cell>
          <cell r="I1907" t="str">
            <v>JH104</v>
          </cell>
          <cell r="L1907">
            <v>31</v>
          </cell>
          <cell r="M1907">
            <v>0.57299999999999995</v>
          </cell>
          <cell r="N1907" t="str">
            <v>5W</v>
          </cell>
          <cell r="P1907" t="str">
            <v>PONFCS</v>
          </cell>
          <cell r="Q1907" t="str">
            <v>/  /</v>
          </cell>
        </row>
        <row r="1908">
          <cell r="A1908">
            <v>4615995</v>
          </cell>
          <cell r="B1908">
            <v>44204</v>
          </cell>
          <cell r="C1908" t="str">
            <v>PON</v>
          </cell>
          <cell r="D1908">
            <v>637526067</v>
          </cell>
          <cell r="E1908" t="str">
            <v>K21 Endv 1.B Move M Grey</v>
          </cell>
          <cell r="F1908">
            <v>1</v>
          </cell>
          <cell r="G1908">
            <v>0</v>
          </cell>
          <cell r="I1908" t="str">
            <v>JH104</v>
          </cell>
          <cell r="L1908">
            <v>32.5</v>
          </cell>
          <cell r="M1908">
            <v>0.57299999999999995</v>
          </cell>
          <cell r="N1908" t="str">
            <v>5W</v>
          </cell>
          <cell r="P1908" t="str">
            <v>PONFCS</v>
          </cell>
          <cell r="Q1908" t="str">
            <v>/  /</v>
          </cell>
        </row>
        <row r="1909">
          <cell r="A1909">
            <v>4616063</v>
          </cell>
          <cell r="B1909">
            <v>44204</v>
          </cell>
          <cell r="C1909" t="str">
            <v>PON</v>
          </cell>
          <cell r="D1909">
            <v>641526686</v>
          </cell>
          <cell r="E1909" t="str">
            <v>K21 Agattu 1.B Move S 45 Co400</v>
          </cell>
          <cell r="F1909">
            <v>1</v>
          </cell>
          <cell r="G1909">
            <v>0</v>
          </cell>
          <cell r="I1909" t="str">
            <v>JH104</v>
          </cell>
          <cell r="L1909">
            <v>32</v>
          </cell>
          <cell r="M1909">
            <v>0.57299999999999995</v>
          </cell>
          <cell r="N1909" t="str">
            <v>5W</v>
          </cell>
          <cell r="P1909" t="str">
            <v>PONFCS</v>
          </cell>
          <cell r="Q1909" t="str">
            <v>/  /</v>
          </cell>
        </row>
        <row r="1910">
          <cell r="A1910">
            <v>4616064</v>
          </cell>
          <cell r="B1910">
            <v>44204</v>
          </cell>
          <cell r="C1910" t="str">
            <v>PON</v>
          </cell>
          <cell r="D1910">
            <v>641526686</v>
          </cell>
          <cell r="E1910" t="str">
            <v>K21 Agattu 1.B Move S 45 Co400</v>
          </cell>
          <cell r="F1910">
            <v>1</v>
          </cell>
          <cell r="G1910">
            <v>0</v>
          </cell>
          <cell r="I1910" t="str">
            <v>JH104</v>
          </cell>
          <cell r="L1910">
            <v>32</v>
          </cell>
          <cell r="M1910">
            <v>0.57299999999999995</v>
          </cell>
          <cell r="N1910" t="str">
            <v>5W</v>
          </cell>
          <cell r="P1910" t="str">
            <v>PONFCS</v>
          </cell>
          <cell r="Q1910" t="str">
            <v>/  /</v>
          </cell>
        </row>
        <row r="1911">
          <cell r="A1911">
            <v>4616050</v>
          </cell>
          <cell r="B1911">
            <v>44204</v>
          </cell>
          <cell r="C1911" t="str">
            <v>PON</v>
          </cell>
          <cell r="D1911">
            <v>641518007</v>
          </cell>
          <cell r="E1911" t="str">
            <v>F21 Sam2 6.8 L45 Bro 625Wh</v>
          </cell>
          <cell r="F1911">
            <v>1</v>
          </cell>
          <cell r="G1911">
            <v>0</v>
          </cell>
          <cell r="I1911" t="str">
            <v>JH113</v>
          </cell>
          <cell r="L1911">
            <v>36</v>
          </cell>
          <cell r="M1911">
            <v>0.57299999999999995</v>
          </cell>
          <cell r="N1911" t="str">
            <v>5W</v>
          </cell>
          <cell r="P1911" t="str">
            <v>PONFCS</v>
          </cell>
          <cell r="Q1911" t="str">
            <v>/  /</v>
          </cell>
        </row>
        <row r="1912">
          <cell r="A1912">
            <v>4616051</v>
          </cell>
          <cell r="B1912">
            <v>44204</v>
          </cell>
          <cell r="C1912" t="str">
            <v>PON</v>
          </cell>
          <cell r="D1912">
            <v>641518007</v>
          </cell>
          <cell r="E1912" t="str">
            <v>F21 Sam2 6.8 L45 Bro 625Wh</v>
          </cell>
          <cell r="F1912">
            <v>1</v>
          </cell>
          <cell r="G1912">
            <v>0</v>
          </cell>
          <cell r="I1912" t="str">
            <v>JH113</v>
          </cell>
          <cell r="L1912">
            <v>36</v>
          </cell>
          <cell r="M1912">
            <v>0.57299999999999995</v>
          </cell>
          <cell r="N1912" t="str">
            <v>5W</v>
          </cell>
          <cell r="P1912" t="str">
            <v>PONFCS</v>
          </cell>
          <cell r="Q1912" t="str">
            <v>/  /</v>
          </cell>
        </row>
        <row r="1913">
          <cell r="A1913">
            <v>4616052</v>
          </cell>
          <cell r="B1913">
            <v>44204</v>
          </cell>
          <cell r="C1913" t="str">
            <v>PON</v>
          </cell>
          <cell r="D1913">
            <v>641518007</v>
          </cell>
          <cell r="E1913" t="str">
            <v>F21 Sam2 6.8 L45 Bro 625Wh</v>
          </cell>
          <cell r="F1913">
            <v>1</v>
          </cell>
          <cell r="G1913">
            <v>0</v>
          </cell>
          <cell r="I1913" t="str">
            <v>JH113</v>
          </cell>
          <cell r="L1913">
            <v>36</v>
          </cell>
          <cell r="M1913">
            <v>0.57299999999999995</v>
          </cell>
          <cell r="N1913" t="str">
            <v>5W</v>
          </cell>
          <cell r="P1913" t="str">
            <v>PONFCS</v>
          </cell>
          <cell r="Q1913" t="str">
            <v>/  /</v>
          </cell>
        </row>
        <row r="1914">
          <cell r="A1914">
            <v>4616053</v>
          </cell>
          <cell r="B1914">
            <v>44204</v>
          </cell>
          <cell r="C1914" t="str">
            <v>PON</v>
          </cell>
          <cell r="D1914">
            <v>641518007</v>
          </cell>
          <cell r="E1914" t="str">
            <v>F21 Sam2 6.8 L45 Bro 625Wh</v>
          </cell>
          <cell r="F1914">
            <v>1</v>
          </cell>
          <cell r="G1914">
            <v>0</v>
          </cell>
          <cell r="I1914" t="str">
            <v>JH113</v>
          </cell>
          <cell r="L1914">
            <v>36</v>
          </cell>
          <cell r="M1914">
            <v>0.57299999999999995</v>
          </cell>
          <cell r="N1914" t="str">
            <v>5W</v>
          </cell>
          <cell r="P1914" t="str">
            <v>PONFCS</v>
          </cell>
          <cell r="Q1914" t="str">
            <v>/  /</v>
          </cell>
        </row>
        <row r="1915">
          <cell r="A1915">
            <v>4615970</v>
          </cell>
          <cell r="B1915">
            <v>44204</v>
          </cell>
          <cell r="C1915" t="str">
            <v>PON</v>
          </cell>
          <cell r="D1915">
            <v>637518020</v>
          </cell>
          <cell r="E1915" t="str">
            <v>F20 Thron2 6.8 40S Grey</v>
          </cell>
          <cell r="F1915">
            <v>1</v>
          </cell>
          <cell r="G1915">
            <v>0</v>
          </cell>
          <cell r="I1915" t="str">
            <v>JH114</v>
          </cell>
          <cell r="L1915">
            <v>32</v>
          </cell>
          <cell r="M1915">
            <v>0.58099999999999996</v>
          </cell>
          <cell r="N1915" t="str">
            <v>5W</v>
          </cell>
          <cell r="P1915" t="str">
            <v>PONFCS</v>
          </cell>
          <cell r="Q1915" t="str">
            <v>/  /</v>
          </cell>
        </row>
        <row r="1916">
          <cell r="A1916">
            <v>4616038</v>
          </cell>
          <cell r="B1916">
            <v>44204</v>
          </cell>
          <cell r="C1916" t="str">
            <v>PON</v>
          </cell>
          <cell r="D1916">
            <v>641518006</v>
          </cell>
          <cell r="E1916" t="str">
            <v>F21 Sam2 6.8 M42 Bro 625Wh</v>
          </cell>
          <cell r="F1916">
            <v>1</v>
          </cell>
          <cell r="G1916">
            <v>0</v>
          </cell>
          <cell r="I1916" t="str">
            <v>JH114</v>
          </cell>
          <cell r="L1916">
            <v>35</v>
          </cell>
          <cell r="M1916">
            <v>0.57299999999999995</v>
          </cell>
          <cell r="N1916" t="str">
            <v>5W</v>
          </cell>
          <cell r="P1916" t="str">
            <v>PONFCS</v>
          </cell>
          <cell r="Q1916" t="str">
            <v>/  /</v>
          </cell>
        </row>
        <row r="1917">
          <cell r="A1917">
            <v>4616039</v>
          </cell>
          <cell r="B1917">
            <v>44204</v>
          </cell>
          <cell r="C1917" t="str">
            <v>PON</v>
          </cell>
          <cell r="D1917">
            <v>641518006</v>
          </cell>
          <cell r="E1917" t="str">
            <v>F21 Sam2 6.8 M42 Bro 625Wh</v>
          </cell>
          <cell r="F1917">
            <v>1</v>
          </cell>
          <cell r="G1917">
            <v>0</v>
          </cell>
          <cell r="I1917" t="str">
            <v>JH114</v>
          </cell>
          <cell r="L1917">
            <v>35</v>
          </cell>
          <cell r="M1917">
            <v>0.57299999999999995</v>
          </cell>
          <cell r="N1917" t="str">
            <v>5W</v>
          </cell>
          <cell r="P1917" t="str">
            <v>PONFCS</v>
          </cell>
          <cell r="Q1917" t="str">
            <v>/  /</v>
          </cell>
        </row>
        <row r="1918">
          <cell r="A1918">
            <v>4616040</v>
          </cell>
          <cell r="B1918">
            <v>44204</v>
          </cell>
          <cell r="C1918" t="str">
            <v>PON</v>
          </cell>
          <cell r="D1918">
            <v>641518006</v>
          </cell>
          <cell r="E1918" t="str">
            <v>F21 Sam2 6.8 M42 Bro 625Wh</v>
          </cell>
          <cell r="F1918">
            <v>1</v>
          </cell>
          <cell r="G1918">
            <v>0</v>
          </cell>
          <cell r="I1918" t="str">
            <v>JH114</v>
          </cell>
          <cell r="L1918">
            <v>35</v>
          </cell>
          <cell r="M1918">
            <v>0.57299999999999995</v>
          </cell>
          <cell r="N1918" t="str">
            <v>5W</v>
          </cell>
          <cell r="P1918" t="str">
            <v>PONFCS</v>
          </cell>
          <cell r="Q1918" t="str">
            <v>/  /</v>
          </cell>
        </row>
        <row r="1919">
          <cell r="A1919">
            <v>4081344</v>
          </cell>
          <cell r="B1919">
            <v>43808</v>
          </cell>
          <cell r="C1919" t="str">
            <v>PON</v>
          </cell>
          <cell r="D1919">
            <v>633017001</v>
          </cell>
          <cell r="E1919" t="str">
            <v>FC F19 Sam 9.9 44M Black/Red</v>
          </cell>
          <cell r="F1919">
            <v>1</v>
          </cell>
          <cell r="G1919">
            <v>0</v>
          </cell>
          <cell r="I1919" t="str">
            <v>JH121</v>
          </cell>
          <cell r="L1919">
            <v>18.7</v>
          </cell>
          <cell r="M1919">
            <v>0.39800000000000002</v>
          </cell>
          <cell r="N1919" t="str">
            <v>5W</v>
          </cell>
          <cell r="P1919" t="str">
            <v>PONFCS</v>
          </cell>
          <cell r="Q1919" t="str">
            <v>/  /</v>
          </cell>
        </row>
        <row r="1920">
          <cell r="A1920">
            <v>4615967</v>
          </cell>
          <cell r="B1920">
            <v>44204</v>
          </cell>
          <cell r="C1920" t="str">
            <v>PON</v>
          </cell>
          <cell r="D1920">
            <v>637518020</v>
          </cell>
          <cell r="E1920" t="str">
            <v>F20 Thron2 6.8 40S Grey</v>
          </cell>
          <cell r="F1920">
            <v>1</v>
          </cell>
          <cell r="G1920">
            <v>0</v>
          </cell>
          <cell r="I1920" t="str">
            <v>JH123</v>
          </cell>
          <cell r="L1920">
            <v>32</v>
          </cell>
          <cell r="M1920">
            <v>0.58099999999999996</v>
          </cell>
          <cell r="N1920" t="str">
            <v>5W</v>
          </cell>
          <cell r="P1920" t="str">
            <v>PONFCS</v>
          </cell>
          <cell r="Q1920" t="str">
            <v>/  /</v>
          </cell>
        </row>
        <row r="1921">
          <cell r="A1921">
            <v>4616059</v>
          </cell>
          <cell r="B1921">
            <v>44204</v>
          </cell>
          <cell r="C1921" t="str">
            <v>PON</v>
          </cell>
          <cell r="D1921">
            <v>641526686</v>
          </cell>
          <cell r="E1921" t="str">
            <v>K21 Agattu 1.B Move S 45 Co400</v>
          </cell>
          <cell r="F1921">
            <v>1</v>
          </cell>
          <cell r="G1921">
            <v>0</v>
          </cell>
          <cell r="I1921" t="str">
            <v>JH123</v>
          </cell>
          <cell r="L1921">
            <v>32</v>
          </cell>
          <cell r="M1921">
            <v>0.57299999999999995</v>
          </cell>
          <cell r="N1921" t="str">
            <v>5W</v>
          </cell>
          <cell r="P1921" t="str">
            <v>PONFCS</v>
          </cell>
          <cell r="Q1921" t="str">
            <v>/  /</v>
          </cell>
        </row>
        <row r="1922">
          <cell r="A1922">
            <v>4616060</v>
          </cell>
          <cell r="B1922">
            <v>44204</v>
          </cell>
          <cell r="C1922" t="str">
            <v>PON</v>
          </cell>
          <cell r="D1922">
            <v>641526686</v>
          </cell>
          <cell r="E1922" t="str">
            <v>K21 Agattu 1.B Move S 45 Co400</v>
          </cell>
          <cell r="F1922">
            <v>1</v>
          </cell>
          <cell r="G1922">
            <v>0</v>
          </cell>
          <cell r="I1922" t="str">
            <v>JH123</v>
          </cell>
          <cell r="L1922">
            <v>32</v>
          </cell>
          <cell r="M1922">
            <v>0.57299999999999995</v>
          </cell>
          <cell r="N1922" t="str">
            <v>5W</v>
          </cell>
          <cell r="P1922" t="str">
            <v>PONFCS</v>
          </cell>
          <cell r="Q1922" t="str">
            <v>/  /</v>
          </cell>
        </row>
        <row r="1923">
          <cell r="A1923">
            <v>4616061</v>
          </cell>
          <cell r="B1923">
            <v>44204</v>
          </cell>
          <cell r="C1923" t="str">
            <v>PON</v>
          </cell>
          <cell r="D1923">
            <v>641526686</v>
          </cell>
          <cell r="E1923" t="str">
            <v>K21 Agattu 1.B Move S 45 Co400</v>
          </cell>
          <cell r="F1923">
            <v>1</v>
          </cell>
          <cell r="G1923">
            <v>0</v>
          </cell>
          <cell r="I1923" t="str">
            <v>JH123</v>
          </cell>
          <cell r="L1923">
            <v>32</v>
          </cell>
          <cell r="M1923">
            <v>0.57299999999999995</v>
          </cell>
          <cell r="N1923" t="str">
            <v>5W</v>
          </cell>
          <cell r="P1923" t="str">
            <v>PONFCS</v>
          </cell>
          <cell r="Q1923" t="str">
            <v>/  /</v>
          </cell>
        </row>
        <row r="1924">
          <cell r="A1924">
            <v>4616062</v>
          </cell>
          <cell r="B1924">
            <v>44204</v>
          </cell>
          <cell r="C1924" t="str">
            <v>PON</v>
          </cell>
          <cell r="D1924">
            <v>641526686</v>
          </cell>
          <cell r="E1924" t="str">
            <v>K21 Agattu 1.B Move S 45 Co400</v>
          </cell>
          <cell r="F1924">
            <v>1</v>
          </cell>
          <cell r="G1924">
            <v>0</v>
          </cell>
          <cell r="I1924" t="str">
            <v>JH123</v>
          </cell>
          <cell r="L1924">
            <v>32</v>
          </cell>
          <cell r="M1924">
            <v>0.57299999999999995</v>
          </cell>
          <cell r="N1924" t="str">
            <v>5W</v>
          </cell>
          <cell r="P1924" t="str">
            <v>PONFCS</v>
          </cell>
          <cell r="Q1924" t="str">
            <v>/  /</v>
          </cell>
        </row>
        <row r="1925">
          <cell r="A1925">
            <v>4615968</v>
          </cell>
          <cell r="B1925">
            <v>44204</v>
          </cell>
          <cell r="C1925" t="str">
            <v>PON</v>
          </cell>
          <cell r="D1925">
            <v>637518020</v>
          </cell>
          <cell r="E1925" t="str">
            <v>F20 Thron2 6.8 40S Grey</v>
          </cell>
          <cell r="F1925">
            <v>1</v>
          </cell>
          <cell r="G1925">
            <v>0</v>
          </cell>
          <cell r="I1925" t="str">
            <v>JH124</v>
          </cell>
          <cell r="L1925">
            <v>32</v>
          </cell>
          <cell r="M1925">
            <v>0.58099999999999996</v>
          </cell>
          <cell r="N1925" t="str">
            <v>5W</v>
          </cell>
          <cell r="P1925" t="str">
            <v>PONFCS</v>
          </cell>
          <cell r="Q1925" t="str">
            <v>/  /</v>
          </cell>
        </row>
        <row r="1926">
          <cell r="A1926">
            <v>4615969</v>
          </cell>
          <cell r="B1926">
            <v>44204</v>
          </cell>
          <cell r="C1926" t="str">
            <v>PON</v>
          </cell>
          <cell r="D1926">
            <v>637518020</v>
          </cell>
          <cell r="E1926" t="str">
            <v>F20 Thron2 6.8 40S Grey</v>
          </cell>
          <cell r="F1926">
            <v>1</v>
          </cell>
          <cell r="G1926">
            <v>0</v>
          </cell>
          <cell r="I1926" t="str">
            <v>JH124</v>
          </cell>
          <cell r="L1926">
            <v>32</v>
          </cell>
          <cell r="M1926">
            <v>0.58099999999999996</v>
          </cell>
          <cell r="N1926" t="str">
            <v>5W</v>
          </cell>
          <cell r="P1926" t="str">
            <v>PONFCS</v>
          </cell>
          <cell r="Q1926" t="str">
            <v>/  /</v>
          </cell>
        </row>
        <row r="1927">
          <cell r="A1927">
            <v>4615978</v>
          </cell>
          <cell r="B1927">
            <v>44204</v>
          </cell>
          <cell r="C1927" t="str">
            <v>PON</v>
          </cell>
          <cell r="D1927">
            <v>637518153</v>
          </cell>
          <cell r="E1927" t="str">
            <v>F20 JAM2 6.7 NINE 49XL BLUE BH</v>
          </cell>
          <cell r="F1927">
            <v>1</v>
          </cell>
          <cell r="G1927">
            <v>0</v>
          </cell>
          <cell r="I1927" t="str">
            <v>JH124</v>
          </cell>
          <cell r="L1927">
            <v>33.1</v>
          </cell>
          <cell r="M1927">
            <v>0.57599999999999996</v>
          </cell>
          <cell r="N1927" t="str">
            <v>5W</v>
          </cell>
          <cell r="P1927" t="str">
            <v>PONFCS</v>
          </cell>
          <cell r="Q1927" t="str">
            <v>/  /</v>
          </cell>
        </row>
        <row r="1928">
          <cell r="A1928">
            <v>3952964</v>
          </cell>
          <cell r="B1928">
            <v>43790</v>
          </cell>
          <cell r="C1928" t="str">
            <v>PON</v>
          </cell>
          <cell r="D1928">
            <v>628078172</v>
          </cell>
          <cell r="E1928" t="str">
            <v>C18 R5 DA Di2 9150 54 MD</v>
          </cell>
          <cell r="F1928">
            <v>1</v>
          </cell>
          <cell r="G1928">
            <v>0</v>
          </cell>
          <cell r="I1928" t="str">
            <v>JH132</v>
          </cell>
          <cell r="L1928">
            <v>12</v>
          </cell>
          <cell r="M1928">
            <v>0.21</v>
          </cell>
          <cell r="N1928" t="str">
            <v>5W</v>
          </cell>
          <cell r="P1928" t="str">
            <v>PONCVL</v>
          </cell>
          <cell r="Q1928" t="str">
            <v>/  /</v>
          </cell>
        </row>
        <row r="1929">
          <cell r="A1929">
            <v>4086788</v>
          </cell>
          <cell r="B1929">
            <v>43790</v>
          </cell>
          <cell r="C1929" t="str">
            <v>PON</v>
          </cell>
          <cell r="D1929">
            <v>628078172</v>
          </cell>
          <cell r="E1929" t="str">
            <v>C18 R5 DA Di2 9150 54 MD</v>
          </cell>
          <cell r="F1929">
            <v>1</v>
          </cell>
          <cell r="G1929">
            <v>0</v>
          </cell>
          <cell r="I1929" t="str">
            <v>JH132</v>
          </cell>
          <cell r="L1929">
            <v>12</v>
          </cell>
          <cell r="M1929">
            <v>0.21</v>
          </cell>
          <cell r="N1929" t="str">
            <v>5W</v>
          </cell>
          <cell r="P1929" t="str">
            <v>PONCVL</v>
          </cell>
          <cell r="Q1929" t="str">
            <v>/  /</v>
          </cell>
        </row>
        <row r="1930">
          <cell r="A1930">
            <v>4087112</v>
          </cell>
          <cell r="B1930">
            <v>43790</v>
          </cell>
          <cell r="C1930" t="str">
            <v>PON</v>
          </cell>
          <cell r="D1930">
            <v>628078172</v>
          </cell>
          <cell r="E1930" t="str">
            <v>C18 R5 DA Di2 9150 54 MD</v>
          </cell>
          <cell r="F1930">
            <v>1</v>
          </cell>
          <cell r="G1930">
            <v>0</v>
          </cell>
          <cell r="I1930" t="str">
            <v>JH132</v>
          </cell>
          <cell r="L1930">
            <v>12</v>
          </cell>
          <cell r="M1930">
            <v>0.21</v>
          </cell>
          <cell r="N1930" t="str">
            <v>5W</v>
          </cell>
          <cell r="P1930" t="str">
            <v>PONCVL</v>
          </cell>
          <cell r="Q1930" t="str">
            <v>/  /</v>
          </cell>
        </row>
        <row r="1931">
          <cell r="A1931">
            <v>4087113</v>
          </cell>
          <cell r="B1931">
            <v>43790</v>
          </cell>
          <cell r="C1931" t="str">
            <v>PON</v>
          </cell>
          <cell r="D1931">
            <v>628078172</v>
          </cell>
          <cell r="E1931" t="str">
            <v>C18 R5 DA Di2 9150 54 MD</v>
          </cell>
          <cell r="F1931">
            <v>1</v>
          </cell>
          <cell r="G1931">
            <v>0</v>
          </cell>
          <cell r="I1931" t="str">
            <v>JH132</v>
          </cell>
          <cell r="L1931">
            <v>12</v>
          </cell>
          <cell r="M1931">
            <v>0.21</v>
          </cell>
          <cell r="N1931" t="str">
            <v>5W</v>
          </cell>
          <cell r="P1931" t="str">
            <v>PONCVL</v>
          </cell>
          <cell r="Q1931" t="str">
            <v>/  /</v>
          </cell>
        </row>
        <row r="1932">
          <cell r="A1932">
            <v>4089716</v>
          </cell>
          <cell r="B1932">
            <v>43790</v>
          </cell>
          <cell r="C1932" t="str">
            <v>PON</v>
          </cell>
          <cell r="D1932">
            <v>628078172</v>
          </cell>
          <cell r="E1932" t="str">
            <v>C18 R5 DA Di2 9150 54 MD</v>
          </cell>
          <cell r="F1932">
            <v>1</v>
          </cell>
          <cell r="G1932">
            <v>0</v>
          </cell>
          <cell r="I1932" t="str">
            <v>JH132</v>
          </cell>
          <cell r="L1932">
            <v>12</v>
          </cell>
          <cell r="M1932">
            <v>0.21</v>
          </cell>
          <cell r="N1932" t="str">
            <v>5W</v>
          </cell>
          <cell r="P1932" t="str">
            <v>PONCVL</v>
          </cell>
          <cell r="Q1932" t="str">
            <v>/  /</v>
          </cell>
        </row>
        <row r="1933">
          <cell r="A1933">
            <v>4616006</v>
          </cell>
          <cell r="B1933">
            <v>44204</v>
          </cell>
          <cell r="C1933" t="str">
            <v>PON</v>
          </cell>
          <cell r="D1933">
            <v>637527022</v>
          </cell>
          <cell r="E1933" t="str">
            <v>K20 Endeavour 3.B Move 55L DI</v>
          </cell>
          <cell r="F1933">
            <v>1</v>
          </cell>
          <cell r="G1933">
            <v>0</v>
          </cell>
          <cell r="I1933" t="str">
            <v>JH133</v>
          </cell>
          <cell r="L1933">
            <v>33.4</v>
          </cell>
          <cell r="M1933">
            <v>0.57599999999999996</v>
          </cell>
          <cell r="N1933" t="str">
            <v>5W</v>
          </cell>
          <cell r="P1933" t="str">
            <v>PONFCS</v>
          </cell>
          <cell r="Q1933" t="str">
            <v>/  /</v>
          </cell>
        </row>
        <row r="1934">
          <cell r="A1934">
            <v>4616007</v>
          </cell>
          <cell r="B1934">
            <v>44204</v>
          </cell>
          <cell r="C1934" t="str">
            <v>PON</v>
          </cell>
          <cell r="D1934">
            <v>637527022</v>
          </cell>
          <cell r="E1934" t="str">
            <v>K20 Endeavour 3.B Move 55L DI</v>
          </cell>
          <cell r="F1934">
            <v>1</v>
          </cell>
          <cell r="G1934">
            <v>0</v>
          </cell>
          <cell r="I1934" t="str">
            <v>JH133</v>
          </cell>
          <cell r="L1934">
            <v>33.4</v>
          </cell>
          <cell r="M1934">
            <v>0.57599999999999996</v>
          </cell>
          <cell r="N1934" t="str">
            <v>5W</v>
          </cell>
          <cell r="P1934" t="str">
            <v>PONFCS</v>
          </cell>
          <cell r="Q1934" t="str">
            <v>/  /</v>
          </cell>
        </row>
        <row r="1935">
          <cell r="A1935">
            <v>4616008</v>
          </cell>
          <cell r="B1935">
            <v>44204</v>
          </cell>
          <cell r="C1935" t="str">
            <v>PON</v>
          </cell>
          <cell r="D1935">
            <v>637527022</v>
          </cell>
          <cell r="E1935" t="str">
            <v>K20 Endeavour 3.B Move 55L DI</v>
          </cell>
          <cell r="F1935">
            <v>1</v>
          </cell>
          <cell r="G1935">
            <v>0</v>
          </cell>
          <cell r="I1935" t="str">
            <v>JH133</v>
          </cell>
          <cell r="L1935">
            <v>33.4</v>
          </cell>
          <cell r="M1935">
            <v>0.57599999999999996</v>
          </cell>
          <cell r="N1935" t="str">
            <v>5W</v>
          </cell>
          <cell r="P1935" t="str">
            <v>PONFCS</v>
          </cell>
          <cell r="Q1935" t="str">
            <v>/  /</v>
          </cell>
        </row>
        <row r="1936">
          <cell r="A1936">
            <v>4616035</v>
          </cell>
          <cell r="B1936">
            <v>44204</v>
          </cell>
          <cell r="C1936" t="str">
            <v>PON</v>
          </cell>
          <cell r="D1936">
            <v>637618601</v>
          </cell>
          <cell r="E1936" t="str">
            <v>F20 Paralane Square 6.6 54M</v>
          </cell>
          <cell r="F1936">
            <v>1</v>
          </cell>
          <cell r="G1936">
            <v>0</v>
          </cell>
          <cell r="I1936" t="str">
            <v>JH133</v>
          </cell>
          <cell r="L1936">
            <v>25.5</v>
          </cell>
          <cell r="M1936">
            <v>0.58099999999999996</v>
          </cell>
          <cell r="N1936" t="str">
            <v>5W</v>
          </cell>
          <cell r="P1936" t="str">
            <v>PONFCS</v>
          </cell>
          <cell r="Q1936" t="str">
            <v>/  /</v>
          </cell>
        </row>
        <row r="1937">
          <cell r="A1937">
            <v>4644180</v>
          </cell>
          <cell r="B1937">
            <v>44225</v>
          </cell>
          <cell r="C1937" t="str">
            <v>PON</v>
          </cell>
          <cell r="D1937">
            <v>641526687</v>
          </cell>
          <cell r="E1937" t="str">
            <v>K21 Agattu 1.B Move M 50 Co 40</v>
          </cell>
          <cell r="F1937">
            <v>1</v>
          </cell>
          <cell r="G1937">
            <v>0</v>
          </cell>
          <cell r="I1937" t="str">
            <v>JH133</v>
          </cell>
          <cell r="L1937">
            <v>32</v>
          </cell>
          <cell r="M1937">
            <v>0.58399999999999996</v>
          </cell>
          <cell r="N1937" t="str">
            <v>5W</v>
          </cell>
          <cell r="P1937" t="str">
            <v>PONFCS</v>
          </cell>
          <cell r="Q1937" t="str">
            <v>/  /</v>
          </cell>
        </row>
        <row r="1938">
          <cell r="A1938">
            <v>4644088</v>
          </cell>
          <cell r="B1938">
            <v>44225</v>
          </cell>
          <cell r="C1938" t="str">
            <v>PON</v>
          </cell>
          <cell r="D1938">
            <v>637526050</v>
          </cell>
          <cell r="E1938" t="str">
            <v>K21 ENDV 1.B MOVE 400 S 45</v>
          </cell>
          <cell r="F1938">
            <v>1</v>
          </cell>
          <cell r="G1938">
            <v>0</v>
          </cell>
          <cell r="I1938" t="str">
            <v>JH134</v>
          </cell>
          <cell r="L1938">
            <v>31.2</v>
          </cell>
          <cell r="M1938">
            <v>0.57799999999999996</v>
          </cell>
          <cell r="N1938" t="str">
            <v>5W</v>
          </cell>
          <cell r="P1938" t="str">
            <v>PONFCS</v>
          </cell>
          <cell r="Q1938" t="str">
            <v>/  /</v>
          </cell>
        </row>
        <row r="1939">
          <cell r="A1939">
            <v>4644139</v>
          </cell>
          <cell r="B1939">
            <v>44225</v>
          </cell>
          <cell r="C1939" t="str">
            <v>PON</v>
          </cell>
          <cell r="D1939">
            <v>637527021</v>
          </cell>
          <cell r="E1939" t="str">
            <v>K20 Endeavour 3.B Move 50M DI</v>
          </cell>
          <cell r="F1939">
            <v>1</v>
          </cell>
          <cell r="G1939">
            <v>0</v>
          </cell>
          <cell r="I1939" t="str">
            <v>JH134</v>
          </cell>
          <cell r="L1939">
            <v>33.4</v>
          </cell>
          <cell r="M1939">
            <v>0.58099999999999996</v>
          </cell>
          <cell r="N1939" t="str">
            <v>5W</v>
          </cell>
          <cell r="P1939" t="str">
            <v>PONFCS</v>
          </cell>
          <cell r="Q1939" t="str">
            <v>/  /</v>
          </cell>
        </row>
        <row r="1940">
          <cell r="A1940">
            <v>4644140</v>
          </cell>
          <cell r="B1940">
            <v>44225</v>
          </cell>
          <cell r="C1940" t="str">
            <v>PON</v>
          </cell>
          <cell r="D1940">
            <v>637527021</v>
          </cell>
          <cell r="E1940" t="str">
            <v>K20 Endeavour 3.B Move 50M DI</v>
          </cell>
          <cell r="F1940">
            <v>1</v>
          </cell>
          <cell r="G1940">
            <v>0</v>
          </cell>
          <cell r="I1940" t="str">
            <v>JH134</v>
          </cell>
          <cell r="L1940">
            <v>33.4</v>
          </cell>
          <cell r="M1940">
            <v>0.58099999999999996</v>
          </cell>
          <cell r="N1940" t="str">
            <v>5W</v>
          </cell>
          <cell r="P1940" t="str">
            <v>PONFCS</v>
          </cell>
          <cell r="Q1940" t="str">
            <v>/  /</v>
          </cell>
        </row>
        <row r="1941">
          <cell r="A1941">
            <v>4644141</v>
          </cell>
          <cell r="B1941">
            <v>44225</v>
          </cell>
          <cell r="C1941" t="str">
            <v>PON</v>
          </cell>
          <cell r="D1941">
            <v>637527021</v>
          </cell>
          <cell r="E1941" t="str">
            <v>K20 Endeavour 3.B Move 50M DI</v>
          </cell>
          <cell r="F1941">
            <v>1</v>
          </cell>
          <cell r="G1941">
            <v>0</v>
          </cell>
          <cell r="I1941" t="str">
            <v>JH134</v>
          </cell>
          <cell r="L1941">
            <v>33.4</v>
          </cell>
          <cell r="M1941">
            <v>0.58099999999999996</v>
          </cell>
          <cell r="N1941" t="str">
            <v>5W</v>
          </cell>
          <cell r="P1941" t="str">
            <v>PONFCS</v>
          </cell>
          <cell r="Q1941" t="str">
            <v>/  /</v>
          </cell>
        </row>
        <row r="1942">
          <cell r="A1942">
            <v>4644142</v>
          </cell>
          <cell r="B1942">
            <v>44225</v>
          </cell>
          <cell r="C1942" t="str">
            <v>PON</v>
          </cell>
          <cell r="D1942">
            <v>637527021</v>
          </cell>
          <cell r="E1942" t="str">
            <v>K20 Endeavour 3.B Move 50M DI</v>
          </cell>
          <cell r="F1942">
            <v>1</v>
          </cell>
          <cell r="G1942">
            <v>0</v>
          </cell>
          <cell r="I1942" t="str">
            <v>JH134</v>
          </cell>
          <cell r="L1942">
            <v>33.4</v>
          </cell>
          <cell r="M1942">
            <v>0.58099999999999996</v>
          </cell>
          <cell r="N1942" t="str">
            <v>5W</v>
          </cell>
          <cell r="P1942" t="str">
            <v>PONFCS</v>
          </cell>
          <cell r="Q1942" t="str">
            <v>/  /</v>
          </cell>
        </row>
        <row r="1943">
          <cell r="A1943">
            <v>4575073</v>
          </cell>
          <cell r="B1943">
            <v>44173</v>
          </cell>
          <cell r="C1943" t="str">
            <v>PON</v>
          </cell>
          <cell r="D1943">
            <v>641012305</v>
          </cell>
          <cell r="E1943" t="str">
            <v>F21 MARES 9.9 XXL 60 MIN</v>
          </cell>
          <cell r="F1943">
            <v>1</v>
          </cell>
          <cell r="G1943">
            <v>0</v>
          </cell>
          <cell r="I1943" t="str">
            <v>JH141</v>
          </cell>
          <cell r="L1943">
            <v>12.4</v>
          </cell>
          <cell r="M1943">
            <v>0.32900000000000001</v>
          </cell>
          <cell r="N1943" t="str">
            <v>5W</v>
          </cell>
          <cell r="P1943" t="str">
            <v>PONFCS</v>
          </cell>
          <cell r="Q1943" t="str">
            <v>/  /</v>
          </cell>
        </row>
        <row r="1944">
          <cell r="A1944">
            <v>4413362</v>
          </cell>
          <cell r="B1944">
            <v>44082</v>
          </cell>
          <cell r="C1944" t="str">
            <v>PON</v>
          </cell>
          <cell r="D1944">
            <v>641078156</v>
          </cell>
          <cell r="E1944" t="str">
            <v>C21 P/Srs Frc Etap Carbn/Blk48</v>
          </cell>
          <cell r="F1944">
            <v>1</v>
          </cell>
          <cell r="G1944">
            <v>0</v>
          </cell>
          <cell r="I1944" t="str">
            <v>JH142</v>
          </cell>
          <cell r="L1944">
            <v>14.8</v>
          </cell>
          <cell r="M1944">
            <v>0.23</v>
          </cell>
          <cell r="N1944" t="str">
            <v>5W</v>
          </cell>
          <cell r="P1944" t="str">
            <v>PONCVL</v>
          </cell>
          <cell r="Q1944" t="str">
            <v>/  /</v>
          </cell>
        </row>
        <row r="1945">
          <cell r="A1945">
            <v>4615956</v>
          </cell>
          <cell r="B1945">
            <v>44204</v>
          </cell>
          <cell r="C1945" t="str">
            <v>PON</v>
          </cell>
          <cell r="D1945">
            <v>637518001</v>
          </cell>
          <cell r="E1945" t="str">
            <v>F20 Thron2 6.9 44M</v>
          </cell>
          <cell r="F1945">
            <v>1</v>
          </cell>
          <cell r="G1945">
            <v>0</v>
          </cell>
          <cell r="I1945" t="str">
            <v>JH143</v>
          </cell>
          <cell r="L1945">
            <v>32.700000000000003</v>
          </cell>
          <cell r="M1945">
            <v>0.58099999999999996</v>
          </cell>
          <cell r="N1945" t="str">
            <v>5W</v>
          </cell>
          <cell r="P1945" t="str">
            <v>PONFCS</v>
          </cell>
          <cell r="Q1945" t="str">
            <v>/  /</v>
          </cell>
        </row>
        <row r="1946">
          <cell r="A1946">
            <v>4615957</v>
          </cell>
          <cell r="B1946">
            <v>44204</v>
          </cell>
          <cell r="C1946" t="str">
            <v>PON</v>
          </cell>
          <cell r="D1946">
            <v>637518001</v>
          </cell>
          <cell r="E1946" t="str">
            <v>F20 Thron2 6.9 44M</v>
          </cell>
          <cell r="F1946">
            <v>1</v>
          </cell>
          <cell r="G1946">
            <v>0</v>
          </cell>
          <cell r="I1946" t="str">
            <v>JH143</v>
          </cell>
          <cell r="L1946">
            <v>32.700000000000003</v>
          </cell>
          <cell r="M1946">
            <v>0.58099999999999996</v>
          </cell>
          <cell r="N1946" t="str">
            <v>5W</v>
          </cell>
          <cell r="P1946" t="str">
            <v>PONFCS</v>
          </cell>
          <cell r="Q1946" t="str">
            <v>/  /</v>
          </cell>
        </row>
        <row r="1947">
          <cell r="A1947">
            <v>4644176</v>
          </cell>
          <cell r="B1947">
            <v>44225</v>
          </cell>
          <cell r="C1947" t="str">
            <v>PON</v>
          </cell>
          <cell r="D1947">
            <v>641526687</v>
          </cell>
          <cell r="E1947" t="str">
            <v>K21 Agattu 1.B Move M 50 Co 40</v>
          </cell>
          <cell r="F1947">
            <v>1</v>
          </cell>
          <cell r="G1947">
            <v>0</v>
          </cell>
          <cell r="I1947" t="str">
            <v>JH144</v>
          </cell>
          <cell r="L1947">
            <v>32</v>
          </cell>
          <cell r="M1947">
            <v>0.58399999999999996</v>
          </cell>
          <cell r="N1947" t="str">
            <v>5W</v>
          </cell>
          <cell r="P1947" t="str">
            <v>PONFCS</v>
          </cell>
          <cell r="Q1947" t="str">
            <v>/  /</v>
          </cell>
        </row>
        <row r="1948">
          <cell r="A1948">
            <v>4644177</v>
          </cell>
          <cell r="B1948">
            <v>44225</v>
          </cell>
          <cell r="C1948" t="str">
            <v>PON</v>
          </cell>
          <cell r="D1948">
            <v>641526687</v>
          </cell>
          <cell r="E1948" t="str">
            <v>K21 Agattu 1.B Move M 50 Co 40</v>
          </cell>
          <cell r="F1948">
            <v>1</v>
          </cell>
          <cell r="G1948">
            <v>0</v>
          </cell>
          <cell r="I1948" t="str">
            <v>JH144</v>
          </cell>
          <cell r="L1948">
            <v>32</v>
          </cell>
          <cell r="M1948">
            <v>0.58399999999999996</v>
          </cell>
          <cell r="N1948" t="str">
            <v>5W</v>
          </cell>
          <cell r="P1948" t="str">
            <v>PONFCS</v>
          </cell>
          <cell r="Q1948" t="str">
            <v>/  /</v>
          </cell>
        </row>
        <row r="1949">
          <cell r="A1949">
            <v>4644178</v>
          </cell>
          <cell r="B1949">
            <v>44225</v>
          </cell>
          <cell r="C1949" t="str">
            <v>PON</v>
          </cell>
          <cell r="D1949">
            <v>641526687</v>
          </cell>
          <cell r="E1949" t="str">
            <v>K21 Agattu 1.B Move M 50 Co 40</v>
          </cell>
          <cell r="F1949">
            <v>1</v>
          </cell>
          <cell r="G1949">
            <v>0</v>
          </cell>
          <cell r="I1949" t="str">
            <v>JH144</v>
          </cell>
          <cell r="L1949">
            <v>32</v>
          </cell>
          <cell r="M1949">
            <v>0.58399999999999996</v>
          </cell>
          <cell r="N1949" t="str">
            <v>5W</v>
          </cell>
          <cell r="P1949" t="str">
            <v>PONFCS</v>
          </cell>
          <cell r="Q1949" t="str">
            <v>/  /</v>
          </cell>
        </row>
        <row r="1950">
          <cell r="A1950">
            <v>4644179</v>
          </cell>
          <cell r="B1950">
            <v>44225</v>
          </cell>
          <cell r="C1950" t="str">
            <v>PON</v>
          </cell>
          <cell r="D1950">
            <v>641526687</v>
          </cell>
          <cell r="E1950" t="str">
            <v>K21 Agattu 1.B Move M 50 Co 40</v>
          </cell>
          <cell r="F1950">
            <v>1</v>
          </cell>
          <cell r="G1950">
            <v>0</v>
          </cell>
          <cell r="I1950" t="str">
            <v>JH144</v>
          </cell>
          <cell r="L1950">
            <v>32</v>
          </cell>
          <cell r="M1950">
            <v>0.58399999999999996</v>
          </cell>
          <cell r="N1950" t="str">
            <v>5W</v>
          </cell>
          <cell r="P1950" t="str">
            <v>PONFCS</v>
          </cell>
          <cell r="Q1950" t="str">
            <v>/  /</v>
          </cell>
        </row>
        <row r="1951">
          <cell r="A1951">
            <v>4077386</v>
          </cell>
          <cell r="B1951">
            <v>43875</v>
          </cell>
          <cell r="C1951" t="str">
            <v>PON</v>
          </cell>
          <cell r="D1951" t="str">
            <v>PAL01</v>
          </cell>
          <cell r="E1951" t="str">
            <v>Racking</v>
          </cell>
          <cell r="F1951">
            <v>1</v>
          </cell>
          <cell r="G1951">
            <v>1</v>
          </cell>
          <cell r="I1951" t="str">
            <v>JH155</v>
          </cell>
          <cell r="L1951">
            <v>186</v>
          </cell>
          <cell r="M1951">
            <v>2.3370000000000002</v>
          </cell>
          <cell r="N1951" t="str">
            <v>5W</v>
          </cell>
          <cell r="P1951" t="str">
            <v>PONMAR</v>
          </cell>
          <cell r="Q1951" t="str">
            <v>/  /</v>
          </cell>
        </row>
        <row r="1952">
          <cell r="A1952">
            <v>4077392</v>
          </cell>
          <cell r="B1952">
            <v>43875</v>
          </cell>
          <cell r="C1952" t="str">
            <v>PON</v>
          </cell>
          <cell r="D1952" t="str">
            <v>PAL04</v>
          </cell>
          <cell r="E1952" t="str">
            <v>DT Swiss Wheels</v>
          </cell>
          <cell r="F1952">
            <v>1</v>
          </cell>
          <cell r="G1952">
            <v>1</v>
          </cell>
          <cell r="I1952" t="str">
            <v>JH165</v>
          </cell>
          <cell r="L1952">
            <v>58</v>
          </cell>
          <cell r="M1952">
            <v>1.79</v>
          </cell>
          <cell r="N1952" t="str">
            <v>5W</v>
          </cell>
          <cell r="P1952" t="str">
            <v>PONMAR</v>
          </cell>
          <cell r="Q1952" t="str">
            <v>/  /</v>
          </cell>
        </row>
        <row r="1953">
          <cell r="A1953">
            <v>3952962</v>
          </cell>
          <cell r="B1953">
            <v>43790</v>
          </cell>
          <cell r="C1953" t="str">
            <v>PON</v>
          </cell>
          <cell r="D1953">
            <v>628078164</v>
          </cell>
          <cell r="E1953" t="str">
            <v>CV C18 R5 Disc DA Di2 58 XL</v>
          </cell>
          <cell r="F1953">
            <v>1</v>
          </cell>
          <cell r="G1953">
            <v>0</v>
          </cell>
          <cell r="I1953" t="str">
            <v>JI011</v>
          </cell>
          <cell r="L1953">
            <v>12.5</v>
          </cell>
          <cell r="M1953">
            <v>0.22900000000000001</v>
          </cell>
          <cell r="N1953" t="str">
            <v>5W</v>
          </cell>
          <cell r="P1953" t="str">
            <v>PONCVL</v>
          </cell>
          <cell r="Q1953" t="str">
            <v>/  /</v>
          </cell>
        </row>
        <row r="1954">
          <cell r="A1954">
            <v>3953087</v>
          </cell>
          <cell r="B1954">
            <v>43790</v>
          </cell>
          <cell r="C1954" t="str">
            <v>PON</v>
          </cell>
          <cell r="D1954">
            <v>633078475</v>
          </cell>
          <cell r="E1954" t="str">
            <v>CV C19S3 DscUlt 61CM FluBlk/Wh</v>
          </cell>
          <cell r="F1954">
            <v>1</v>
          </cell>
          <cell r="G1954">
            <v>0</v>
          </cell>
          <cell r="I1954" t="str">
            <v>JI011</v>
          </cell>
          <cell r="L1954">
            <v>14.2</v>
          </cell>
          <cell r="M1954">
            <v>0.22900000000000001</v>
          </cell>
          <cell r="N1954" t="str">
            <v>5W</v>
          </cell>
          <cell r="P1954" t="str">
            <v>PONCVL</v>
          </cell>
          <cell r="Q1954" t="str">
            <v>/  /</v>
          </cell>
        </row>
        <row r="1955">
          <cell r="A1955">
            <v>4577419</v>
          </cell>
          <cell r="B1955">
            <v>44175</v>
          </cell>
          <cell r="C1955" t="str">
            <v>PON</v>
          </cell>
          <cell r="D1955">
            <v>641006034</v>
          </cell>
          <cell r="E1955" t="str">
            <v>F21 IZ MAX DISC 9.6 56 L R/RED</v>
          </cell>
          <cell r="F1955">
            <v>1</v>
          </cell>
          <cell r="G1955">
            <v>0</v>
          </cell>
          <cell r="I1955" t="str">
            <v>JI011</v>
          </cell>
          <cell r="L1955">
            <v>13.3</v>
          </cell>
          <cell r="M1955">
            <v>0.23499999999999999</v>
          </cell>
          <cell r="N1955" t="str">
            <v>5W</v>
          </cell>
          <cell r="P1955" t="str">
            <v>PONFCS</v>
          </cell>
          <cell r="Q1955" t="str">
            <v>/  /</v>
          </cell>
        </row>
        <row r="1956">
          <cell r="A1956">
            <v>4374308</v>
          </cell>
          <cell r="B1956">
            <v>44061</v>
          </cell>
          <cell r="C1956" t="str">
            <v>PON</v>
          </cell>
          <cell r="D1956">
            <v>641078023</v>
          </cell>
          <cell r="E1956" t="str">
            <v>C21 ASPERO FCE CARBON/RED 61</v>
          </cell>
          <cell r="F1956">
            <v>1</v>
          </cell>
          <cell r="G1956">
            <v>0</v>
          </cell>
          <cell r="I1956" t="str">
            <v>JI011</v>
          </cell>
          <cell r="L1956">
            <v>14.4</v>
          </cell>
          <cell r="M1956">
            <v>0.251</v>
          </cell>
          <cell r="N1956" t="str">
            <v>5W</v>
          </cell>
          <cell r="P1956" t="str">
            <v>PONCVL</v>
          </cell>
          <cell r="Q1956" t="str">
            <v>/  /</v>
          </cell>
        </row>
        <row r="1957">
          <cell r="A1957">
            <v>4577392</v>
          </cell>
          <cell r="B1957">
            <v>44175</v>
          </cell>
          <cell r="C1957" t="str">
            <v>PON</v>
          </cell>
          <cell r="D1957">
            <v>641006031</v>
          </cell>
          <cell r="E1957" t="str">
            <v>F21 IZ MAX DISC 9.6 50 XS R/RD</v>
          </cell>
          <cell r="F1957">
            <v>1</v>
          </cell>
          <cell r="G1957">
            <v>0</v>
          </cell>
          <cell r="I1957" t="str">
            <v>JI012</v>
          </cell>
          <cell r="L1957">
            <v>13.1</v>
          </cell>
          <cell r="M1957">
            <v>0.214</v>
          </cell>
          <cell r="N1957" t="str">
            <v>5W</v>
          </cell>
          <cell r="P1957" t="str">
            <v>PONFCS</v>
          </cell>
          <cell r="Q1957" t="str">
            <v>/  /</v>
          </cell>
        </row>
        <row r="1958">
          <cell r="A1958">
            <v>4577393</v>
          </cell>
          <cell r="B1958">
            <v>44175</v>
          </cell>
          <cell r="C1958" t="str">
            <v>PON</v>
          </cell>
          <cell r="D1958">
            <v>641006031</v>
          </cell>
          <cell r="E1958" t="str">
            <v>F21 IZ MAX DISC 9.6 50 XS R/RD</v>
          </cell>
          <cell r="F1958">
            <v>1</v>
          </cell>
          <cell r="G1958">
            <v>0</v>
          </cell>
          <cell r="I1958" t="str">
            <v>JI012</v>
          </cell>
          <cell r="L1958">
            <v>13.1</v>
          </cell>
          <cell r="M1958">
            <v>0.214</v>
          </cell>
          <cell r="N1958" t="str">
            <v>5W</v>
          </cell>
          <cell r="P1958" t="str">
            <v>PONFCS</v>
          </cell>
          <cell r="Q1958" t="str">
            <v>/  /</v>
          </cell>
        </row>
        <row r="1959">
          <cell r="A1959">
            <v>4577406</v>
          </cell>
          <cell r="B1959">
            <v>44175</v>
          </cell>
          <cell r="C1959" t="str">
            <v>PON</v>
          </cell>
          <cell r="D1959">
            <v>641006033</v>
          </cell>
          <cell r="E1959" t="str">
            <v>F21 IZ MAX DISC 9.6 54 M R/RED</v>
          </cell>
          <cell r="F1959">
            <v>1</v>
          </cell>
          <cell r="G1959">
            <v>0</v>
          </cell>
          <cell r="I1959" t="str">
            <v>JI012</v>
          </cell>
          <cell r="L1959">
            <v>13.5</v>
          </cell>
          <cell r="M1959">
            <v>0.23100000000000001</v>
          </cell>
          <cell r="N1959" t="str">
            <v>5W</v>
          </cell>
          <cell r="P1959" t="str">
            <v>PONFCS</v>
          </cell>
          <cell r="Q1959" t="str">
            <v>/  /</v>
          </cell>
        </row>
        <row r="1960">
          <cell r="A1960">
            <v>4577407</v>
          </cell>
          <cell r="B1960">
            <v>44175</v>
          </cell>
          <cell r="C1960" t="str">
            <v>PON</v>
          </cell>
          <cell r="D1960">
            <v>641006033</v>
          </cell>
          <cell r="E1960" t="str">
            <v>F21 IZ MAX DISC 9.6 54 M R/RED</v>
          </cell>
          <cell r="F1960">
            <v>1</v>
          </cell>
          <cell r="G1960">
            <v>0</v>
          </cell>
          <cell r="I1960" t="str">
            <v>JI012</v>
          </cell>
          <cell r="L1960">
            <v>13.5</v>
          </cell>
          <cell r="M1960">
            <v>0.23100000000000001</v>
          </cell>
          <cell r="N1960" t="str">
            <v>5W</v>
          </cell>
          <cell r="P1960" t="str">
            <v>PONFCS</v>
          </cell>
          <cell r="Q1960" t="str">
            <v>/  /</v>
          </cell>
        </row>
        <row r="1961">
          <cell r="A1961">
            <v>4577408</v>
          </cell>
          <cell r="B1961">
            <v>44175</v>
          </cell>
          <cell r="C1961" t="str">
            <v>PON</v>
          </cell>
          <cell r="D1961">
            <v>641006033</v>
          </cell>
          <cell r="E1961" t="str">
            <v>F21 IZ MAX DISC 9.6 54 M R/RED</v>
          </cell>
          <cell r="F1961">
            <v>1</v>
          </cell>
          <cell r="G1961">
            <v>0</v>
          </cell>
          <cell r="I1961" t="str">
            <v>JI012</v>
          </cell>
          <cell r="L1961">
            <v>13.5</v>
          </cell>
          <cell r="M1961">
            <v>0.23100000000000001</v>
          </cell>
          <cell r="N1961" t="str">
            <v>5W</v>
          </cell>
          <cell r="P1961" t="str">
            <v>PONFCS</v>
          </cell>
          <cell r="Q1961" t="str">
            <v>/  /</v>
          </cell>
        </row>
        <row r="1962">
          <cell r="A1962">
            <v>4577418</v>
          </cell>
          <cell r="B1962">
            <v>44175</v>
          </cell>
          <cell r="C1962" t="str">
            <v>PON</v>
          </cell>
          <cell r="D1962">
            <v>641006034</v>
          </cell>
          <cell r="E1962" t="str">
            <v>F21 IZ MAX DISC 9.6 56 L R/RED</v>
          </cell>
          <cell r="F1962">
            <v>1</v>
          </cell>
          <cell r="G1962">
            <v>0</v>
          </cell>
          <cell r="I1962" t="str">
            <v>JI021</v>
          </cell>
          <cell r="L1962">
            <v>13.3</v>
          </cell>
          <cell r="M1962">
            <v>0.23499999999999999</v>
          </cell>
          <cell r="N1962" t="str">
            <v>5W</v>
          </cell>
          <cell r="P1962" t="str">
            <v>PONFCS</v>
          </cell>
          <cell r="Q1962" t="str">
            <v>/  /</v>
          </cell>
        </row>
        <row r="1963">
          <cell r="A1963">
            <v>4001292</v>
          </cell>
          <cell r="B1963">
            <v>43815</v>
          </cell>
          <cell r="C1963" t="str">
            <v>PON</v>
          </cell>
          <cell r="D1963">
            <v>637078240</v>
          </cell>
          <cell r="E1963" t="str">
            <v>CV C20 S5 Dsc Ult Blk/D-L/T54</v>
          </cell>
          <cell r="F1963">
            <v>1</v>
          </cell>
          <cell r="G1963">
            <v>0</v>
          </cell>
          <cell r="I1963" t="str">
            <v>JI022</v>
          </cell>
          <cell r="L1963">
            <v>13.7</v>
          </cell>
          <cell r="M1963">
            <v>0.24399999999999999</v>
          </cell>
          <cell r="N1963" t="str">
            <v>5W</v>
          </cell>
          <cell r="P1963" t="str">
            <v>PONCVL</v>
          </cell>
          <cell r="Q1963" t="str">
            <v>/  /</v>
          </cell>
        </row>
        <row r="1964">
          <cell r="A1964">
            <v>4087827</v>
          </cell>
          <cell r="B1964">
            <v>43815</v>
          </cell>
          <cell r="C1964" t="str">
            <v>PON</v>
          </cell>
          <cell r="D1964">
            <v>637078240</v>
          </cell>
          <cell r="E1964" t="str">
            <v>CV C20 S5 Dsc Ult Blk/D-L/T54</v>
          </cell>
          <cell r="F1964">
            <v>1</v>
          </cell>
          <cell r="G1964">
            <v>0</v>
          </cell>
          <cell r="I1964" t="str">
            <v>JI022</v>
          </cell>
          <cell r="L1964">
            <v>13.7</v>
          </cell>
          <cell r="M1964">
            <v>0.24399999999999999</v>
          </cell>
          <cell r="N1964" t="str">
            <v>5W</v>
          </cell>
          <cell r="P1964" t="str">
            <v>PONCVL</v>
          </cell>
          <cell r="Q1964" t="str">
            <v>/  /</v>
          </cell>
        </row>
        <row r="1965">
          <cell r="A1965">
            <v>4089554</v>
          </cell>
          <cell r="B1965">
            <v>43815</v>
          </cell>
          <cell r="C1965" t="str">
            <v>PON</v>
          </cell>
          <cell r="D1965">
            <v>637078240</v>
          </cell>
          <cell r="E1965" t="str">
            <v>CV C20 S5 Dsc Ult Blk/D-L/T54</v>
          </cell>
          <cell r="F1965">
            <v>1</v>
          </cell>
          <cell r="G1965">
            <v>0</v>
          </cell>
          <cell r="I1965" t="str">
            <v>JI022</v>
          </cell>
          <cell r="L1965">
            <v>13.7</v>
          </cell>
          <cell r="M1965">
            <v>0.24399999999999999</v>
          </cell>
          <cell r="N1965" t="str">
            <v>5W</v>
          </cell>
          <cell r="P1965" t="str">
            <v>PONCVL</v>
          </cell>
          <cell r="Q1965" t="str">
            <v>/  /</v>
          </cell>
        </row>
        <row r="1966">
          <cell r="A1966">
            <v>4577391</v>
          </cell>
          <cell r="B1966">
            <v>44175</v>
          </cell>
          <cell r="C1966" t="str">
            <v>PON</v>
          </cell>
          <cell r="D1966">
            <v>641006031</v>
          </cell>
          <cell r="E1966" t="str">
            <v>F21 IZ MAX DISC 9.6 50 XS R/RD</v>
          </cell>
          <cell r="F1966">
            <v>1</v>
          </cell>
          <cell r="G1966">
            <v>0</v>
          </cell>
          <cell r="I1966" t="str">
            <v>JI022</v>
          </cell>
          <cell r="L1966">
            <v>13.1</v>
          </cell>
          <cell r="M1966">
            <v>0.214</v>
          </cell>
          <cell r="N1966" t="str">
            <v>5W</v>
          </cell>
          <cell r="P1966" t="str">
            <v>PONFCS</v>
          </cell>
          <cell r="Q1966" t="str">
            <v>/  /</v>
          </cell>
        </row>
        <row r="1967">
          <cell r="A1967">
            <v>4577404</v>
          </cell>
          <cell r="B1967">
            <v>44175</v>
          </cell>
          <cell r="C1967" t="str">
            <v>PON</v>
          </cell>
          <cell r="D1967">
            <v>641006033</v>
          </cell>
          <cell r="E1967" t="str">
            <v>F21 IZ MAX DISC 9.6 54 M R/RED</v>
          </cell>
          <cell r="F1967">
            <v>1</v>
          </cell>
          <cell r="G1967">
            <v>0</v>
          </cell>
          <cell r="I1967" t="str">
            <v>JI022</v>
          </cell>
          <cell r="L1967">
            <v>13.5</v>
          </cell>
          <cell r="M1967">
            <v>0.23100000000000001</v>
          </cell>
          <cell r="N1967" t="str">
            <v>5W</v>
          </cell>
          <cell r="P1967" t="str">
            <v>PONFCS</v>
          </cell>
          <cell r="Q1967" t="str">
            <v>/  /</v>
          </cell>
        </row>
        <row r="1968">
          <cell r="A1968">
            <v>4577387</v>
          </cell>
          <cell r="B1968">
            <v>44175</v>
          </cell>
          <cell r="C1968" t="str">
            <v>PON</v>
          </cell>
          <cell r="D1968">
            <v>641006006</v>
          </cell>
          <cell r="E1968" t="str">
            <v>F21 IZ MAX DISC 9.9 61 XXL L/G</v>
          </cell>
          <cell r="F1968">
            <v>1</v>
          </cell>
          <cell r="G1968">
            <v>0</v>
          </cell>
          <cell r="I1968" t="str">
            <v>JI031</v>
          </cell>
          <cell r="L1968">
            <v>13.4</v>
          </cell>
          <cell r="M1968">
            <v>0.25800000000000001</v>
          </cell>
          <cell r="N1968" t="str">
            <v>5W</v>
          </cell>
          <cell r="P1968" t="str">
            <v>PONFCS</v>
          </cell>
          <cell r="Q1968" t="str">
            <v>/  /</v>
          </cell>
        </row>
        <row r="1969">
          <cell r="A1969">
            <v>4577420</v>
          </cell>
          <cell r="B1969">
            <v>44175</v>
          </cell>
          <cell r="C1969" t="str">
            <v>PON</v>
          </cell>
          <cell r="D1969">
            <v>641006034</v>
          </cell>
          <cell r="E1969" t="str">
            <v>F21 IZ MAX DISC 9.6 56 L R/RED</v>
          </cell>
          <cell r="F1969">
            <v>1</v>
          </cell>
          <cell r="G1969">
            <v>0</v>
          </cell>
          <cell r="I1969" t="str">
            <v>JI031</v>
          </cell>
          <cell r="L1969">
            <v>13.3</v>
          </cell>
          <cell r="M1969">
            <v>0.23499999999999999</v>
          </cell>
          <cell r="N1969" t="str">
            <v>5W</v>
          </cell>
          <cell r="P1969" t="str">
            <v>PONFCS</v>
          </cell>
          <cell r="Q1969" t="str">
            <v>/  /</v>
          </cell>
        </row>
        <row r="1970">
          <cell r="A1970">
            <v>4577421</v>
          </cell>
          <cell r="B1970">
            <v>44175</v>
          </cell>
          <cell r="C1970" t="str">
            <v>PON</v>
          </cell>
          <cell r="D1970">
            <v>641006034</v>
          </cell>
          <cell r="E1970" t="str">
            <v>F21 IZ MAX DISC 9.6 56 L R/RED</v>
          </cell>
          <cell r="F1970">
            <v>1</v>
          </cell>
          <cell r="G1970">
            <v>0</v>
          </cell>
          <cell r="I1970" t="str">
            <v>JI031</v>
          </cell>
          <cell r="L1970">
            <v>13.3</v>
          </cell>
          <cell r="M1970">
            <v>0.23499999999999999</v>
          </cell>
          <cell r="N1970" t="str">
            <v>5W</v>
          </cell>
          <cell r="P1970" t="str">
            <v>PONFCS</v>
          </cell>
          <cell r="Q1970" t="str">
            <v>/  /</v>
          </cell>
        </row>
        <row r="1971">
          <cell r="A1971">
            <v>4577422</v>
          </cell>
          <cell r="B1971">
            <v>44175</v>
          </cell>
          <cell r="C1971" t="str">
            <v>PON</v>
          </cell>
          <cell r="D1971">
            <v>641006034</v>
          </cell>
          <cell r="E1971" t="str">
            <v>F21 IZ MAX DISC 9.6 56 L R/RED</v>
          </cell>
          <cell r="F1971">
            <v>1</v>
          </cell>
          <cell r="G1971">
            <v>0</v>
          </cell>
          <cell r="I1971" t="str">
            <v>JI031</v>
          </cell>
          <cell r="L1971">
            <v>13.3</v>
          </cell>
          <cell r="M1971">
            <v>0.23499999999999999</v>
          </cell>
          <cell r="N1971" t="str">
            <v>5W</v>
          </cell>
          <cell r="P1971" t="str">
            <v>PONFCS</v>
          </cell>
          <cell r="Q1971" t="str">
            <v>/  /</v>
          </cell>
        </row>
        <row r="1972">
          <cell r="A1972">
            <v>4577433</v>
          </cell>
          <cell r="B1972">
            <v>44175</v>
          </cell>
          <cell r="C1972" t="str">
            <v>PON</v>
          </cell>
          <cell r="D1972">
            <v>641006035</v>
          </cell>
          <cell r="E1972" t="str">
            <v>F21 IZ MAX DISC 9.6 58 XL R/RD</v>
          </cell>
          <cell r="F1972">
            <v>1</v>
          </cell>
          <cell r="G1972">
            <v>0</v>
          </cell>
          <cell r="I1972" t="str">
            <v>JI031</v>
          </cell>
          <cell r="L1972">
            <v>13.6</v>
          </cell>
          <cell r="M1972">
            <v>0.25800000000000001</v>
          </cell>
          <cell r="N1972" t="str">
            <v>5W</v>
          </cell>
          <cell r="P1972" t="str">
            <v>PONFCS</v>
          </cell>
          <cell r="Q1972" t="str">
            <v>/  /</v>
          </cell>
        </row>
        <row r="1973">
          <cell r="A1973">
            <v>4577216</v>
          </cell>
          <cell r="B1973">
            <v>44175</v>
          </cell>
          <cell r="C1973" t="str">
            <v>PON</v>
          </cell>
          <cell r="D1973">
            <v>637006024</v>
          </cell>
          <cell r="E1973" t="str">
            <v>F20 IZ Max Disc 9.7 AXS 56 L</v>
          </cell>
          <cell r="F1973">
            <v>1</v>
          </cell>
          <cell r="G1973">
            <v>0</v>
          </cell>
          <cell r="I1973" t="str">
            <v>JI032</v>
          </cell>
          <cell r="L1973">
            <v>13.6</v>
          </cell>
          <cell r="M1973">
            <v>0.221</v>
          </cell>
          <cell r="N1973" t="str">
            <v>5W</v>
          </cell>
          <cell r="P1973" t="str">
            <v>PONFCS</v>
          </cell>
          <cell r="Q1973" t="str">
            <v>/  /</v>
          </cell>
        </row>
        <row r="1974">
          <cell r="A1974">
            <v>4577217</v>
          </cell>
          <cell r="B1974">
            <v>44175</v>
          </cell>
          <cell r="C1974" t="str">
            <v>PON</v>
          </cell>
          <cell r="D1974">
            <v>637006024</v>
          </cell>
          <cell r="E1974" t="str">
            <v>F20 IZ Max Disc 9.7 AXS 56 L</v>
          </cell>
          <cell r="F1974">
            <v>1</v>
          </cell>
          <cell r="G1974">
            <v>0</v>
          </cell>
          <cell r="I1974" t="str">
            <v>JI032</v>
          </cell>
          <cell r="L1974">
            <v>13.6</v>
          </cell>
          <cell r="M1974">
            <v>0.221</v>
          </cell>
          <cell r="N1974" t="str">
            <v>5W</v>
          </cell>
          <cell r="P1974" t="str">
            <v>PONFCS</v>
          </cell>
          <cell r="Q1974" t="str">
            <v>/  /</v>
          </cell>
        </row>
        <row r="1975">
          <cell r="A1975">
            <v>4577218</v>
          </cell>
          <cell r="B1975">
            <v>44175</v>
          </cell>
          <cell r="C1975" t="str">
            <v>PON</v>
          </cell>
          <cell r="D1975">
            <v>637006024</v>
          </cell>
          <cell r="E1975" t="str">
            <v>F20 IZ Max Disc 9.7 AXS 56 L</v>
          </cell>
          <cell r="F1975">
            <v>1</v>
          </cell>
          <cell r="G1975">
            <v>0</v>
          </cell>
          <cell r="I1975" t="str">
            <v>JI032</v>
          </cell>
          <cell r="L1975">
            <v>13.6</v>
          </cell>
          <cell r="M1975">
            <v>0.221</v>
          </cell>
          <cell r="N1975" t="str">
            <v>5W</v>
          </cell>
          <cell r="P1975" t="str">
            <v>PONFCS</v>
          </cell>
          <cell r="Q1975" t="str">
            <v>/  /</v>
          </cell>
        </row>
        <row r="1976">
          <cell r="A1976">
            <v>4577219</v>
          </cell>
          <cell r="B1976">
            <v>44175</v>
          </cell>
          <cell r="C1976" t="str">
            <v>PON</v>
          </cell>
          <cell r="D1976">
            <v>637006024</v>
          </cell>
          <cell r="E1976" t="str">
            <v>F20 IZ Max Disc 9.7 AXS 56 L</v>
          </cell>
          <cell r="F1976">
            <v>1</v>
          </cell>
          <cell r="G1976">
            <v>0</v>
          </cell>
          <cell r="I1976" t="str">
            <v>JI032</v>
          </cell>
          <cell r="L1976">
            <v>13.6</v>
          </cell>
          <cell r="M1976">
            <v>0.221</v>
          </cell>
          <cell r="N1976" t="str">
            <v>5W</v>
          </cell>
          <cell r="P1976" t="str">
            <v>PONFCS</v>
          </cell>
          <cell r="Q1976" t="str">
            <v>/  /</v>
          </cell>
        </row>
        <row r="1977">
          <cell r="A1977">
            <v>4577220</v>
          </cell>
          <cell r="B1977">
            <v>44175</v>
          </cell>
          <cell r="C1977" t="str">
            <v>PON</v>
          </cell>
          <cell r="D1977">
            <v>637006024</v>
          </cell>
          <cell r="E1977" t="str">
            <v>F20 IZ Max Disc 9.7 AXS 56 L</v>
          </cell>
          <cell r="F1977">
            <v>1</v>
          </cell>
          <cell r="G1977">
            <v>0</v>
          </cell>
          <cell r="I1977" t="str">
            <v>JI032</v>
          </cell>
          <cell r="L1977">
            <v>13.6</v>
          </cell>
          <cell r="M1977">
            <v>0.221</v>
          </cell>
          <cell r="N1977" t="str">
            <v>5W</v>
          </cell>
          <cell r="P1977" t="str">
            <v>PONFCS</v>
          </cell>
          <cell r="Q1977" t="str">
            <v>/  /</v>
          </cell>
        </row>
        <row r="1978">
          <cell r="A1978">
            <v>3953644</v>
          </cell>
          <cell r="B1978">
            <v>43790</v>
          </cell>
          <cell r="C1978" t="str">
            <v>PON</v>
          </cell>
          <cell r="D1978">
            <v>628078191</v>
          </cell>
          <cell r="E1978" t="str">
            <v>C18 R5 DA 9100 51 SM</v>
          </cell>
          <cell r="F1978">
            <v>1</v>
          </cell>
          <cell r="G1978">
            <v>0</v>
          </cell>
          <cell r="I1978" t="str">
            <v>JI041</v>
          </cell>
          <cell r="L1978">
            <v>11.6</v>
          </cell>
          <cell r="M1978">
            <v>0.20200000000000001</v>
          </cell>
          <cell r="N1978" t="str">
            <v>5W</v>
          </cell>
          <cell r="P1978" t="str">
            <v>PONCVL</v>
          </cell>
          <cell r="Q1978" t="str">
            <v>/  /</v>
          </cell>
        </row>
        <row r="1979">
          <cell r="A1979">
            <v>3913460</v>
          </cell>
          <cell r="B1979">
            <v>43767</v>
          </cell>
          <cell r="C1979" t="str">
            <v>PON</v>
          </cell>
          <cell r="D1979">
            <v>633006365</v>
          </cell>
          <cell r="E1979" t="str">
            <v>FC F19 Mare 6.7 60XXL BlueMatt</v>
          </cell>
          <cell r="F1979">
            <v>1</v>
          </cell>
          <cell r="G1979">
            <v>0</v>
          </cell>
          <cell r="I1979" t="str">
            <v>JI041</v>
          </cell>
          <cell r="L1979">
            <v>16.2</v>
          </cell>
          <cell r="M1979">
            <v>0.26400000000000001</v>
          </cell>
          <cell r="N1979" t="str">
            <v>5W</v>
          </cell>
          <cell r="P1979" t="str">
            <v>PONFCS</v>
          </cell>
          <cell r="Q1979" t="str">
            <v>/  /</v>
          </cell>
        </row>
        <row r="1980">
          <cell r="A1980">
            <v>4028060</v>
          </cell>
          <cell r="B1980">
            <v>43844</v>
          </cell>
          <cell r="C1980" t="str">
            <v>PON</v>
          </cell>
          <cell r="D1980">
            <v>633012304</v>
          </cell>
          <cell r="E1980" t="str">
            <v>FC F19 Mares 9.9 58XLOrngeTeam</v>
          </cell>
          <cell r="F1980">
            <v>1</v>
          </cell>
          <cell r="G1980">
            <v>0</v>
          </cell>
          <cell r="I1980" t="str">
            <v>JI041</v>
          </cell>
          <cell r="L1980">
            <v>12.6</v>
          </cell>
          <cell r="M1980">
            <v>0.35199999999999998</v>
          </cell>
          <cell r="N1980" t="str">
            <v>5W</v>
          </cell>
          <cell r="P1980" t="str">
            <v>PONFCS</v>
          </cell>
          <cell r="Q1980" t="str">
            <v>/  /</v>
          </cell>
        </row>
        <row r="1981">
          <cell r="A1981">
            <v>4577434</v>
          </cell>
          <cell r="B1981">
            <v>44175</v>
          </cell>
          <cell r="C1981" t="str">
            <v>PON</v>
          </cell>
          <cell r="D1981">
            <v>641006035</v>
          </cell>
          <cell r="E1981" t="str">
            <v>F21 IZ MAX DISC 9.6 58 XL R/RD</v>
          </cell>
          <cell r="F1981">
            <v>1</v>
          </cell>
          <cell r="G1981">
            <v>0</v>
          </cell>
          <cell r="I1981" t="str">
            <v>JI041</v>
          </cell>
          <cell r="L1981">
            <v>13.6</v>
          </cell>
          <cell r="M1981">
            <v>0.25800000000000001</v>
          </cell>
          <cell r="N1981" t="str">
            <v>5W</v>
          </cell>
          <cell r="P1981" t="str">
            <v>PONFCS</v>
          </cell>
          <cell r="Q1981" t="str">
            <v>/  /</v>
          </cell>
        </row>
        <row r="1982">
          <cell r="A1982">
            <v>4577435</v>
          </cell>
          <cell r="B1982">
            <v>44175</v>
          </cell>
          <cell r="C1982" t="str">
            <v>PON</v>
          </cell>
          <cell r="D1982">
            <v>641006035</v>
          </cell>
          <cell r="E1982" t="str">
            <v>F21 IZ MAX DISC 9.6 58 XL R/RD</v>
          </cell>
          <cell r="F1982">
            <v>1</v>
          </cell>
          <cell r="G1982">
            <v>0</v>
          </cell>
          <cell r="I1982" t="str">
            <v>JI041</v>
          </cell>
          <cell r="L1982">
            <v>13.6</v>
          </cell>
          <cell r="M1982">
            <v>0.25800000000000001</v>
          </cell>
          <cell r="N1982" t="str">
            <v>5W</v>
          </cell>
          <cell r="P1982" t="str">
            <v>PONFCS</v>
          </cell>
          <cell r="Q1982" t="str">
            <v>/  /</v>
          </cell>
        </row>
        <row r="1983">
          <cell r="A1983">
            <v>4087111</v>
          </cell>
          <cell r="B1983">
            <v>43767</v>
          </cell>
          <cell r="C1983" t="str">
            <v>PON</v>
          </cell>
          <cell r="D1983">
            <v>628078160</v>
          </cell>
          <cell r="E1983" t="str">
            <v>CV C18 R5 Disc DA Di2 48 XS</v>
          </cell>
          <cell r="F1983">
            <v>1</v>
          </cell>
          <cell r="G1983">
            <v>0</v>
          </cell>
          <cell r="I1983" t="str">
            <v>JI042</v>
          </cell>
          <cell r="L1983">
            <v>12.2</v>
          </cell>
          <cell r="M1983">
            <v>0.215</v>
          </cell>
          <cell r="N1983" t="str">
            <v>5W</v>
          </cell>
          <cell r="P1983" t="str">
            <v>PONCVL</v>
          </cell>
          <cell r="Q1983" t="str">
            <v>/  /</v>
          </cell>
        </row>
        <row r="1984">
          <cell r="A1984">
            <v>4089715</v>
          </cell>
          <cell r="B1984">
            <v>43767</v>
          </cell>
          <cell r="C1984" t="str">
            <v>PON</v>
          </cell>
          <cell r="D1984">
            <v>628078160</v>
          </cell>
          <cell r="E1984" t="str">
            <v>CV C18 R5 Disc DA Di2 48 XS</v>
          </cell>
          <cell r="F1984">
            <v>1</v>
          </cell>
          <cell r="G1984">
            <v>0</v>
          </cell>
          <cell r="I1984" t="str">
            <v>JI042</v>
          </cell>
          <cell r="L1984">
            <v>12.2</v>
          </cell>
          <cell r="M1984">
            <v>0.215</v>
          </cell>
          <cell r="N1984" t="str">
            <v>5W</v>
          </cell>
          <cell r="P1984" t="str">
            <v>PONCVL</v>
          </cell>
          <cell r="Q1984" t="str">
            <v>/  /</v>
          </cell>
        </row>
        <row r="1985">
          <cell r="A1985">
            <v>4577436</v>
          </cell>
          <cell r="B1985">
            <v>44175</v>
          </cell>
          <cell r="C1985" t="str">
            <v>PON</v>
          </cell>
          <cell r="D1985">
            <v>641006035</v>
          </cell>
          <cell r="E1985" t="str">
            <v>F21 IZ MAX DISC 9.6 58 XL R/RD</v>
          </cell>
          <cell r="F1985">
            <v>1</v>
          </cell>
          <cell r="G1985">
            <v>0</v>
          </cell>
          <cell r="I1985" t="str">
            <v>JI042</v>
          </cell>
          <cell r="L1985">
            <v>13.6</v>
          </cell>
          <cell r="M1985">
            <v>0.25800000000000001</v>
          </cell>
          <cell r="N1985" t="str">
            <v>5W</v>
          </cell>
          <cell r="P1985" t="str">
            <v>PONFCS</v>
          </cell>
          <cell r="Q1985" t="str">
            <v>/  /</v>
          </cell>
        </row>
        <row r="1986">
          <cell r="A1986">
            <v>4577423</v>
          </cell>
          <cell r="B1986">
            <v>44175</v>
          </cell>
          <cell r="C1986" t="str">
            <v>PON</v>
          </cell>
          <cell r="D1986">
            <v>641006034</v>
          </cell>
          <cell r="E1986" t="str">
            <v>F21 IZ MAX DISC 9.6 56 L R/RED</v>
          </cell>
          <cell r="F1986">
            <v>1</v>
          </cell>
          <cell r="G1986">
            <v>0</v>
          </cell>
          <cell r="I1986" t="str">
            <v>JI051</v>
          </cell>
          <cell r="L1986">
            <v>13.3</v>
          </cell>
          <cell r="M1986">
            <v>0.23499999999999999</v>
          </cell>
          <cell r="N1986" t="str">
            <v>5W</v>
          </cell>
          <cell r="P1986" t="str">
            <v>PONFCS</v>
          </cell>
          <cell r="Q1986" t="str">
            <v>/  /</v>
          </cell>
        </row>
        <row r="1987">
          <cell r="A1987">
            <v>4577442</v>
          </cell>
          <cell r="B1987">
            <v>44175</v>
          </cell>
          <cell r="C1987" t="str">
            <v>PON</v>
          </cell>
          <cell r="D1987">
            <v>641006250</v>
          </cell>
          <cell r="E1987" t="str">
            <v>F21 Paralane 8.8 48 Xs Stn/Bl</v>
          </cell>
          <cell r="F1987">
            <v>1</v>
          </cell>
          <cell r="G1987">
            <v>0</v>
          </cell>
          <cell r="I1987" t="str">
            <v>JI051</v>
          </cell>
          <cell r="L1987">
            <v>15</v>
          </cell>
          <cell r="M1987">
            <v>0.214</v>
          </cell>
          <cell r="N1987" t="str">
            <v>5W</v>
          </cell>
          <cell r="P1987" t="str">
            <v>PONFCS</v>
          </cell>
          <cell r="Q1987" t="str">
            <v>/  /</v>
          </cell>
        </row>
        <row r="1988">
          <cell r="A1988">
            <v>4577443</v>
          </cell>
          <cell r="B1988">
            <v>44175</v>
          </cell>
          <cell r="C1988" t="str">
            <v>PON</v>
          </cell>
          <cell r="D1988">
            <v>641006250</v>
          </cell>
          <cell r="E1988" t="str">
            <v>F21 Paralane 8.8 48 Xs Stn/Bl</v>
          </cell>
          <cell r="F1988">
            <v>1</v>
          </cell>
          <cell r="G1988">
            <v>0</v>
          </cell>
          <cell r="I1988" t="str">
            <v>JI051</v>
          </cell>
          <cell r="L1988">
            <v>15</v>
          </cell>
          <cell r="M1988">
            <v>0.214</v>
          </cell>
          <cell r="N1988" t="str">
            <v>5W</v>
          </cell>
          <cell r="P1988" t="str">
            <v>PONFCS</v>
          </cell>
          <cell r="Q1988" t="str">
            <v>/  /</v>
          </cell>
        </row>
        <row r="1989">
          <cell r="A1989">
            <v>4577395</v>
          </cell>
          <cell r="B1989">
            <v>44175</v>
          </cell>
          <cell r="C1989" t="str">
            <v>PON</v>
          </cell>
          <cell r="D1989">
            <v>641006032</v>
          </cell>
          <cell r="E1989" t="str">
            <v>F21 IZ MAX DISC 9.6 52 S R/RED</v>
          </cell>
          <cell r="F1989">
            <v>1</v>
          </cell>
          <cell r="G1989">
            <v>0</v>
          </cell>
          <cell r="I1989" t="str">
            <v>JI052</v>
          </cell>
          <cell r="L1989">
            <v>13.2</v>
          </cell>
          <cell r="M1989">
            <v>0.221</v>
          </cell>
          <cell r="N1989" t="str">
            <v>5W</v>
          </cell>
          <cell r="P1989" t="str">
            <v>PONFCS</v>
          </cell>
          <cell r="Q1989" t="str">
            <v>/  /</v>
          </cell>
        </row>
        <row r="1990">
          <cell r="A1990">
            <v>4577396</v>
          </cell>
          <cell r="B1990">
            <v>44175</v>
          </cell>
          <cell r="C1990" t="str">
            <v>PON</v>
          </cell>
          <cell r="D1990">
            <v>641006032</v>
          </cell>
          <cell r="E1990" t="str">
            <v>F21 IZ MAX DISC 9.6 52 S R/RED</v>
          </cell>
          <cell r="F1990">
            <v>1</v>
          </cell>
          <cell r="G1990">
            <v>0</v>
          </cell>
          <cell r="I1990" t="str">
            <v>JI052</v>
          </cell>
          <cell r="L1990">
            <v>13.2</v>
          </cell>
          <cell r="M1990">
            <v>0.221</v>
          </cell>
          <cell r="N1990" t="str">
            <v>5W</v>
          </cell>
          <cell r="P1990" t="str">
            <v>PONFCS</v>
          </cell>
          <cell r="Q1990" t="str">
            <v>/  /</v>
          </cell>
        </row>
        <row r="1991">
          <cell r="A1991">
            <v>4577427</v>
          </cell>
          <cell r="B1991">
            <v>44175</v>
          </cell>
          <cell r="C1991" t="str">
            <v>PON</v>
          </cell>
          <cell r="D1991">
            <v>641006034</v>
          </cell>
          <cell r="E1991" t="str">
            <v>F21 IZ MAX DISC 9.6 56 L R/RED</v>
          </cell>
          <cell r="F1991">
            <v>1</v>
          </cell>
          <cell r="G1991">
            <v>0</v>
          </cell>
          <cell r="I1991" t="str">
            <v>JI052</v>
          </cell>
          <cell r="L1991">
            <v>13.3</v>
          </cell>
          <cell r="M1991">
            <v>0.23499999999999999</v>
          </cell>
          <cell r="N1991" t="str">
            <v>5W</v>
          </cell>
          <cell r="P1991" t="str">
            <v>PONFCS</v>
          </cell>
          <cell r="Q1991" t="str">
            <v>/  /</v>
          </cell>
        </row>
        <row r="1992">
          <cell r="A1992">
            <v>4577428</v>
          </cell>
          <cell r="B1992">
            <v>44175</v>
          </cell>
          <cell r="C1992" t="str">
            <v>PON</v>
          </cell>
          <cell r="D1992">
            <v>641006034</v>
          </cell>
          <cell r="E1992" t="str">
            <v>F21 IZ MAX DISC 9.6 56 L R/RED</v>
          </cell>
          <cell r="F1992">
            <v>1</v>
          </cell>
          <cell r="G1992">
            <v>0</v>
          </cell>
          <cell r="I1992" t="str">
            <v>JI052</v>
          </cell>
          <cell r="L1992">
            <v>13.3</v>
          </cell>
          <cell r="M1992">
            <v>0.23499999999999999</v>
          </cell>
          <cell r="N1992" t="str">
            <v>5W</v>
          </cell>
          <cell r="P1992" t="str">
            <v>PONFCS</v>
          </cell>
          <cell r="Q1992" t="str">
            <v>/  /</v>
          </cell>
        </row>
        <row r="1993">
          <cell r="A1993">
            <v>4577429</v>
          </cell>
          <cell r="B1993">
            <v>44175</v>
          </cell>
          <cell r="C1993" t="str">
            <v>PON</v>
          </cell>
          <cell r="D1993">
            <v>641006034</v>
          </cell>
          <cell r="E1993" t="str">
            <v>F21 IZ MAX DISC 9.6 56 L R/RED</v>
          </cell>
          <cell r="F1993">
            <v>1</v>
          </cell>
          <cell r="G1993">
            <v>0</v>
          </cell>
          <cell r="I1993" t="str">
            <v>JI052</v>
          </cell>
          <cell r="L1993">
            <v>13.3</v>
          </cell>
          <cell r="M1993">
            <v>0.23499999999999999</v>
          </cell>
          <cell r="N1993" t="str">
            <v>5W</v>
          </cell>
          <cell r="P1993" t="str">
            <v>PONFCS</v>
          </cell>
          <cell r="Q1993" t="str">
            <v>/  /</v>
          </cell>
        </row>
        <row r="1994">
          <cell r="A1994">
            <v>4577430</v>
          </cell>
          <cell r="B1994">
            <v>44175</v>
          </cell>
          <cell r="C1994" t="str">
            <v>PON</v>
          </cell>
          <cell r="D1994">
            <v>641006034</v>
          </cell>
          <cell r="E1994" t="str">
            <v>F21 IZ MAX DISC 9.6 56 L R/RED</v>
          </cell>
          <cell r="F1994">
            <v>1</v>
          </cell>
          <cell r="G1994">
            <v>0</v>
          </cell>
          <cell r="I1994" t="str">
            <v>JI052</v>
          </cell>
          <cell r="L1994">
            <v>13.3</v>
          </cell>
          <cell r="M1994">
            <v>0.23499999999999999</v>
          </cell>
          <cell r="N1994" t="str">
            <v>5W</v>
          </cell>
          <cell r="P1994" t="str">
            <v>PONFCS</v>
          </cell>
          <cell r="Q1994" t="str">
            <v>/  /</v>
          </cell>
        </row>
        <row r="1995">
          <cell r="A1995">
            <v>3953642</v>
          </cell>
          <cell r="B1995">
            <v>43790</v>
          </cell>
          <cell r="C1995" t="str">
            <v>PON</v>
          </cell>
          <cell r="D1995">
            <v>628078171</v>
          </cell>
          <cell r="E1995" t="str">
            <v>C18 R5 DA Di2 9150 51 SM</v>
          </cell>
          <cell r="F1995">
            <v>1</v>
          </cell>
          <cell r="G1995">
            <v>0</v>
          </cell>
          <cell r="I1995" t="str">
            <v>JI061</v>
          </cell>
          <cell r="L1995">
            <v>11.7</v>
          </cell>
          <cell r="M1995">
            <v>0.19800000000000001</v>
          </cell>
          <cell r="N1995" t="str">
            <v>5W</v>
          </cell>
          <cell r="P1995" t="str">
            <v>PONCVL</v>
          </cell>
          <cell r="Q1995" t="str">
            <v>/  /</v>
          </cell>
        </row>
        <row r="1996">
          <cell r="A1996">
            <v>4087375</v>
          </cell>
          <cell r="B1996">
            <v>43790</v>
          </cell>
          <cell r="C1996" t="str">
            <v>PON</v>
          </cell>
          <cell r="D1996">
            <v>628078171</v>
          </cell>
          <cell r="E1996" t="str">
            <v>C18 R5 DA Di2 9150 51 SM</v>
          </cell>
          <cell r="F1996">
            <v>1</v>
          </cell>
          <cell r="G1996">
            <v>0</v>
          </cell>
          <cell r="I1996" t="str">
            <v>JI061</v>
          </cell>
          <cell r="L1996">
            <v>11.7</v>
          </cell>
          <cell r="M1996">
            <v>0.19800000000000001</v>
          </cell>
          <cell r="N1996" t="str">
            <v>5W</v>
          </cell>
          <cell r="P1996" t="str">
            <v>PONCVL</v>
          </cell>
          <cell r="Q1996" t="str">
            <v>/  /</v>
          </cell>
        </row>
        <row r="1997">
          <cell r="A1997">
            <v>4088681</v>
          </cell>
          <cell r="B1997">
            <v>43790</v>
          </cell>
          <cell r="C1997" t="str">
            <v>PON</v>
          </cell>
          <cell r="D1997">
            <v>628078171</v>
          </cell>
          <cell r="E1997" t="str">
            <v>C18 R5 DA Di2 9150 51 SM</v>
          </cell>
          <cell r="F1997">
            <v>1</v>
          </cell>
          <cell r="G1997">
            <v>0</v>
          </cell>
          <cell r="I1997" t="str">
            <v>JI061</v>
          </cell>
          <cell r="L1997">
            <v>11.7</v>
          </cell>
          <cell r="M1997">
            <v>0.19800000000000001</v>
          </cell>
          <cell r="N1997" t="str">
            <v>5W</v>
          </cell>
          <cell r="P1997" t="str">
            <v>PONCVL</v>
          </cell>
          <cell r="Q1997" t="str">
            <v>/  /</v>
          </cell>
        </row>
        <row r="1998">
          <cell r="A1998">
            <v>4577424</v>
          </cell>
          <cell r="B1998">
            <v>44175</v>
          </cell>
          <cell r="C1998" t="str">
            <v>PON</v>
          </cell>
          <cell r="D1998">
            <v>641006034</v>
          </cell>
          <cell r="E1998" t="str">
            <v>F21 IZ MAX DISC 9.6 56 L R/RED</v>
          </cell>
          <cell r="F1998">
            <v>1</v>
          </cell>
          <cell r="G1998">
            <v>0</v>
          </cell>
          <cell r="I1998" t="str">
            <v>JI061</v>
          </cell>
          <cell r="L1998">
            <v>13.3</v>
          </cell>
          <cell r="M1998">
            <v>0.23499999999999999</v>
          </cell>
          <cell r="N1998" t="str">
            <v>5W</v>
          </cell>
          <cell r="P1998" t="str">
            <v>PONFCS</v>
          </cell>
          <cell r="Q1998" t="str">
            <v>/  /</v>
          </cell>
        </row>
        <row r="1999">
          <cell r="A1999">
            <v>4577425</v>
          </cell>
          <cell r="B1999">
            <v>44175</v>
          </cell>
          <cell r="C1999" t="str">
            <v>PON</v>
          </cell>
          <cell r="D1999">
            <v>641006034</v>
          </cell>
          <cell r="E1999" t="str">
            <v>F21 IZ MAX DISC 9.6 56 L R/RED</v>
          </cell>
          <cell r="F1999">
            <v>1</v>
          </cell>
          <cell r="G1999">
            <v>0</v>
          </cell>
          <cell r="I1999" t="str">
            <v>JI061</v>
          </cell>
          <cell r="L1999">
            <v>13.3</v>
          </cell>
          <cell r="M1999">
            <v>0.23499999999999999</v>
          </cell>
          <cell r="N1999" t="str">
            <v>5W</v>
          </cell>
          <cell r="P1999" t="str">
            <v>PONFCS</v>
          </cell>
          <cell r="Q1999" t="str">
            <v>/  /</v>
          </cell>
        </row>
        <row r="2000">
          <cell r="A2000">
            <v>4577426</v>
          </cell>
          <cell r="B2000">
            <v>44175</v>
          </cell>
          <cell r="C2000" t="str">
            <v>PON</v>
          </cell>
          <cell r="D2000">
            <v>641006034</v>
          </cell>
          <cell r="E2000" t="str">
            <v>F21 IZ MAX DISC 9.6 56 L R/RED</v>
          </cell>
          <cell r="F2000">
            <v>1</v>
          </cell>
          <cell r="G2000">
            <v>0</v>
          </cell>
          <cell r="I2000" t="str">
            <v>JI061</v>
          </cell>
          <cell r="L2000">
            <v>13.3</v>
          </cell>
          <cell r="M2000">
            <v>0.23499999999999999</v>
          </cell>
          <cell r="N2000" t="str">
            <v>5W</v>
          </cell>
          <cell r="P2000" t="str">
            <v>PONFCS</v>
          </cell>
          <cell r="Q2000" t="str">
            <v>/  /</v>
          </cell>
        </row>
        <row r="2001">
          <cell r="A2001">
            <v>4039880</v>
          </cell>
          <cell r="B2001">
            <v>43852</v>
          </cell>
          <cell r="C2001" t="str">
            <v>PON</v>
          </cell>
          <cell r="D2001" t="str">
            <v>C11S3RED56</v>
          </cell>
          <cell r="E2001" t="str">
            <v>C11 Cervelo S3 size 56</v>
          </cell>
          <cell r="F2001">
            <v>1</v>
          </cell>
          <cell r="G2001">
            <v>0</v>
          </cell>
          <cell r="I2001" t="str">
            <v>JI061</v>
          </cell>
          <cell r="L2001">
            <v>11.9</v>
          </cell>
          <cell r="M2001">
            <v>0.222</v>
          </cell>
          <cell r="N2001" t="str">
            <v>5W</v>
          </cell>
          <cell r="P2001" t="str">
            <v>PONCVL</v>
          </cell>
          <cell r="Q2001" t="str">
            <v>/  /</v>
          </cell>
        </row>
        <row r="2002">
          <cell r="A2002">
            <v>4577397</v>
          </cell>
          <cell r="B2002">
            <v>44175</v>
          </cell>
          <cell r="C2002" t="str">
            <v>PON</v>
          </cell>
          <cell r="D2002">
            <v>641006032</v>
          </cell>
          <cell r="E2002" t="str">
            <v>F21 IZ MAX DISC 9.6 52 S R/RED</v>
          </cell>
          <cell r="F2002">
            <v>1</v>
          </cell>
          <cell r="G2002">
            <v>0</v>
          </cell>
          <cell r="I2002" t="str">
            <v>JI062</v>
          </cell>
          <cell r="L2002">
            <v>13.2</v>
          </cell>
          <cell r="M2002">
            <v>0.221</v>
          </cell>
          <cell r="N2002" t="str">
            <v>5W</v>
          </cell>
          <cell r="P2002" t="str">
            <v>PONFCS</v>
          </cell>
          <cell r="Q2002" t="str">
            <v>/  /</v>
          </cell>
        </row>
        <row r="2003">
          <cell r="A2003">
            <v>4577398</v>
          </cell>
          <cell r="B2003">
            <v>44175</v>
          </cell>
          <cell r="C2003" t="str">
            <v>PON</v>
          </cell>
          <cell r="D2003">
            <v>641006032</v>
          </cell>
          <cell r="E2003" t="str">
            <v>F21 IZ MAX DISC 9.6 52 S R/RED</v>
          </cell>
          <cell r="F2003">
            <v>1</v>
          </cell>
          <cell r="G2003">
            <v>0</v>
          </cell>
          <cell r="I2003" t="str">
            <v>JI062</v>
          </cell>
          <cell r="L2003">
            <v>13.2</v>
          </cell>
          <cell r="M2003">
            <v>0.221</v>
          </cell>
          <cell r="N2003" t="str">
            <v>5W</v>
          </cell>
          <cell r="P2003" t="str">
            <v>PONFCS</v>
          </cell>
          <cell r="Q2003" t="str">
            <v>/  /</v>
          </cell>
        </row>
        <row r="2004">
          <cell r="A2004">
            <v>4577399</v>
          </cell>
          <cell r="B2004">
            <v>44175</v>
          </cell>
          <cell r="C2004" t="str">
            <v>PON</v>
          </cell>
          <cell r="D2004">
            <v>641006032</v>
          </cell>
          <cell r="E2004" t="str">
            <v>F21 IZ MAX DISC 9.6 52 S R/RED</v>
          </cell>
          <cell r="F2004">
            <v>1</v>
          </cell>
          <cell r="G2004">
            <v>0</v>
          </cell>
          <cell r="I2004" t="str">
            <v>JI062</v>
          </cell>
          <cell r="L2004">
            <v>13.2</v>
          </cell>
          <cell r="M2004">
            <v>0.221</v>
          </cell>
          <cell r="N2004" t="str">
            <v>5W</v>
          </cell>
          <cell r="P2004" t="str">
            <v>PONFCS</v>
          </cell>
          <cell r="Q2004" t="str">
            <v>/  /</v>
          </cell>
        </row>
        <row r="2005">
          <cell r="A2005">
            <v>4577400</v>
          </cell>
          <cell r="B2005">
            <v>44175</v>
          </cell>
          <cell r="C2005" t="str">
            <v>PON</v>
          </cell>
          <cell r="D2005">
            <v>641006032</v>
          </cell>
          <cell r="E2005" t="str">
            <v>F21 IZ MAX DISC 9.6 52 S R/RED</v>
          </cell>
          <cell r="F2005">
            <v>1</v>
          </cell>
          <cell r="G2005">
            <v>0</v>
          </cell>
          <cell r="I2005" t="str">
            <v>JI062</v>
          </cell>
          <cell r="L2005">
            <v>13.2</v>
          </cell>
          <cell r="M2005">
            <v>0.221</v>
          </cell>
          <cell r="N2005" t="str">
            <v>5W</v>
          </cell>
          <cell r="P2005" t="str">
            <v>PONFCS</v>
          </cell>
          <cell r="Q2005" t="str">
            <v>/  /</v>
          </cell>
        </row>
        <row r="2006">
          <cell r="A2006">
            <v>4577401</v>
          </cell>
          <cell r="B2006">
            <v>44175</v>
          </cell>
          <cell r="C2006" t="str">
            <v>PON</v>
          </cell>
          <cell r="D2006">
            <v>641006032</v>
          </cell>
          <cell r="E2006" t="str">
            <v>F21 IZ MAX DISC 9.6 52 S R/RED</v>
          </cell>
          <cell r="F2006">
            <v>1</v>
          </cell>
          <cell r="G2006">
            <v>0</v>
          </cell>
          <cell r="I2006" t="str">
            <v>JI071</v>
          </cell>
          <cell r="L2006">
            <v>13.2</v>
          </cell>
          <cell r="M2006">
            <v>0.221</v>
          </cell>
          <cell r="N2006" t="str">
            <v>5W</v>
          </cell>
          <cell r="P2006" t="str">
            <v>PONFCS</v>
          </cell>
          <cell r="Q2006" t="str">
            <v>/  /</v>
          </cell>
        </row>
        <row r="2007">
          <cell r="A2007">
            <v>4577402</v>
          </cell>
          <cell r="B2007">
            <v>44175</v>
          </cell>
          <cell r="C2007" t="str">
            <v>PON</v>
          </cell>
          <cell r="D2007">
            <v>641006032</v>
          </cell>
          <cell r="E2007" t="str">
            <v>F21 IZ MAX DISC 9.6 52 S R/RED</v>
          </cell>
          <cell r="F2007">
            <v>1</v>
          </cell>
          <cell r="G2007">
            <v>0</v>
          </cell>
          <cell r="I2007" t="str">
            <v>JI071</v>
          </cell>
          <cell r="L2007">
            <v>13.2</v>
          </cell>
          <cell r="M2007">
            <v>0.221</v>
          </cell>
          <cell r="N2007" t="str">
            <v>5W</v>
          </cell>
          <cell r="P2007" t="str">
            <v>PONFCS</v>
          </cell>
          <cell r="Q2007" t="str">
            <v>/  /</v>
          </cell>
        </row>
        <row r="2008">
          <cell r="A2008">
            <v>4577415</v>
          </cell>
          <cell r="B2008">
            <v>44175</v>
          </cell>
          <cell r="C2008" t="str">
            <v>PON</v>
          </cell>
          <cell r="D2008">
            <v>641006033</v>
          </cell>
          <cell r="E2008" t="str">
            <v>F21 IZ MAX DISC 9.6 54 M R/RED</v>
          </cell>
          <cell r="F2008">
            <v>1</v>
          </cell>
          <cell r="G2008">
            <v>0</v>
          </cell>
          <cell r="I2008" t="str">
            <v>JI072</v>
          </cell>
          <cell r="L2008">
            <v>13.5</v>
          </cell>
          <cell r="M2008">
            <v>0.23100000000000001</v>
          </cell>
          <cell r="N2008" t="str">
            <v>5W</v>
          </cell>
          <cell r="P2008" t="str">
            <v>PONFCS</v>
          </cell>
          <cell r="Q2008" t="str">
            <v>/  /</v>
          </cell>
        </row>
        <row r="2009">
          <cell r="A2009">
            <v>4577416</v>
          </cell>
          <cell r="B2009">
            <v>44175</v>
          </cell>
          <cell r="C2009" t="str">
            <v>PON</v>
          </cell>
          <cell r="D2009">
            <v>641006033</v>
          </cell>
          <cell r="E2009" t="str">
            <v>F21 IZ MAX DISC 9.6 54 M R/RED</v>
          </cell>
          <cell r="F2009">
            <v>1</v>
          </cell>
          <cell r="G2009">
            <v>0</v>
          </cell>
          <cell r="I2009" t="str">
            <v>JI072</v>
          </cell>
          <cell r="L2009">
            <v>13.5</v>
          </cell>
          <cell r="M2009">
            <v>0.23100000000000001</v>
          </cell>
          <cell r="N2009" t="str">
            <v>5W</v>
          </cell>
          <cell r="P2009" t="str">
            <v>PONFCS</v>
          </cell>
          <cell r="Q2009" t="str">
            <v>/  /</v>
          </cell>
        </row>
        <row r="2010">
          <cell r="A2010">
            <v>4577409</v>
          </cell>
          <cell r="B2010">
            <v>44175</v>
          </cell>
          <cell r="C2010" t="str">
            <v>PON</v>
          </cell>
          <cell r="D2010">
            <v>641006033</v>
          </cell>
          <cell r="E2010" t="str">
            <v>F21 IZ MAX DISC 9.6 54 M R/RED</v>
          </cell>
          <cell r="F2010">
            <v>1</v>
          </cell>
          <cell r="G2010">
            <v>0</v>
          </cell>
          <cell r="I2010" t="str">
            <v>JI081</v>
          </cell>
          <cell r="L2010">
            <v>13.5</v>
          </cell>
          <cell r="M2010">
            <v>0.23100000000000001</v>
          </cell>
          <cell r="N2010" t="str">
            <v>5W</v>
          </cell>
          <cell r="P2010" t="str">
            <v>PONFCS</v>
          </cell>
          <cell r="Q2010" t="str">
            <v>/  /</v>
          </cell>
        </row>
        <row r="2011">
          <cell r="A2011">
            <v>4577410</v>
          </cell>
          <cell r="B2011">
            <v>44175</v>
          </cell>
          <cell r="C2011" t="str">
            <v>PON</v>
          </cell>
          <cell r="D2011">
            <v>641006033</v>
          </cell>
          <cell r="E2011" t="str">
            <v>F21 IZ MAX DISC 9.6 54 M R/RED</v>
          </cell>
          <cell r="F2011">
            <v>1</v>
          </cell>
          <cell r="G2011">
            <v>0</v>
          </cell>
          <cell r="I2011" t="str">
            <v>JI081</v>
          </cell>
          <cell r="L2011">
            <v>13.5</v>
          </cell>
          <cell r="M2011">
            <v>0.23100000000000001</v>
          </cell>
          <cell r="N2011" t="str">
            <v>5W</v>
          </cell>
          <cell r="P2011" t="str">
            <v>PONFCS</v>
          </cell>
          <cell r="Q2011" t="str">
            <v>/  /</v>
          </cell>
        </row>
        <row r="2012">
          <cell r="A2012">
            <v>4577411</v>
          </cell>
          <cell r="B2012">
            <v>44175</v>
          </cell>
          <cell r="C2012" t="str">
            <v>PON</v>
          </cell>
          <cell r="D2012">
            <v>641006033</v>
          </cell>
          <cell r="E2012" t="str">
            <v>F21 IZ MAX DISC 9.6 54 M R/RED</v>
          </cell>
          <cell r="F2012">
            <v>1</v>
          </cell>
          <cell r="G2012">
            <v>0</v>
          </cell>
          <cell r="I2012" t="str">
            <v>JI081</v>
          </cell>
          <cell r="L2012">
            <v>13.5</v>
          </cell>
          <cell r="M2012">
            <v>0.23100000000000001</v>
          </cell>
          <cell r="N2012" t="str">
            <v>5W</v>
          </cell>
          <cell r="P2012" t="str">
            <v>PONFCS</v>
          </cell>
          <cell r="Q2012" t="str">
            <v>/  /</v>
          </cell>
        </row>
        <row r="2013">
          <cell r="A2013">
            <v>4577412</v>
          </cell>
          <cell r="B2013">
            <v>44175</v>
          </cell>
          <cell r="C2013" t="str">
            <v>PON</v>
          </cell>
          <cell r="D2013">
            <v>641006033</v>
          </cell>
          <cell r="E2013" t="str">
            <v>F21 IZ MAX DISC 9.6 54 M R/RED</v>
          </cell>
          <cell r="F2013">
            <v>1</v>
          </cell>
          <cell r="G2013">
            <v>0</v>
          </cell>
          <cell r="I2013" t="str">
            <v>JI081</v>
          </cell>
          <cell r="L2013">
            <v>13.5</v>
          </cell>
          <cell r="M2013">
            <v>0.23100000000000001</v>
          </cell>
          <cell r="N2013" t="str">
            <v>5W</v>
          </cell>
          <cell r="P2013" t="str">
            <v>PONFCS</v>
          </cell>
          <cell r="Q2013" t="str">
            <v>/  /</v>
          </cell>
        </row>
        <row r="2014">
          <cell r="A2014">
            <v>4577413</v>
          </cell>
          <cell r="B2014">
            <v>44175</v>
          </cell>
          <cell r="C2014" t="str">
            <v>PON</v>
          </cell>
          <cell r="D2014">
            <v>641006033</v>
          </cell>
          <cell r="E2014" t="str">
            <v>F21 IZ MAX DISC 9.6 54 M R/RED</v>
          </cell>
          <cell r="F2014">
            <v>1</v>
          </cell>
          <cell r="G2014">
            <v>0</v>
          </cell>
          <cell r="I2014" t="str">
            <v>JI081</v>
          </cell>
          <cell r="L2014">
            <v>13.5</v>
          </cell>
          <cell r="M2014">
            <v>0.23100000000000001</v>
          </cell>
          <cell r="N2014" t="str">
            <v>5W</v>
          </cell>
          <cell r="P2014" t="str">
            <v>PONFCS</v>
          </cell>
          <cell r="Q2014" t="str">
            <v>/  /</v>
          </cell>
        </row>
        <row r="2015">
          <cell r="A2015">
            <v>4577414</v>
          </cell>
          <cell r="B2015">
            <v>44175</v>
          </cell>
          <cell r="C2015" t="str">
            <v>PON</v>
          </cell>
          <cell r="D2015">
            <v>641006033</v>
          </cell>
          <cell r="E2015" t="str">
            <v>F21 IZ MAX DISC 9.6 54 M R/RED</v>
          </cell>
          <cell r="F2015">
            <v>1</v>
          </cell>
          <cell r="G2015">
            <v>0</v>
          </cell>
          <cell r="I2015" t="str">
            <v>JI081</v>
          </cell>
          <cell r="L2015">
            <v>13.5</v>
          </cell>
          <cell r="M2015">
            <v>0.23100000000000001</v>
          </cell>
          <cell r="N2015" t="str">
            <v>5W</v>
          </cell>
          <cell r="P2015" t="str">
            <v>PONFCS</v>
          </cell>
          <cell r="Q2015" t="str">
            <v>/  /</v>
          </cell>
        </row>
        <row r="2016">
          <cell r="A2016">
            <v>4577370</v>
          </cell>
          <cell r="B2016">
            <v>44175</v>
          </cell>
          <cell r="C2016" t="str">
            <v>PON</v>
          </cell>
          <cell r="D2016">
            <v>641006003</v>
          </cell>
          <cell r="E2016" t="str">
            <v>F21 IZ MAX DISC 9.9 54 M L/GRY</v>
          </cell>
          <cell r="F2016">
            <v>1</v>
          </cell>
          <cell r="G2016">
            <v>0</v>
          </cell>
          <cell r="I2016" t="str">
            <v>JI082</v>
          </cell>
          <cell r="L2016">
            <v>13.1</v>
          </cell>
          <cell r="M2016">
            <v>0.23499999999999999</v>
          </cell>
          <cell r="N2016" t="str">
            <v>5W</v>
          </cell>
          <cell r="P2016" t="str">
            <v>PONFCS</v>
          </cell>
          <cell r="Q2016" t="str">
            <v>/  /</v>
          </cell>
        </row>
        <row r="2017">
          <cell r="A2017">
            <v>4577371</v>
          </cell>
          <cell r="B2017">
            <v>44175</v>
          </cell>
          <cell r="C2017" t="str">
            <v>PON</v>
          </cell>
          <cell r="D2017">
            <v>641006003</v>
          </cell>
          <cell r="E2017" t="str">
            <v>F21 IZ MAX DISC 9.9 54 M L/GRY</v>
          </cell>
          <cell r="F2017">
            <v>1</v>
          </cell>
          <cell r="G2017">
            <v>0</v>
          </cell>
          <cell r="I2017" t="str">
            <v>JI082</v>
          </cell>
          <cell r="L2017">
            <v>13.1</v>
          </cell>
          <cell r="M2017">
            <v>0.23499999999999999</v>
          </cell>
          <cell r="N2017" t="str">
            <v>5W</v>
          </cell>
          <cell r="P2017" t="str">
            <v>PONFCS</v>
          </cell>
          <cell r="Q2017" t="str">
            <v>/  /</v>
          </cell>
        </row>
        <row r="2018">
          <cell r="A2018">
            <v>4577372</v>
          </cell>
          <cell r="B2018">
            <v>44175</v>
          </cell>
          <cell r="C2018" t="str">
            <v>PON</v>
          </cell>
          <cell r="D2018">
            <v>641006003</v>
          </cell>
          <cell r="E2018" t="str">
            <v>F21 IZ MAX DISC 9.9 54 M L/GRY</v>
          </cell>
          <cell r="F2018">
            <v>1</v>
          </cell>
          <cell r="G2018">
            <v>0</v>
          </cell>
          <cell r="I2018" t="str">
            <v>JI082</v>
          </cell>
          <cell r="L2018">
            <v>13.1</v>
          </cell>
          <cell r="M2018">
            <v>0.23499999999999999</v>
          </cell>
          <cell r="N2018" t="str">
            <v>5W</v>
          </cell>
          <cell r="P2018" t="str">
            <v>PONFCS</v>
          </cell>
          <cell r="Q2018" t="str">
            <v>/  /</v>
          </cell>
        </row>
        <row r="2019">
          <cell r="A2019">
            <v>4577373</v>
          </cell>
          <cell r="B2019">
            <v>44175</v>
          </cell>
          <cell r="C2019" t="str">
            <v>PON</v>
          </cell>
          <cell r="D2019">
            <v>641006003</v>
          </cell>
          <cell r="E2019" t="str">
            <v>F21 IZ MAX DISC 9.9 54 M L/GRY</v>
          </cell>
          <cell r="F2019">
            <v>1</v>
          </cell>
          <cell r="G2019">
            <v>0</v>
          </cell>
          <cell r="I2019" t="str">
            <v>JI082</v>
          </cell>
          <cell r="L2019">
            <v>13.1</v>
          </cell>
          <cell r="M2019">
            <v>0.23499999999999999</v>
          </cell>
          <cell r="N2019" t="str">
            <v>5W</v>
          </cell>
          <cell r="P2019" t="str">
            <v>PONFCS</v>
          </cell>
          <cell r="Q2019" t="str">
            <v>/  /</v>
          </cell>
        </row>
        <row r="2020">
          <cell r="A2020">
            <v>4577374</v>
          </cell>
          <cell r="B2020">
            <v>44175</v>
          </cell>
          <cell r="C2020" t="str">
            <v>PON</v>
          </cell>
          <cell r="D2020">
            <v>641006003</v>
          </cell>
          <cell r="E2020" t="str">
            <v>F21 IZ MAX DISC 9.9 54 M L/GRY</v>
          </cell>
          <cell r="F2020">
            <v>1</v>
          </cell>
          <cell r="G2020">
            <v>0</v>
          </cell>
          <cell r="I2020" t="str">
            <v>JI082</v>
          </cell>
          <cell r="L2020">
            <v>13.1</v>
          </cell>
          <cell r="M2020">
            <v>0.23499999999999999</v>
          </cell>
          <cell r="N2020" t="str">
            <v>5W</v>
          </cell>
          <cell r="P2020" t="str">
            <v>PONFCS</v>
          </cell>
          <cell r="Q2020" t="str">
            <v>/  /</v>
          </cell>
        </row>
        <row r="2021">
          <cell r="A2021">
            <v>4577389</v>
          </cell>
          <cell r="B2021">
            <v>44175</v>
          </cell>
          <cell r="C2021" t="str">
            <v>PON</v>
          </cell>
          <cell r="D2021">
            <v>641006030</v>
          </cell>
          <cell r="E2021" t="str">
            <v>F21 IZ MAX DISC 9.6 47 XXS R/R</v>
          </cell>
          <cell r="F2021">
            <v>1</v>
          </cell>
          <cell r="G2021">
            <v>0</v>
          </cell>
          <cell r="I2021" t="str">
            <v>JI082</v>
          </cell>
          <cell r="L2021">
            <v>13.2</v>
          </cell>
          <cell r="M2021">
            <v>0.214</v>
          </cell>
          <cell r="N2021" t="str">
            <v>5W</v>
          </cell>
          <cell r="P2021" t="str">
            <v>PONFCS</v>
          </cell>
          <cell r="Q2021" t="str">
            <v>/  /</v>
          </cell>
        </row>
        <row r="2022">
          <cell r="A2022">
            <v>4577365</v>
          </cell>
          <cell r="B2022">
            <v>44175</v>
          </cell>
          <cell r="C2022" t="str">
            <v>PON</v>
          </cell>
          <cell r="D2022">
            <v>641006002</v>
          </cell>
          <cell r="E2022" t="str">
            <v>F21 IZ MAX DISC 9.9 52 S L/GRY</v>
          </cell>
          <cell r="F2022">
            <v>1</v>
          </cell>
          <cell r="G2022">
            <v>0</v>
          </cell>
          <cell r="I2022" t="str">
            <v>JI091</v>
          </cell>
          <cell r="L2022">
            <v>13.1</v>
          </cell>
          <cell r="M2022">
            <v>0.23499999999999999</v>
          </cell>
          <cell r="N2022" t="str">
            <v>5W</v>
          </cell>
          <cell r="P2022" t="str">
            <v>PONFCS</v>
          </cell>
          <cell r="Q2022" t="str">
            <v>/  /</v>
          </cell>
        </row>
        <row r="2023">
          <cell r="A2023">
            <v>4577366</v>
          </cell>
          <cell r="B2023">
            <v>44175</v>
          </cell>
          <cell r="C2023" t="str">
            <v>PON</v>
          </cell>
          <cell r="D2023">
            <v>641006002</v>
          </cell>
          <cell r="E2023" t="str">
            <v>F21 IZ MAX DISC 9.9 52 S L/GRY</v>
          </cell>
          <cell r="F2023">
            <v>1</v>
          </cell>
          <cell r="G2023">
            <v>0</v>
          </cell>
          <cell r="I2023" t="str">
            <v>JI091</v>
          </cell>
          <cell r="L2023">
            <v>13.1</v>
          </cell>
          <cell r="M2023">
            <v>0.23499999999999999</v>
          </cell>
          <cell r="N2023" t="str">
            <v>5W</v>
          </cell>
          <cell r="P2023" t="str">
            <v>PONFCS</v>
          </cell>
          <cell r="Q2023" t="str">
            <v>/  /</v>
          </cell>
        </row>
        <row r="2024">
          <cell r="A2024">
            <v>4577367</v>
          </cell>
          <cell r="B2024">
            <v>44175</v>
          </cell>
          <cell r="C2024" t="str">
            <v>PON</v>
          </cell>
          <cell r="D2024">
            <v>641006002</v>
          </cell>
          <cell r="E2024" t="str">
            <v>F21 IZ MAX DISC 9.9 52 S L/GRY</v>
          </cell>
          <cell r="F2024">
            <v>1</v>
          </cell>
          <cell r="G2024">
            <v>0</v>
          </cell>
          <cell r="I2024" t="str">
            <v>JI091</v>
          </cell>
          <cell r="L2024">
            <v>13.1</v>
          </cell>
          <cell r="M2024">
            <v>0.23499999999999999</v>
          </cell>
          <cell r="N2024" t="str">
            <v>5W</v>
          </cell>
          <cell r="P2024" t="str">
            <v>PONFCS</v>
          </cell>
          <cell r="Q2024" t="str">
            <v>/  /</v>
          </cell>
        </row>
        <row r="2025">
          <cell r="A2025">
            <v>4577368</v>
          </cell>
          <cell r="B2025">
            <v>44175</v>
          </cell>
          <cell r="C2025" t="str">
            <v>PON</v>
          </cell>
          <cell r="D2025">
            <v>641006002</v>
          </cell>
          <cell r="E2025" t="str">
            <v>F21 IZ MAX DISC 9.9 52 S L/GRY</v>
          </cell>
          <cell r="F2025">
            <v>1</v>
          </cell>
          <cell r="G2025">
            <v>0</v>
          </cell>
          <cell r="I2025" t="str">
            <v>JI091</v>
          </cell>
          <cell r="L2025">
            <v>13.1</v>
          </cell>
          <cell r="M2025">
            <v>0.23499999999999999</v>
          </cell>
          <cell r="N2025" t="str">
            <v>5W</v>
          </cell>
          <cell r="P2025" t="str">
            <v>PONFCS</v>
          </cell>
          <cell r="Q2025" t="str">
            <v>/  /</v>
          </cell>
        </row>
        <row r="2026">
          <cell r="A2026">
            <v>4577375</v>
          </cell>
          <cell r="B2026">
            <v>44175</v>
          </cell>
          <cell r="C2026" t="str">
            <v>PON</v>
          </cell>
          <cell r="D2026">
            <v>641006003</v>
          </cell>
          <cell r="E2026" t="str">
            <v>F21 IZ MAX DISC 9.9 54 M L/GRY</v>
          </cell>
          <cell r="F2026">
            <v>1</v>
          </cell>
          <cell r="G2026">
            <v>0</v>
          </cell>
          <cell r="I2026" t="str">
            <v>JI091</v>
          </cell>
          <cell r="L2026">
            <v>13.1</v>
          </cell>
          <cell r="M2026">
            <v>0.23499999999999999</v>
          </cell>
          <cell r="N2026" t="str">
            <v>5W</v>
          </cell>
          <cell r="P2026" t="str">
            <v>PONFCS</v>
          </cell>
          <cell r="Q2026" t="str">
            <v>/  /</v>
          </cell>
        </row>
        <row r="2027">
          <cell r="A2027">
            <v>4577376</v>
          </cell>
          <cell r="B2027">
            <v>44175</v>
          </cell>
          <cell r="C2027" t="str">
            <v>PON</v>
          </cell>
          <cell r="D2027">
            <v>641006003</v>
          </cell>
          <cell r="E2027" t="str">
            <v>F21 IZ MAX DISC 9.9 54 M L/GRY</v>
          </cell>
          <cell r="F2027">
            <v>1</v>
          </cell>
          <cell r="G2027">
            <v>0</v>
          </cell>
          <cell r="I2027" t="str">
            <v>JI091</v>
          </cell>
          <cell r="L2027">
            <v>13.1</v>
          </cell>
          <cell r="M2027">
            <v>0.23499999999999999</v>
          </cell>
          <cell r="N2027" t="str">
            <v>5W</v>
          </cell>
          <cell r="P2027" t="str">
            <v>PONFCS</v>
          </cell>
          <cell r="Q2027" t="str">
            <v>/  /</v>
          </cell>
        </row>
        <row r="2028">
          <cell r="A2028">
            <v>4577213</v>
          </cell>
          <cell r="B2028">
            <v>44175</v>
          </cell>
          <cell r="C2028" t="str">
            <v>PON</v>
          </cell>
          <cell r="D2028">
            <v>637006021</v>
          </cell>
          <cell r="E2028" t="str">
            <v>F20 IZ Max Disc 9.7 AXS 50 XS</v>
          </cell>
          <cell r="F2028">
            <v>1</v>
          </cell>
          <cell r="G2028">
            <v>0</v>
          </cell>
          <cell r="I2028" t="str">
            <v>JI092</v>
          </cell>
          <cell r="L2028">
            <v>13.4</v>
          </cell>
          <cell r="M2028">
            <v>0.214</v>
          </cell>
          <cell r="N2028" t="str">
            <v>5W</v>
          </cell>
          <cell r="P2028" t="str">
            <v>PONFCS</v>
          </cell>
          <cell r="Q2028" t="str">
            <v>/  /</v>
          </cell>
        </row>
        <row r="2029">
          <cell r="A2029">
            <v>4577214</v>
          </cell>
          <cell r="B2029">
            <v>44175</v>
          </cell>
          <cell r="C2029" t="str">
            <v>PON</v>
          </cell>
          <cell r="D2029">
            <v>637006021</v>
          </cell>
          <cell r="E2029" t="str">
            <v>F20 IZ Max Disc 9.7 AXS 50 XS</v>
          </cell>
          <cell r="F2029">
            <v>1</v>
          </cell>
          <cell r="G2029">
            <v>0</v>
          </cell>
          <cell r="I2029" t="str">
            <v>JI092</v>
          </cell>
          <cell r="L2029">
            <v>13.4</v>
          </cell>
          <cell r="M2029">
            <v>0.214</v>
          </cell>
          <cell r="N2029" t="str">
            <v>5W</v>
          </cell>
          <cell r="P2029" t="str">
            <v>PONFCS</v>
          </cell>
          <cell r="Q2029" t="str">
            <v>/  /</v>
          </cell>
        </row>
        <row r="2030">
          <cell r="A2030">
            <v>4577223</v>
          </cell>
          <cell r="B2030">
            <v>44175</v>
          </cell>
          <cell r="C2030" t="str">
            <v>PON</v>
          </cell>
          <cell r="D2030">
            <v>637006025</v>
          </cell>
          <cell r="E2030" t="str">
            <v>F20 IZ Max Disc 9.7 AXS 58 XL</v>
          </cell>
          <cell r="F2030">
            <v>1</v>
          </cell>
          <cell r="G2030">
            <v>0</v>
          </cell>
          <cell r="I2030" t="str">
            <v>JI092</v>
          </cell>
          <cell r="L2030">
            <v>13.9</v>
          </cell>
          <cell r="M2030">
            <v>0.25</v>
          </cell>
          <cell r="N2030" t="str">
            <v>5W</v>
          </cell>
          <cell r="P2030" t="str">
            <v>PONFCS</v>
          </cell>
          <cell r="Q2030" t="str">
            <v>/  /</v>
          </cell>
        </row>
        <row r="2031">
          <cell r="A2031">
            <v>4577359</v>
          </cell>
          <cell r="B2031">
            <v>44175</v>
          </cell>
          <cell r="C2031" t="str">
            <v>PON</v>
          </cell>
          <cell r="D2031">
            <v>641006000</v>
          </cell>
          <cell r="E2031" t="str">
            <v>F21 IZ MAX DISC 9.9 47 XXS L/G</v>
          </cell>
          <cell r="F2031">
            <v>1</v>
          </cell>
          <cell r="G2031">
            <v>0</v>
          </cell>
          <cell r="I2031" t="str">
            <v>JI092</v>
          </cell>
          <cell r="L2031">
            <v>13.9</v>
          </cell>
          <cell r="M2031">
            <v>0.22600000000000001</v>
          </cell>
          <cell r="N2031" t="str">
            <v>5W</v>
          </cell>
          <cell r="P2031" t="str">
            <v>PONFCS</v>
          </cell>
          <cell r="Q2031" t="str">
            <v>/  /</v>
          </cell>
        </row>
        <row r="2032">
          <cell r="A2032">
            <v>4577378</v>
          </cell>
          <cell r="B2032">
            <v>44175</v>
          </cell>
          <cell r="C2032" t="str">
            <v>PON</v>
          </cell>
          <cell r="D2032">
            <v>641006004</v>
          </cell>
          <cell r="E2032" t="str">
            <v>F21 IZ MAX DISC 9.9 56 L L/GRY</v>
          </cell>
          <cell r="F2032">
            <v>1</v>
          </cell>
          <cell r="G2032">
            <v>0</v>
          </cell>
          <cell r="I2032" t="str">
            <v>JI092</v>
          </cell>
          <cell r="L2032">
            <v>13.1</v>
          </cell>
          <cell r="M2032">
            <v>0.22700000000000001</v>
          </cell>
          <cell r="N2032" t="str">
            <v>5W</v>
          </cell>
          <cell r="P2032" t="str">
            <v>PONFCS</v>
          </cell>
          <cell r="Q2032" t="str">
            <v>/  /</v>
          </cell>
        </row>
        <row r="2033">
          <cell r="A2033">
            <v>4577382</v>
          </cell>
          <cell r="B2033">
            <v>44175</v>
          </cell>
          <cell r="C2033" t="str">
            <v>PON</v>
          </cell>
          <cell r="D2033">
            <v>641006004</v>
          </cell>
          <cell r="E2033" t="str">
            <v>F21 IZ MAX DISC 9.9 56 L L/GRY</v>
          </cell>
          <cell r="F2033">
            <v>1</v>
          </cell>
          <cell r="G2033">
            <v>0</v>
          </cell>
          <cell r="I2033" t="str">
            <v>JI092</v>
          </cell>
          <cell r="L2033">
            <v>13.1</v>
          </cell>
          <cell r="M2033">
            <v>0.22700000000000001</v>
          </cell>
          <cell r="N2033" t="str">
            <v>5W</v>
          </cell>
          <cell r="P2033" t="str">
            <v>PONFCS</v>
          </cell>
          <cell r="Q2033" t="str">
            <v>/  /</v>
          </cell>
        </row>
        <row r="2034">
          <cell r="A2034">
            <v>4037641</v>
          </cell>
          <cell r="B2034">
            <v>43851</v>
          </cell>
          <cell r="C2034" t="str">
            <v>PON</v>
          </cell>
          <cell r="D2034">
            <v>614508153</v>
          </cell>
          <cell r="E2034" t="str">
            <v>FC F14 F/S Raven 1.0 29R LG 54</v>
          </cell>
          <cell r="F2034">
            <v>1</v>
          </cell>
          <cell r="G2034">
            <v>0</v>
          </cell>
          <cell r="I2034" t="str">
            <v>JI101</v>
          </cell>
          <cell r="L2034">
            <v>4.4000000000000004</v>
          </cell>
          <cell r="M2034">
            <v>0.14199999999999999</v>
          </cell>
          <cell r="N2034" t="str">
            <v>5W</v>
          </cell>
          <cell r="P2034" t="str">
            <v>PONFCS</v>
          </cell>
          <cell r="Q2034" t="str">
            <v>/  /</v>
          </cell>
        </row>
        <row r="2035">
          <cell r="A2035">
            <v>4577361</v>
          </cell>
          <cell r="B2035">
            <v>44175</v>
          </cell>
          <cell r="C2035" t="str">
            <v>PON</v>
          </cell>
          <cell r="D2035">
            <v>641006001</v>
          </cell>
          <cell r="E2035" t="str">
            <v>F21 IZ MAX DISC 9.9 50 XS L/GR</v>
          </cell>
          <cell r="F2035">
            <v>1</v>
          </cell>
          <cell r="G2035">
            <v>0</v>
          </cell>
          <cell r="I2035" t="str">
            <v>JI101</v>
          </cell>
          <cell r="L2035">
            <v>13.1</v>
          </cell>
          <cell r="M2035">
            <v>0.221</v>
          </cell>
          <cell r="N2035" t="str">
            <v>5W</v>
          </cell>
          <cell r="P2035" t="str">
            <v>PONFCS</v>
          </cell>
          <cell r="Q2035" t="str">
            <v>/  /</v>
          </cell>
        </row>
        <row r="2036">
          <cell r="A2036">
            <v>4577362</v>
          </cell>
          <cell r="B2036">
            <v>44175</v>
          </cell>
          <cell r="C2036" t="str">
            <v>PON</v>
          </cell>
          <cell r="D2036">
            <v>641006001</v>
          </cell>
          <cell r="E2036" t="str">
            <v>F21 IZ MAX DISC 9.9 50 XS L/GR</v>
          </cell>
          <cell r="F2036">
            <v>1</v>
          </cell>
          <cell r="G2036">
            <v>0</v>
          </cell>
          <cell r="I2036" t="str">
            <v>JI101</v>
          </cell>
          <cell r="L2036">
            <v>13.1</v>
          </cell>
          <cell r="M2036">
            <v>0.221</v>
          </cell>
          <cell r="N2036" t="str">
            <v>5W</v>
          </cell>
          <cell r="P2036" t="str">
            <v>PONFCS</v>
          </cell>
          <cell r="Q2036" t="str">
            <v>/  /</v>
          </cell>
        </row>
        <row r="2037">
          <cell r="A2037">
            <v>4577363</v>
          </cell>
          <cell r="B2037">
            <v>44175</v>
          </cell>
          <cell r="C2037" t="str">
            <v>PON</v>
          </cell>
          <cell r="D2037">
            <v>641006001</v>
          </cell>
          <cell r="E2037" t="str">
            <v>F21 IZ MAX DISC 9.9 50 XS L/GR</v>
          </cell>
          <cell r="F2037">
            <v>1</v>
          </cell>
          <cell r="G2037">
            <v>0</v>
          </cell>
          <cell r="I2037" t="str">
            <v>JI101</v>
          </cell>
          <cell r="L2037">
            <v>13.1</v>
          </cell>
          <cell r="M2037">
            <v>0.221</v>
          </cell>
          <cell r="N2037" t="str">
            <v>5W</v>
          </cell>
          <cell r="P2037" t="str">
            <v>PONFCS</v>
          </cell>
          <cell r="Q2037" t="str">
            <v>/  /</v>
          </cell>
        </row>
        <row r="2038">
          <cell r="A2038">
            <v>3855702</v>
          </cell>
          <cell r="B2038">
            <v>43727</v>
          </cell>
          <cell r="C2038" t="str">
            <v>PON</v>
          </cell>
          <cell r="D2038">
            <v>637078298</v>
          </cell>
          <cell r="E2038" t="str">
            <v>CVC20 PXSeries DADi2 SMTealNvy</v>
          </cell>
          <cell r="F2038">
            <v>1</v>
          </cell>
          <cell r="G2038">
            <v>0</v>
          </cell>
          <cell r="I2038" t="str">
            <v>JI102</v>
          </cell>
          <cell r="L2038">
            <v>15.9</v>
          </cell>
          <cell r="M2038">
            <v>0.23300000000000001</v>
          </cell>
          <cell r="N2038" t="str">
            <v>5W</v>
          </cell>
          <cell r="P2038" t="str">
            <v>PONCVL</v>
          </cell>
          <cell r="Q2038" t="str">
            <v>/  /</v>
          </cell>
        </row>
        <row r="2039">
          <cell r="A2039">
            <v>4577379</v>
          </cell>
          <cell r="B2039">
            <v>44175</v>
          </cell>
          <cell r="C2039" t="str">
            <v>PON</v>
          </cell>
          <cell r="D2039">
            <v>641006004</v>
          </cell>
          <cell r="E2039" t="str">
            <v>F21 IZ MAX DISC 9.9 56 L L/GRY</v>
          </cell>
          <cell r="F2039">
            <v>1</v>
          </cell>
          <cell r="G2039">
            <v>0</v>
          </cell>
          <cell r="I2039" t="str">
            <v>JI102</v>
          </cell>
          <cell r="L2039">
            <v>13.1</v>
          </cell>
          <cell r="M2039">
            <v>0.22700000000000001</v>
          </cell>
          <cell r="N2039" t="str">
            <v>5W</v>
          </cell>
          <cell r="P2039" t="str">
            <v>PONFCS</v>
          </cell>
          <cell r="Q2039" t="str">
            <v>/  /</v>
          </cell>
        </row>
        <row r="2040">
          <cell r="A2040">
            <v>4577380</v>
          </cell>
          <cell r="B2040">
            <v>44175</v>
          </cell>
          <cell r="C2040" t="str">
            <v>PON</v>
          </cell>
          <cell r="D2040">
            <v>641006004</v>
          </cell>
          <cell r="E2040" t="str">
            <v>F21 IZ MAX DISC 9.9 56 L L/GRY</v>
          </cell>
          <cell r="F2040">
            <v>1</v>
          </cell>
          <cell r="G2040">
            <v>0</v>
          </cell>
          <cell r="I2040" t="str">
            <v>JI102</v>
          </cell>
          <cell r="L2040">
            <v>13.1</v>
          </cell>
          <cell r="M2040">
            <v>0.22700000000000001</v>
          </cell>
          <cell r="N2040" t="str">
            <v>5W</v>
          </cell>
          <cell r="P2040" t="str">
            <v>PONFCS</v>
          </cell>
          <cell r="Q2040" t="str">
            <v>/  /</v>
          </cell>
        </row>
        <row r="2041">
          <cell r="A2041">
            <v>4577381</v>
          </cell>
          <cell r="B2041">
            <v>44175</v>
          </cell>
          <cell r="C2041" t="str">
            <v>PON</v>
          </cell>
          <cell r="D2041">
            <v>641006004</v>
          </cell>
          <cell r="E2041" t="str">
            <v>F21 IZ MAX DISC 9.9 56 L L/GRY</v>
          </cell>
          <cell r="F2041">
            <v>1</v>
          </cell>
          <cell r="G2041">
            <v>0</v>
          </cell>
          <cell r="I2041" t="str">
            <v>JI102</v>
          </cell>
          <cell r="L2041">
            <v>13.1</v>
          </cell>
          <cell r="M2041">
            <v>0.22700000000000001</v>
          </cell>
          <cell r="N2041" t="str">
            <v>5W</v>
          </cell>
          <cell r="P2041" t="str">
            <v>PONFCS</v>
          </cell>
          <cell r="Q2041" t="str">
            <v>/  /</v>
          </cell>
        </row>
        <row r="2042">
          <cell r="A2042">
            <v>4413369</v>
          </cell>
          <cell r="B2042">
            <v>44082</v>
          </cell>
          <cell r="C2042" t="str">
            <v>PON</v>
          </cell>
          <cell r="D2042">
            <v>641078158</v>
          </cell>
          <cell r="E2042" t="str">
            <v>C21 P/Srs Frc Etap Carbn/Blk54</v>
          </cell>
          <cell r="F2042">
            <v>1</v>
          </cell>
          <cell r="G2042">
            <v>0</v>
          </cell>
          <cell r="I2042" t="str">
            <v>JI112</v>
          </cell>
          <cell r="L2042">
            <v>15</v>
          </cell>
          <cell r="M2042">
            <v>0.24399999999999999</v>
          </cell>
          <cell r="N2042" t="str">
            <v>5W</v>
          </cell>
          <cell r="P2042" t="str">
            <v>PONCVL</v>
          </cell>
          <cell r="Q2042" t="str">
            <v>/  /</v>
          </cell>
        </row>
        <row r="2043">
          <cell r="A2043">
            <v>4413370</v>
          </cell>
          <cell r="B2043">
            <v>44082</v>
          </cell>
          <cell r="C2043" t="str">
            <v>PON</v>
          </cell>
          <cell r="D2043">
            <v>641078158</v>
          </cell>
          <cell r="E2043" t="str">
            <v>C21 P/Srs Frc Etap Carbn/Blk54</v>
          </cell>
          <cell r="F2043">
            <v>1</v>
          </cell>
          <cell r="G2043">
            <v>0</v>
          </cell>
          <cell r="I2043" t="str">
            <v>JI112</v>
          </cell>
          <cell r="L2043">
            <v>15</v>
          </cell>
          <cell r="M2043">
            <v>0.24399999999999999</v>
          </cell>
          <cell r="N2043" t="str">
            <v>5W</v>
          </cell>
          <cell r="P2043" t="str">
            <v>PONCVL</v>
          </cell>
          <cell r="Q2043" t="str">
            <v>/  /</v>
          </cell>
        </row>
        <row r="2044">
          <cell r="A2044">
            <v>4413371</v>
          </cell>
          <cell r="B2044">
            <v>44082</v>
          </cell>
          <cell r="C2044" t="str">
            <v>PON</v>
          </cell>
          <cell r="D2044">
            <v>641078158</v>
          </cell>
          <cell r="E2044" t="str">
            <v>C21 P/Srs Frc Etap Carbn/Blk54</v>
          </cell>
          <cell r="F2044">
            <v>1</v>
          </cell>
          <cell r="G2044">
            <v>0</v>
          </cell>
          <cell r="I2044" t="str">
            <v>JI112</v>
          </cell>
          <cell r="L2044">
            <v>15</v>
          </cell>
          <cell r="M2044">
            <v>0.24399999999999999</v>
          </cell>
          <cell r="N2044" t="str">
            <v>5W</v>
          </cell>
          <cell r="P2044" t="str">
            <v>PONCVL</v>
          </cell>
          <cell r="Q2044" t="str">
            <v>/  /</v>
          </cell>
        </row>
        <row r="2045">
          <cell r="A2045">
            <v>4413372</v>
          </cell>
          <cell r="B2045">
            <v>44082</v>
          </cell>
          <cell r="C2045" t="str">
            <v>PON</v>
          </cell>
          <cell r="D2045">
            <v>641078158</v>
          </cell>
          <cell r="E2045" t="str">
            <v>C21 P/Srs Frc Etap Carbn/Blk54</v>
          </cell>
          <cell r="F2045">
            <v>1</v>
          </cell>
          <cell r="G2045">
            <v>0</v>
          </cell>
          <cell r="I2045" t="str">
            <v>JI112</v>
          </cell>
          <cell r="L2045">
            <v>15</v>
          </cell>
          <cell r="M2045">
            <v>0.24399999999999999</v>
          </cell>
          <cell r="N2045" t="str">
            <v>5W</v>
          </cell>
          <cell r="P2045" t="str">
            <v>PONCVL</v>
          </cell>
          <cell r="Q2045" t="str">
            <v>/  /</v>
          </cell>
        </row>
        <row r="2046">
          <cell r="A2046">
            <v>3951695</v>
          </cell>
          <cell r="B2046">
            <v>43789</v>
          </cell>
          <cell r="C2046" t="str">
            <v>PON</v>
          </cell>
          <cell r="D2046">
            <v>628078192</v>
          </cell>
          <cell r="E2046" t="str">
            <v>C18 R5 DA 9100 54 MD</v>
          </cell>
          <cell r="F2046">
            <v>1</v>
          </cell>
          <cell r="G2046">
            <v>0</v>
          </cell>
          <cell r="I2046" t="str">
            <v>JI122</v>
          </cell>
          <cell r="L2046">
            <v>12</v>
          </cell>
          <cell r="M2046">
            <v>0.20599999999999999</v>
          </cell>
          <cell r="N2046" t="str">
            <v>5W</v>
          </cell>
          <cell r="P2046" t="str">
            <v>PONCVL</v>
          </cell>
          <cell r="Q2046" t="str">
            <v>/  /</v>
          </cell>
        </row>
        <row r="2047">
          <cell r="A2047">
            <v>4087384</v>
          </cell>
          <cell r="B2047">
            <v>43789</v>
          </cell>
          <cell r="C2047" t="str">
            <v>PON</v>
          </cell>
          <cell r="D2047">
            <v>628078192</v>
          </cell>
          <cell r="E2047" t="str">
            <v>C18 R5 DA 9100 54 MD</v>
          </cell>
          <cell r="F2047">
            <v>1</v>
          </cell>
          <cell r="G2047">
            <v>0</v>
          </cell>
          <cell r="I2047" t="str">
            <v>JI122</v>
          </cell>
          <cell r="L2047">
            <v>12</v>
          </cell>
          <cell r="M2047">
            <v>0.20599999999999999</v>
          </cell>
          <cell r="N2047" t="str">
            <v>5W</v>
          </cell>
          <cell r="P2047" t="str">
            <v>PONCVL</v>
          </cell>
          <cell r="Q2047" t="str">
            <v>/  /</v>
          </cell>
        </row>
        <row r="2048">
          <cell r="A2048">
            <v>4088688</v>
          </cell>
          <cell r="B2048">
            <v>43789</v>
          </cell>
          <cell r="C2048" t="str">
            <v>PON</v>
          </cell>
          <cell r="D2048">
            <v>628078192</v>
          </cell>
          <cell r="E2048" t="str">
            <v>C18 R5 DA 9100 54 MD</v>
          </cell>
          <cell r="F2048">
            <v>1</v>
          </cell>
          <cell r="G2048">
            <v>0</v>
          </cell>
          <cell r="I2048" t="str">
            <v>JI122</v>
          </cell>
          <cell r="L2048">
            <v>12</v>
          </cell>
          <cell r="M2048">
            <v>0.20599999999999999</v>
          </cell>
          <cell r="N2048" t="str">
            <v>5W</v>
          </cell>
          <cell r="P2048" t="str">
            <v>PONCVL</v>
          </cell>
          <cell r="Q2048" t="str">
            <v>/  /</v>
          </cell>
        </row>
        <row r="2049">
          <cell r="A2049">
            <v>3937793</v>
          </cell>
          <cell r="B2049">
            <v>43782</v>
          </cell>
          <cell r="C2049" t="str">
            <v>PON</v>
          </cell>
          <cell r="D2049">
            <v>633078041</v>
          </cell>
          <cell r="E2049" t="str">
            <v>CV C19R5 DscDA Di2 51CMBlk/Gph</v>
          </cell>
          <cell r="F2049">
            <v>1</v>
          </cell>
          <cell r="G2049">
            <v>0</v>
          </cell>
          <cell r="I2049" t="str">
            <v>JI132</v>
          </cell>
          <cell r="L2049">
            <v>12.6</v>
          </cell>
          <cell r="M2049">
            <v>0.215</v>
          </cell>
          <cell r="N2049" t="str">
            <v>5W</v>
          </cell>
          <cell r="P2049" t="str">
            <v>PONCVL</v>
          </cell>
          <cell r="Q2049" t="str">
            <v>/  /</v>
          </cell>
        </row>
        <row r="2050">
          <cell r="A2050">
            <v>4086167</v>
          </cell>
          <cell r="B2050">
            <v>43782</v>
          </cell>
          <cell r="C2050" t="str">
            <v>PON</v>
          </cell>
          <cell r="D2050">
            <v>633078041</v>
          </cell>
          <cell r="E2050" t="str">
            <v>CV C19R5 DscDA Di2 51CMBlk/Gph</v>
          </cell>
          <cell r="F2050">
            <v>1</v>
          </cell>
          <cell r="G2050">
            <v>0</v>
          </cell>
          <cell r="I2050" t="str">
            <v>JI132</v>
          </cell>
          <cell r="L2050">
            <v>12.6</v>
          </cell>
          <cell r="M2050">
            <v>0.215</v>
          </cell>
          <cell r="N2050" t="str">
            <v>5W</v>
          </cell>
          <cell r="P2050" t="str">
            <v>PONCVL</v>
          </cell>
          <cell r="Q2050" t="str">
            <v>/  /</v>
          </cell>
        </row>
        <row r="2051">
          <cell r="A2051">
            <v>4087538</v>
          </cell>
          <cell r="B2051">
            <v>43782</v>
          </cell>
          <cell r="C2051" t="str">
            <v>PON</v>
          </cell>
          <cell r="D2051">
            <v>633078041</v>
          </cell>
          <cell r="E2051" t="str">
            <v>CV C19R5 DscDA Di2 51CMBlk/Gph</v>
          </cell>
          <cell r="F2051">
            <v>1</v>
          </cell>
          <cell r="G2051">
            <v>0</v>
          </cell>
          <cell r="I2051" t="str">
            <v>JI132</v>
          </cell>
          <cell r="L2051">
            <v>12.6</v>
          </cell>
          <cell r="M2051">
            <v>0.215</v>
          </cell>
          <cell r="N2051" t="str">
            <v>5W</v>
          </cell>
          <cell r="P2051" t="str">
            <v>PONCVL</v>
          </cell>
          <cell r="Q2051" t="str">
            <v>/  /</v>
          </cell>
        </row>
        <row r="2052">
          <cell r="A2052">
            <v>4088976</v>
          </cell>
          <cell r="B2052">
            <v>43782</v>
          </cell>
          <cell r="C2052" t="str">
            <v>PON</v>
          </cell>
          <cell r="D2052">
            <v>633078041</v>
          </cell>
          <cell r="E2052" t="str">
            <v>CV C19R5 DscDA Di2 51CMBlk/Gph</v>
          </cell>
          <cell r="F2052">
            <v>1</v>
          </cell>
          <cell r="G2052">
            <v>0</v>
          </cell>
          <cell r="I2052" t="str">
            <v>JI132</v>
          </cell>
          <cell r="L2052">
            <v>12.6</v>
          </cell>
          <cell r="M2052">
            <v>0.215</v>
          </cell>
          <cell r="N2052" t="str">
            <v>5W</v>
          </cell>
          <cell r="P2052" t="str">
            <v>PONCVL</v>
          </cell>
          <cell r="Q2052" t="str">
            <v>/  /</v>
          </cell>
        </row>
        <row r="2053">
          <cell r="A2053">
            <v>3874796</v>
          </cell>
          <cell r="B2053">
            <v>43731</v>
          </cell>
          <cell r="C2053" t="str">
            <v>PON</v>
          </cell>
          <cell r="D2053">
            <v>197017000</v>
          </cell>
          <cell r="E2053" t="str">
            <v>F Touring Backpack 14p/c</v>
          </cell>
          <cell r="F2053">
            <v>1</v>
          </cell>
          <cell r="G2053">
            <v>0.01</v>
          </cell>
          <cell r="I2053" t="str">
            <v>JI155</v>
          </cell>
          <cell r="L2053">
            <v>1.1429</v>
          </cell>
          <cell r="M2053">
            <v>1.15E-2</v>
          </cell>
          <cell r="N2053" t="str">
            <v>5W</v>
          </cell>
          <cell r="P2053" t="str">
            <v>PONACC</v>
          </cell>
          <cell r="Q2053" t="str">
            <v>/  /</v>
          </cell>
        </row>
        <row r="2054">
          <cell r="A2054">
            <v>4080945</v>
          </cell>
          <cell r="B2054">
            <v>43731</v>
          </cell>
          <cell r="C2054" t="str">
            <v>PON</v>
          </cell>
          <cell r="D2054">
            <v>197017000</v>
          </cell>
          <cell r="E2054" t="str">
            <v>F Touring Backpack 14p/c</v>
          </cell>
          <cell r="F2054">
            <v>1</v>
          </cell>
          <cell r="G2054">
            <v>0.01</v>
          </cell>
          <cell r="I2054" t="str">
            <v>JI155</v>
          </cell>
          <cell r="L2054">
            <v>1.1429</v>
          </cell>
          <cell r="M2054">
            <v>1.15E-2</v>
          </cell>
          <cell r="N2054" t="str">
            <v>5W</v>
          </cell>
          <cell r="P2054" t="str">
            <v>PONACC</v>
          </cell>
          <cell r="Q2054" t="str">
            <v>/  /</v>
          </cell>
        </row>
        <row r="2055">
          <cell r="A2055">
            <v>3874792</v>
          </cell>
          <cell r="B2055">
            <v>43731</v>
          </cell>
          <cell r="C2055" t="str">
            <v>PON</v>
          </cell>
          <cell r="D2055">
            <v>197017001</v>
          </cell>
          <cell r="E2055" t="str">
            <v>Business B/Pck Red/Blk/Wht 6pc</v>
          </cell>
          <cell r="F2055">
            <v>36</v>
          </cell>
          <cell r="G2055">
            <v>0.6</v>
          </cell>
          <cell r="I2055" t="str">
            <v>JI155</v>
          </cell>
          <cell r="L2055">
            <v>54</v>
          </cell>
          <cell r="M2055">
            <v>0.94199999999999995</v>
          </cell>
          <cell r="N2055" t="str">
            <v>5W</v>
          </cell>
          <cell r="P2055" t="str">
            <v>PONACC</v>
          </cell>
          <cell r="Q2055" t="str">
            <v>/  /</v>
          </cell>
        </row>
        <row r="2056">
          <cell r="A2056">
            <v>3874794</v>
          </cell>
          <cell r="B2056">
            <v>43731</v>
          </cell>
          <cell r="C2056" t="str">
            <v>PON</v>
          </cell>
          <cell r="D2056">
            <v>197017002</v>
          </cell>
          <cell r="E2056" t="str">
            <v>Duffle Bag Red/Blk/Wht 12p/c</v>
          </cell>
          <cell r="F2056">
            <v>7</v>
          </cell>
          <cell r="G2056">
            <v>7.6999999999999999E-2</v>
          </cell>
          <cell r="I2056" t="str">
            <v>JI155</v>
          </cell>
          <cell r="L2056">
            <v>8.75</v>
          </cell>
          <cell r="M2056">
            <v>0.1038</v>
          </cell>
          <cell r="N2056" t="str">
            <v>5W</v>
          </cell>
          <cell r="P2056" t="str">
            <v>PONACC</v>
          </cell>
          <cell r="Q2056" t="str">
            <v>/  /</v>
          </cell>
        </row>
        <row r="2057">
          <cell r="A2057">
            <v>3879230</v>
          </cell>
          <cell r="B2057">
            <v>43734</v>
          </cell>
          <cell r="C2057" t="str">
            <v>PON</v>
          </cell>
          <cell r="D2057" t="str">
            <v>PWS919</v>
          </cell>
          <cell r="E2057" t="str">
            <v>PON Wall System Part 2</v>
          </cell>
          <cell r="F2057">
            <v>13</v>
          </cell>
          <cell r="G2057">
            <v>0.33</v>
          </cell>
          <cell r="I2057" t="str">
            <v>JI165</v>
          </cell>
          <cell r="L2057">
            <v>39</v>
          </cell>
          <cell r="M2057">
            <v>0.52</v>
          </cell>
          <cell r="N2057" t="str">
            <v>5W</v>
          </cell>
          <cell r="P2057" t="str">
            <v>PONMAR</v>
          </cell>
          <cell r="Q2057" t="str">
            <v>/  /</v>
          </cell>
        </row>
        <row r="2058">
          <cell r="A2058">
            <v>4054495</v>
          </cell>
          <cell r="B2058">
            <v>43847</v>
          </cell>
          <cell r="C2058" t="str">
            <v>PON</v>
          </cell>
          <cell r="D2058" t="str">
            <v>PAL</v>
          </cell>
          <cell r="E2058" t="str">
            <v>Pallet of Misc Stock</v>
          </cell>
          <cell r="F2058">
            <v>1</v>
          </cell>
          <cell r="G2058">
            <v>1</v>
          </cell>
          <cell r="I2058" t="str">
            <v>JI175</v>
          </cell>
          <cell r="L2058">
            <v>0</v>
          </cell>
          <cell r="M2058">
            <v>0</v>
          </cell>
          <cell r="N2058" t="str">
            <v>5W</v>
          </cell>
          <cell r="P2058" t="str">
            <v>PONMAR</v>
          </cell>
          <cell r="Q2058" t="str">
            <v>/  /</v>
          </cell>
        </row>
        <row r="2059">
          <cell r="A2059">
            <v>3995230</v>
          </cell>
          <cell r="B2059">
            <v>43811</v>
          </cell>
          <cell r="C2059" t="str">
            <v>PON</v>
          </cell>
          <cell r="D2059">
            <v>628509103</v>
          </cell>
          <cell r="E2059" t="str">
            <v>FC F18 IZ Max Disc DI2 F/S 54M</v>
          </cell>
          <cell r="F2059">
            <v>1</v>
          </cell>
          <cell r="G2059">
            <v>0</v>
          </cell>
          <cell r="I2059" t="str">
            <v>JJ011</v>
          </cell>
          <cell r="L2059">
            <v>5.4</v>
          </cell>
          <cell r="M2059">
            <v>0.17599999999999999</v>
          </cell>
          <cell r="N2059" t="str">
            <v>5W</v>
          </cell>
          <cell r="P2059" t="str">
            <v>PONFCS</v>
          </cell>
          <cell r="Q2059" t="str">
            <v>/  /</v>
          </cell>
        </row>
        <row r="2060">
          <cell r="A2060">
            <v>4081147</v>
          </cell>
          <cell r="B2060">
            <v>43811</v>
          </cell>
          <cell r="C2060" t="str">
            <v>PON</v>
          </cell>
          <cell r="D2060">
            <v>628509103</v>
          </cell>
          <cell r="E2060" t="str">
            <v>FC F18 IZ Max Disc DI2 F/S 54M</v>
          </cell>
          <cell r="F2060">
            <v>1</v>
          </cell>
          <cell r="G2060">
            <v>0</v>
          </cell>
          <cell r="I2060" t="str">
            <v>JJ011</v>
          </cell>
          <cell r="L2060">
            <v>5.4</v>
          </cell>
          <cell r="M2060">
            <v>0.17599999999999999</v>
          </cell>
          <cell r="N2060" t="str">
            <v>5W</v>
          </cell>
          <cell r="P2060" t="str">
            <v>PONFCS</v>
          </cell>
          <cell r="Q2060" t="str">
            <v>/  /</v>
          </cell>
        </row>
        <row r="2061">
          <cell r="A2061">
            <v>4000653</v>
          </cell>
          <cell r="B2061">
            <v>43815</v>
          </cell>
          <cell r="C2061" t="str">
            <v>PON</v>
          </cell>
          <cell r="D2061">
            <v>628509104</v>
          </cell>
          <cell r="E2061" t="str">
            <v>FC F18 IZ Max Disc DI2 F/S 56L</v>
          </cell>
          <cell r="F2061">
            <v>1</v>
          </cell>
          <cell r="G2061">
            <v>0</v>
          </cell>
          <cell r="I2061" t="str">
            <v>JJ011</v>
          </cell>
          <cell r="L2061">
            <v>4.9000000000000004</v>
          </cell>
          <cell r="M2061">
            <v>1.1519999999999999</v>
          </cell>
          <cell r="N2061" t="str">
            <v>5W</v>
          </cell>
          <cell r="P2061" t="str">
            <v>PONFCS</v>
          </cell>
          <cell r="Q2061" t="str">
            <v>/  /</v>
          </cell>
        </row>
        <row r="2062">
          <cell r="A2062">
            <v>3995234</v>
          </cell>
          <cell r="B2062">
            <v>43811</v>
          </cell>
          <cell r="C2062" t="str">
            <v>PON</v>
          </cell>
          <cell r="D2062">
            <v>628509312</v>
          </cell>
          <cell r="E2062" t="str">
            <v>F18 Iz Max Mech F/S 52cm W/B/R</v>
          </cell>
          <cell r="F2062">
            <v>1</v>
          </cell>
          <cell r="G2062">
            <v>0</v>
          </cell>
          <cell r="I2062" t="str">
            <v>JJ011</v>
          </cell>
          <cell r="L2062">
            <v>5.0999999999999996</v>
          </cell>
          <cell r="M2062">
            <v>0.16200000000000001</v>
          </cell>
          <cell r="N2062" t="str">
            <v>5W</v>
          </cell>
          <cell r="P2062" t="str">
            <v>PONFCS</v>
          </cell>
          <cell r="Q2062" t="str">
            <v>/  /</v>
          </cell>
        </row>
        <row r="2063">
          <cell r="A2063">
            <v>3986085</v>
          </cell>
          <cell r="B2063">
            <v>43808</v>
          </cell>
          <cell r="C2063" t="str">
            <v>PON</v>
          </cell>
          <cell r="D2063">
            <v>620508061</v>
          </cell>
          <cell r="E2063" t="str">
            <v>FC F15 F/S Cayo 3.0 Disc 51 SM</v>
          </cell>
          <cell r="F2063">
            <v>1</v>
          </cell>
          <cell r="G2063">
            <v>0</v>
          </cell>
          <cell r="I2063" t="str">
            <v>JJ012</v>
          </cell>
          <cell r="L2063">
            <v>5.7</v>
          </cell>
          <cell r="M2063">
            <v>0.17299999999999999</v>
          </cell>
          <cell r="N2063" t="str">
            <v>5W</v>
          </cell>
          <cell r="P2063" t="str">
            <v>PONFCS</v>
          </cell>
          <cell r="Q2063" t="str">
            <v>/  /</v>
          </cell>
        </row>
        <row r="2064">
          <cell r="A2064">
            <v>4080999</v>
          </cell>
          <cell r="B2064">
            <v>43808</v>
          </cell>
          <cell r="C2064" t="str">
            <v>PON</v>
          </cell>
          <cell r="D2064">
            <v>620508061</v>
          </cell>
          <cell r="E2064" t="str">
            <v>FC F15 F/S Cayo 3.0 Disc 51 SM</v>
          </cell>
          <cell r="F2064">
            <v>1</v>
          </cell>
          <cell r="G2064">
            <v>0</v>
          </cell>
          <cell r="I2064" t="str">
            <v>JJ012</v>
          </cell>
          <cell r="L2064">
            <v>5.7</v>
          </cell>
          <cell r="M2064">
            <v>0.17299999999999999</v>
          </cell>
          <cell r="N2064" t="str">
            <v>5W</v>
          </cell>
          <cell r="P2064" t="str">
            <v>PONFCS</v>
          </cell>
          <cell r="Q2064" t="str">
            <v>/  /</v>
          </cell>
        </row>
        <row r="2065">
          <cell r="A2065">
            <v>3995228</v>
          </cell>
          <cell r="B2065">
            <v>43811</v>
          </cell>
          <cell r="C2065" t="str">
            <v>PON</v>
          </cell>
          <cell r="D2065">
            <v>628508414</v>
          </cell>
          <cell r="E2065" t="str">
            <v>FC F18 Mares Force 1 F/S 58XL</v>
          </cell>
          <cell r="F2065">
            <v>1</v>
          </cell>
          <cell r="G2065">
            <v>0</v>
          </cell>
          <cell r="I2065" t="str">
            <v>JJ012</v>
          </cell>
          <cell r="L2065">
            <v>6</v>
          </cell>
          <cell r="M2065">
            <v>0.16600000000000001</v>
          </cell>
          <cell r="N2065" t="str">
            <v>5W</v>
          </cell>
          <cell r="P2065" t="str">
            <v>PONFCS</v>
          </cell>
          <cell r="Q2065" t="str">
            <v>/  /</v>
          </cell>
        </row>
        <row r="2066">
          <cell r="A2066">
            <v>3995259</v>
          </cell>
          <cell r="B2066">
            <v>43811</v>
          </cell>
          <cell r="C2066" t="str">
            <v>PON</v>
          </cell>
          <cell r="D2066" t="str">
            <v>FS623016033</v>
          </cell>
          <cell r="E2066" t="str">
            <v>FC F/S F16 IZ Max Disc DI2 54</v>
          </cell>
          <cell r="F2066">
            <v>1</v>
          </cell>
          <cell r="G2066">
            <v>0</v>
          </cell>
          <cell r="I2066" t="str">
            <v>JJ012</v>
          </cell>
          <cell r="L2066">
            <v>4.8</v>
          </cell>
          <cell r="M2066">
            <v>0.13400000000000001</v>
          </cell>
          <cell r="N2066" t="str">
            <v>5W</v>
          </cell>
          <cell r="P2066" t="str">
            <v>PONFCS</v>
          </cell>
          <cell r="Q2066" t="str">
            <v>/  /</v>
          </cell>
        </row>
        <row r="2067">
          <cell r="A2067">
            <v>3986079</v>
          </cell>
          <cell r="B2067">
            <v>43808</v>
          </cell>
          <cell r="C2067" t="str">
            <v>PON</v>
          </cell>
          <cell r="D2067">
            <v>620508004</v>
          </cell>
          <cell r="E2067" t="str">
            <v>FC F15 F/S Mares CX 1.0 58 XL</v>
          </cell>
          <cell r="F2067">
            <v>1</v>
          </cell>
          <cell r="G2067">
            <v>0</v>
          </cell>
          <cell r="I2067" t="str">
            <v>JJ021</v>
          </cell>
          <cell r="L2067">
            <v>6</v>
          </cell>
          <cell r="M2067">
            <v>0.184</v>
          </cell>
          <cell r="N2067" t="str">
            <v>5W</v>
          </cell>
          <cell r="P2067" t="str">
            <v>PONFCS</v>
          </cell>
          <cell r="Q2067" t="str">
            <v>/  /</v>
          </cell>
        </row>
        <row r="2068">
          <cell r="A2068">
            <v>3983267</v>
          </cell>
          <cell r="B2068">
            <v>43808</v>
          </cell>
          <cell r="C2068" t="str">
            <v>PON</v>
          </cell>
          <cell r="D2068">
            <v>623071040</v>
          </cell>
          <cell r="E2068" t="str">
            <v>Cervelo C16 F/S C3 48</v>
          </cell>
          <cell r="F2068">
            <v>1</v>
          </cell>
          <cell r="G2068">
            <v>0</v>
          </cell>
          <cell r="I2068" t="str">
            <v>JJ021</v>
          </cell>
          <cell r="L2068">
            <v>5.3</v>
          </cell>
          <cell r="M2068">
            <v>0.13200000000000001</v>
          </cell>
          <cell r="N2068" t="str">
            <v>5W</v>
          </cell>
          <cell r="P2068" t="str">
            <v>PONCVL</v>
          </cell>
          <cell r="Q2068" t="str">
            <v>/  /</v>
          </cell>
        </row>
        <row r="2069">
          <cell r="A2069">
            <v>3986095</v>
          </cell>
          <cell r="B2069">
            <v>43808</v>
          </cell>
          <cell r="C2069" t="str">
            <v>PON</v>
          </cell>
          <cell r="D2069">
            <v>625508020</v>
          </cell>
          <cell r="E2069" t="str">
            <v>FC F17 IZ MaxDisc AG2R FS 48XX</v>
          </cell>
          <cell r="F2069">
            <v>1</v>
          </cell>
          <cell r="G2069">
            <v>0</v>
          </cell>
          <cell r="I2069" t="str">
            <v>JJ021</v>
          </cell>
          <cell r="L2069">
            <v>5.8</v>
          </cell>
          <cell r="M2069">
            <v>0.16400000000000001</v>
          </cell>
          <cell r="N2069" t="str">
            <v>5W</v>
          </cell>
          <cell r="P2069" t="str">
            <v>PONFCS</v>
          </cell>
          <cell r="Q2069" t="str">
            <v>/  /</v>
          </cell>
        </row>
        <row r="2070">
          <cell r="A2070">
            <v>3994403</v>
          </cell>
          <cell r="B2070">
            <v>43811</v>
          </cell>
          <cell r="C2070" t="str">
            <v>PON</v>
          </cell>
          <cell r="D2070">
            <v>628509102</v>
          </cell>
          <cell r="E2070" t="str">
            <v>FC F18 IZ Max Disc DI2 F/S 52S</v>
          </cell>
          <cell r="F2070">
            <v>1</v>
          </cell>
          <cell r="G2070">
            <v>0</v>
          </cell>
          <cell r="I2070" t="str">
            <v>JJ021</v>
          </cell>
          <cell r="L2070">
            <v>5.4</v>
          </cell>
          <cell r="M2070">
            <v>0.14299999999999999</v>
          </cell>
          <cell r="N2070" t="str">
            <v>5W</v>
          </cell>
          <cell r="P2070" t="str">
            <v>PONFCS</v>
          </cell>
          <cell r="Q2070" t="str">
            <v>/  /</v>
          </cell>
        </row>
        <row r="2071">
          <cell r="A2071">
            <v>3983339</v>
          </cell>
          <cell r="B2071">
            <v>43808</v>
          </cell>
          <cell r="C2071" t="str">
            <v>PON</v>
          </cell>
          <cell r="D2071">
            <v>633073051</v>
          </cell>
          <cell r="E2071" t="str">
            <v>CV C19 R5 Ltd FS 51 SM Camo</v>
          </cell>
          <cell r="F2071">
            <v>1</v>
          </cell>
          <cell r="G2071">
            <v>0</v>
          </cell>
          <cell r="I2071" t="str">
            <v>JJ021</v>
          </cell>
          <cell r="L2071">
            <v>4.9000000000000004</v>
          </cell>
          <cell r="M2071">
            <v>0.128</v>
          </cell>
          <cell r="N2071" t="str">
            <v>5W</v>
          </cell>
          <cell r="P2071" t="str">
            <v>PONCVL</v>
          </cell>
          <cell r="Q2071" t="str">
            <v>/  /</v>
          </cell>
        </row>
        <row r="2072">
          <cell r="A2072">
            <v>3986091</v>
          </cell>
          <cell r="B2072">
            <v>43808</v>
          </cell>
          <cell r="C2072" t="str">
            <v>PON</v>
          </cell>
          <cell r="D2072">
            <v>625508000</v>
          </cell>
          <cell r="E2072" t="str">
            <v>Focus F17 IZ Max F/S 48 XXS</v>
          </cell>
          <cell r="F2072">
            <v>1</v>
          </cell>
          <cell r="G2072">
            <v>0</v>
          </cell>
          <cell r="I2072" t="str">
            <v>JJ022</v>
          </cell>
          <cell r="L2072">
            <v>5.3</v>
          </cell>
          <cell r="M2072">
            <v>0.16400000000000001</v>
          </cell>
          <cell r="N2072" t="str">
            <v>5W</v>
          </cell>
          <cell r="P2072" t="str">
            <v>PONFCS</v>
          </cell>
          <cell r="Q2072" t="str">
            <v>/  /</v>
          </cell>
        </row>
        <row r="2073">
          <cell r="A2073">
            <v>3995222</v>
          </cell>
          <cell r="B2073">
            <v>43811</v>
          </cell>
          <cell r="C2073" t="str">
            <v>PON</v>
          </cell>
          <cell r="D2073">
            <v>628073050</v>
          </cell>
          <cell r="E2073" t="str">
            <v>CV C18 R3 Disc FS 48 XSNvy/Wht</v>
          </cell>
          <cell r="F2073">
            <v>1</v>
          </cell>
          <cell r="G2073">
            <v>0</v>
          </cell>
          <cell r="I2073" t="str">
            <v>JJ022</v>
          </cell>
          <cell r="L2073">
            <v>5</v>
          </cell>
          <cell r="M2073">
            <v>0.13600000000000001</v>
          </cell>
          <cell r="N2073" t="str">
            <v>5W</v>
          </cell>
          <cell r="P2073" t="str">
            <v>PONCVL</v>
          </cell>
          <cell r="Q2073" t="str">
            <v>/  /</v>
          </cell>
        </row>
        <row r="2074">
          <cell r="A2074">
            <v>3952948</v>
          </cell>
          <cell r="B2074">
            <v>43790</v>
          </cell>
          <cell r="C2074" t="str">
            <v>PON</v>
          </cell>
          <cell r="D2074">
            <v>628073063</v>
          </cell>
          <cell r="E2074" t="str">
            <v>CV C18 R3 Disc F/S 56 LG Fluo</v>
          </cell>
          <cell r="F2074">
            <v>1</v>
          </cell>
          <cell r="G2074">
            <v>0</v>
          </cell>
          <cell r="I2074" t="str">
            <v>JJ022</v>
          </cell>
          <cell r="L2074">
            <v>5.6</v>
          </cell>
          <cell r="M2074">
            <v>0.153</v>
          </cell>
          <cell r="N2074" t="str">
            <v>5W</v>
          </cell>
          <cell r="P2074" t="str">
            <v>PONCVL</v>
          </cell>
          <cell r="Q2074" t="str">
            <v>/  /</v>
          </cell>
        </row>
        <row r="2075">
          <cell r="A2075">
            <v>3953038</v>
          </cell>
          <cell r="B2075">
            <v>43790</v>
          </cell>
          <cell r="C2075" t="str">
            <v>PON</v>
          </cell>
          <cell r="D2075">
            <v>633073325</v>
          </cell>
          <cell r="E2075" t="str">
            <v>CV C19R3Dsc F/S 61CMOlv/Cr/Oge</v>
          </cell>
          <cell r="F2075">
            <v>1</v>
          </cell>
          <cell r="G2075">
            <v>0</v>
          </cell>
          <cell r="I2075" t="str">
            <v>JJ022</v>
          </cell>
          <cell r="L2075">
            <v>5.7</v>
          </cell>
          <cell r="M2075">
            <v>0.16</v>
          </cell>
          <cell r="N2075" t="str">
            <v>5W</v>
          </cell>
          <cell r="P2075" t="str">
            <v>PONCVL</v>
          </cell>
          <cell r="Q2075" t="str">
            <v>/  /</v>
          </cell>
        </row>
        <row r="2076">
          <cell r="A2076">
            <v>3995216</v>
          </cell>
          <cell r="B2076">
            <v>43811</v>
          </cell>
          <cell r="C2076" t="str">
            <v>PON</v>
          </cell>
          <cell r="D2076">
            <v>625508021</v>
          </cell>
          <cell r="E2076" t="str">
            <v>FC F17 IZ MaxDisc AG2R FS 50XS</v>
          </cell>
          <cell r="F2076">
            <v>1</v>
          </cell>
          <cell r="G2076">
            <v>0</v>
          </cell>
          <cell r="I2076" t="str">
            <v>JJ032</v>
          </cell>
          <cell r="L2076">
            <v>5.8</v>
          </cell>
          <cell r="M2076">
            <v>0.156</v>
          </cell>
          <cell r="N2076" t="str">
            <v>5W</v>
          </cell>
          <cell r="P2076" t="str">
            <v>PONFCS</v>
          </cell>
          <cell r="Q2076" t="str">
            <v>/  /</v>
          </cell>
        </row>
        <row r="2077">
          <cell r="A2077">
            <v>3957671</v>
          </cell>
          <cell r="B2077">
            <v>43795</v>
          </cell>
          <cell r="C2077" t="str">
            <v>PON</v>
          </cell>
          <cell r="D2077">
            <v>633073042</v>
          </cell>
          <cell r="E2077" t="str">
            <v>CV C19R5 Rim F/S 54CMRd/Wh/Nvy</v>
          </cell>
          <cell r="F2077">
            <v>1</v>
          </cell>
          <cell r="G2077">
            <v>0</v>
          </cell>
          <cell r="I2077" t="str">
            <v>JJ032</v>
          </cell>
          <cell r="L2077">
            <v>5.0999999999999996</v>
          </cell>
          <cell r="M2077">
            <v>0.14399999999999999</v>
          </cell>
          <cell r="N2077" t="str">
            <v>5W</v>
          </cell>
          <cell r="P2077" t="str">
            <v>PONCVL</v>
          </cell>
          <cell r="Q2077" t="str">
            <v>/  /</v>
          </cell>
        </row>
        <row r="2078">
          <cell r="A2078">
            <v>3957673</v>
          </cell>
          <cell r="B2078">
            <v>43795</v>
          </cell>
          <cell r="C2078" t="str">
            <v>PON</v>
          </cell>
          <cell r="D2078">
            <v>633073111</v>
          </cell>
          <cell r="E2078" t="str">
            <v>CV C19 R5 Dsc F/S 51CM Blk/Gph</v>
          </cell>
          <cell r="F2078">
            <v>1</v>
          </cell>
          <cell r="G2078">
            <v>0</v>
          </cell>
          <cell r="I2078" t="str">
            <v>JJ032</v>
          </cell>
          <cell r="L2078">
            <v>5.2</v>
          </cell>
          <cell r="M2078">
            <v>0.14000000000000001</v>
          </cell>
          <cell r="N2078" t="str">
            <v>5W</v>
          </cell>
          <cell r="P2078" t="str">
            <v>PONCVL</v>
          </cell>
          <cell r="Q2078" t="str">
            <v>/  /</v>
          </cell>
        </row>
        <row r="2079">
          <cell r="A2079">
            <v>4081356</v>
          </cell>
          <cell r="B2079">
            <v>43795</v>
          </cell>
          <cell r="C2079" t="str">
            <v>PON</v>
          </cell>
          <cell r="D2079">
            <v>633073112</v>
          </cell>
          <cell r="E2079" t="str">
            <v>CV C19 R5 Dsc F/S 54CM Blk/Gph</v>
          </cell>
          <cell r="F2079">
            <v>1</v>
          </cell>
          <cell r="G2079">
            <v>0</v>
          </cell>
          <cell r="I2079" t="str">
            <v>JJ032</v>
          </cell>
          <cell r="L2079">
            <v>5.4</v>
          </cell>
          <cell r="M2079">
            <v>0.14599999999999999</v>
          </cell>
          <cell r="N2079" t="str">
            <v>5W</v>
          </cell>
          <cell r="P2079" t="str">
            <v>PONCVL</v>
          </cell>
          <cell r="Q2079" t="str">
            <v>/  /</v>
          </cell>
        </row>
        <row r="2080">
          <cell r="A2080">
            <v>3957679</v>
          </cell>
          <cell r="B2080">
            <v>43795</v>
          </cell>
          <cell r="C2080" t="str">
            <v>PON</v>
          </cell>
          <cell r="D2080">
            <v>633073601</v>
          </cell>
          <cell r="E2080" t="str">
            <v>CV C19C3 DscF/S 51CMOlv/Oge/Rd</v>
          </cell>
          <cell r="F2080">
            <v>1</v>
          </cell>
          <cell r="G2080">
            <v>0</v>
          </cell>
          <cell r="I2080" t="str">
            <v>JJ032</v>
          </cell>
          <cell r="L2080">
            <v>5.5</v>
          </cell>
          <cell r="M2080">
            <v>0.125</v>
          </cell>
          <cell r="N2080" t="str">
            <v>5W</v>
          </cell>
          <cell r="P2080" t="str">
            <v>PONCVL</v>
          </cell>
          <cell r="Q2080" t="str">
            <v>/  /</v>
          </cell>
        </row>
        <row r="2081">
          <cell r="A2081">
            <v>3946896</v>
          </cell>
          <cell r="B2081">
            <v>43787</v>
          </cell>
          <cell r="C2081" t="str">
            <v>PON</v>
          </cell>
          <cell r="D2081">
            <v>637073129</v>
          </cell>
          <cell r="E2081" t="str">
            <v>CV C20S SerDsc F/S GphBlk Rd56</v>
          </cell>
          <cell r="F2081">
            <v>1</v>
          </cell>
          <cell r="G2081">
            <v>0</v>
          </cell>
          <cell r="I2081" t="str">
            <v>JJ041</v>
          </cell>
          <cell r="L2081">
            <v>7.4</v>
          </cell>
          <cell r="M2081">
            <v>0.16900000000000001</v>
          </cell>
          <cell r="N2081" t="str">
            <v>5W</v>
          </cell>
          <cell r="P2081" t="str">
            <v>PONCVL</v>
          </cell>
          <cell r="Q2081" t="str">
            <v>/  /</v>
          </cell>
        </row>
        <row r="2082">
          <cell r="A2082">
            <v>4087815</v>
          </cell>
          <cell r="B2082">
            <v>43787</v>
          </cell>
          <cell r="C2082" t="str">
            <v>PON</v>
          </cell>
          <cell r="D2082">
            <v>637073129</v>
          </cell>
          <cell r="E2082" t="str">
            <v>CV C20S SerDsc F/S GphBlk Rd56</v>
          </cell>
          <cell r="F2082">
            <v>1</v>
          </cell>
          <cell r="G2082">
            <v>0</v>
          </cell>
          <cell r="I2082" t="str">
            <v>JJ041</v>
          </cell>
          <cell r="L2082">
            <v>7.4</v>
          </cell>
          <cell r="M2082">
            <v>0.16900000000000001</v>
          </cell>
          <cell r="N2082" t="str">
            <v>5W</v>
          </cell>
          <cell r="P2082" t="str">
            <v>PONCVL</v>
          </cell>
          <cell r="Q2082" t="str">
            <v>/  /</v>
          </cell>
        </row>
        <row r="2083">
          <cell r="A2083">
            <v>4089542</v>
          </cell>
          <cell r="B2083">
            <v>43787</v>
          </cell>
          <cell r="C2083" t="str">
            <v>PON</v>
          </cell>
          <cell r="D2083">
            <v>637073129</v>
          </cell>
          <cell r="E2083" t="str">
            <v>CV C20S SerDsc F/S GphBlk Rd56</v>
          </cell>
          <cell r="F2083">
            <v>1</v>
          </cell>
          <cell r="G2083">
            <v>0</v>
          </cell>
          <cell r="I2083" t="str">
            <v>JJ041</v>
          </cell>
          <cell r="L2083">
            <v>7.4</v>
          </cell>
          <cell r="M2083">
            <v>0.16900000000000001</v>
          </cell>
          <cell r="N2083" t="str">
            <v>5W</v>
          </cell>
          <cell r="P2083" t="str">
            <v>PONCVL</v>
          </cell>
          <cell r="Q2083" t="str">
            <v>/  /</v>
          </cell>
        </row>
        <row r="2084">
          <cell r="A2084">
            <v>4335623</v>
          </cell>
          <cell r="B2084">
            <v>44040</v>
          </cell>
          <cell r="C2084" t="str">
            <v>PON</v>
          </cell>
          <cell r="D2084">
            <v>641073021</v>
          </cell>
          <cell r="E2084" t="str">
            <v>C21 Aspero Seabreeze/Blue 56</v>
          </cell>
          <cell r="F2084">
            <v>1</v>
          </cell>
          <cell r="G2084">
            <v>0</v>
          </cell>
          <cell r="I2084" t="str">
            <v>JJ041</v>
          </cell>
          <cell r="L2084">
            <v>6.8</v>
          </cell>
          <cell r="M2084">
            <v>0.16900000000000001</v>
          </cell>
          <cell r="N2084" t="str">
            <v>5W</v>
          </cell>
          <cell r="P2084" t="str">
            <v>PONCVL</v>
          </cell>
          <cell r="Q2084" t="str">
            <v>/  /</v>
          </cell>
        </row>
        <row r="2085">
          <cell r="A2085">
            <v>3949942</v>
          </cell>
          <cell r="B2085">
            <v>43789</v>
          </cell>
          <cell r="C2085" t="str">
            <v>PON</v>
          </cell>
          <cell r="D2085">
            <v>625508002</v>
          </cell>
          <cell r="E2085" t="str">
            <v>Focus F17 IZ Max F/S 52 SM</v>
          </cell>
          <cell r="F2085">
            <v>1</v>
          </cell>
          <cell r="G2085">
            <v>0</v>
          </cell>
          <cell r="I2085" t="str">
            <v>JJ042</v>
          </cell>
          <cell r="L2085">
            <v>5.2</v>
          </cell>
          <cell r="M2085">
            <v>0.14899999999999999</v>
          </cell>
          <cell r="N2085" t="str">
            <v>5W</v>
          </cell>
          <cell r="P2085" t="str">
            <v>PONFCS</v>
          </cell>
          <cell r="Q2085" t="str">
            <v>/  /</v>
          </cell>
        </row>
        <row r="2086">
          <cell r="A2086">
            <v>4081049</v>
          </cell>
          <cell r="B2086">
            <v>43789</v>
          </cell>
          <cell r="C2086" t="str">
            <v>PON</v>
          </cell>
          <cell r="D2086">
            <v>625508002</v>
          </cell>
          <cell r="E2086" t="str">
            <v>Focus F17 IZ Max F/S 52 SM</v>
          </cell>
          <cell r="F2086">
            <v>1</v>
          </cell>
          <cell r="G2086">
            <v>0</v>
          </cell>
          <cell r="I2086" t="str">
            <v>JJ042</v>
          </cell>
          <cell r="L2086">
            <v>5.2</v>
          </cell>
          <cell r="M2086">
            <v>0.14899999999999999</v>
          </cell>
          <cell r="N2086" t="str">
            <v>5W</v>
          </cell>
          <cell r="P2086" t="str">
            <v>PONFCS</v>
          </cell>
          <cell r="Q2086" t="str">
            <v>/  /</v>
          </cell>
        </row>
        <row r="2087">
          <cell r="A2087">
            <v>3949959</v>
          </cell>
          <cell r="B2087">
            <v>43789</v>
          </cell>
          <cell r="C2087" t="str">
            <v>PON</v>
          </cell>
          <cell r="D2087">
            <v>628073090</v>
          </cell>
          <cell r="E2087" t="str">
            <v>CV C18 R5 F/S 48 XS Black/Fluo</v>
          </cell>
          <cell r="F2087">
            <v>1</v>
          </cell>
          <cell r="G2087">
            <v>0</v>
          </cell>
          <cell r="I2087" t="str">
            <v>JJ042</v>
          </cell>
          <cell r="L2087">
            <v>5</v>
          </cell>
          <cell r="M2087">
            <v>0.11899999999999999</v>
          </cell>
          <cell r="N2087" t="str">
            <v>5W</v>
          </cell>
          <cell r="P2087" t="str">
            <v>PONCVL</v>
          </cell>
          <cell r="Q2087" t="str">
            <v>/  /</v>
          </cell>
        </row>
        <row r="2088">
          <cell r="A2088">
            <v>3950055</v>
          </cell>
          <cell r="B2088">
            <v>43789</v>
          </cell>
          <cell r="C2088" t="str">
            <v>PON</v>
          </cell>
          <cell r="D2088">
            <v>633073115</v>
          </cell>
          <cell r="E2088" t="str">
            <v>CV C19 R5 Dsc F/S 61CM Blk/Gph</v>
          </cell>
          <cell r="F2088">
            <v>1</v>
          </cell>
          <cell r="G2088">
            <v>0</v>
          </cell>
          <cell r="I2088" t="str">
            <v>JJ042</v>
          </cell>
          <cell r="L2088">
            <v>5.6</v>
          </cell>
          <cell r="M2088">
            <v>0.16600000000000001</v>
          </cell>
          <cell r="N2088" t="str">
            <v>5W</v>
          </cell>
          <cell r="P2088" t="str">
            <v>PONCVL</v>
          </cell>
          <cell r="Q2088" t="str">
            <v>/  /</v>
          </cell>
        </row>
        <row r="2089">
          <cell r="A2089">
            <v>3986097</v>
          </cell>
          <cell r="B2089">
            <v>43808</v>
          </cell>
          <cell r="C2089" t="str">
            <v>PON</v>
          </cell>
          <cell r="D2089">
            <v>625508022</v>
          </cell>
          <cell r="E2089" t="str">
            <v>FC F17 IZ MaxDisc AG2R FS 52SM</v>
          </cell>
          <cell r="F2089">
            <v>1</v>
          </cell>
          <cell r="G2089">
            <v>0</v>
          </cell>
          <cell r="I2089" t="str">
            <v>JJ051</v>
          </cell>
          <cell r="L2089">
            <v>5.8</v>
          </cell>
          <cell r="M2089">
            <v>0.16400000000000001</v>
          </cell>
          <cell r="N2089" t="str">
            <v>5W</v>
          </cell>
          <cell r="P2089" t="str">
            <v>PONFCS</v>
          </cell>
          <cell r="Q2089" t="str">
            <v>/  /</v>
          </cell>
        </row>
        <row r="2090">
          <cell r="A2090">
            <v>3986116</v>
          </cell>
          <cell r="B2090">
            <v>43808</v>
          </cell>
          <cell r="C2090" t="str">
            <v>PON</v>
          </cell>
          <cell r="D2090">
            <v>628073121</v>
          </cell>
          <cell r="E2090" t="str">
            <v>CV C18 R5Disc FS 51 SM Blk/Grn</v>
          </cell>
          <cell r="F2090">
            <v>1</v>
          </cell>
          <cell r="G2090">
            <v>0</v>
          </cell>
          <cell r="I2090" t="str">
            <v>JJ051</v>
          </cell>
          <cell r="L2090">
            <v>5.4</v>
          </cell>
          <cell r="M2090">
            <v>0.14299999999999999</v>
          </cell>
          <cell r="N2090" t="str">
            <v>5W</v>
          </cell>
          <cell r="P2090" t="str">
            <v>PONCVL</v>
          </cell>
          <cell r="Q2090" t="str">
            <v>/  /</v>
          </cell>
        </row>
        <row r="2091">
          <cell r="A2091">
            <v>3996125</v>
          </cell>
          <cell r="B2091">
            <v>43812</v>
          </cell>
          <cell r="C2091" t="str">
            <v>PON</v>
          </cell>
          <cell r="D2091">
            <v>628509103</v>
          </cell>
          <cell r="E2091" t="str">
            <v>FC F18 IZ Max Disc DI2 F/S 54M</v>
          </cell>
          <cell r="F2091">
            <v>1</v>
          </cell>
          <cell r="G2091">
            <v>0</v>
          </cell>
          <cell r="I2091" t="str">
            <v>JJ051</v>
          </cell>
          <cell r="L2091">
            <v>5.4</v>
          </cell>
          <cell r="M2091">
            <v>0.17599999999999999</v>
          </cell>
          <cell r="N2091" t="str">
            <v>5W</v>
          </cell>
          <cell r="P2091" t="str">
            <v>PONFCS</v>
          </cell>
          <cell r="Q2091" t="str">
            <v>/  /</v>
          </cell>
        </row>
        <row r="2092">
          <cell r="A2092">
            <v>4000645</v>
          </cell>
          <cell r="B2092">
            <v>43815</v>
          </cell>
          <cell r="C2092" t="str">
            <v>PON</v>
          </cell>
          <cell r="D2092">
            <v>613508133</v>
          </cell>
          <cell r="E2092" t="str">
            <v>FC F13 FS CayoEvo 2.0 54 MDDi2</v>
          </cell>
          <cell r="F2092">
            <v>1</v>
          </cell>
          <cell r="G2092">
            <v>0</v>
          </cell>
          <cell r="I2092" t="str">
            <v>JJ052</v>
          </cell>
          <cell r="L2092">
            <v>5</v>
          </cell>
          <cell r="M2092">
            <v>0.16200000000000001</v>
          </cell>
          <cell r="N2092" t="str">
            <v>5W</v>
          </cell>
          <cell r="P2092" t="str">
            <v>PONFCS</v>
          </cell>
          <cell r="Q2092" t="str">
            <v>/  /</v>
          </cell>
        </row>
        <row r="2093">
          <cell r="A2093">
            <v>3995200</v>
          </cell>
          <cell r="B2093">
            <v>43811</v>
          </cell>
          <cell r="C2093" t="str">
            <v>PON</v>
          </cell>
          <cell r="D2093">
            <v>614508151</v>
          </cell>
          <cell r="E2093" t="str">
            <v>FC F14 F/S Raven 1.0 29R SM 42</v>
          </cell>
          <cell r="F2093">
            <v>1</v>
          </cell>
          <cell r="G2093">
            <v>0</v>
          </cell>
          <cell r="I2093" t="str">
            <v>JJ052</v>
          </cell>
          <cell r="L2093">
            <v>5.6</v>
          </cell>
          <cell r="M2093">
            <v>0.17</v>
          </cell>
          <cell r="N2093" t="str">
            <v>5W</v>
          </cell>
          <cell r="P2093" t="str">
            <v>PONFCS</v>
          </cell>
          <cell r="Q2093" t="str">
            <v>/  /</v>
          </cell>
        </row>
        <row r="2094">
          <cell r="A2094">
            <v>3995206</v>
          </cell>
          <cell r="B2094">
            <v>43811</v>
          </cell>
          <cell r="C2094" t="str">
            <v>PON</v>
          </cell>
          <cell r="D2094">
            <v>620508062</v>
          </cell>
          <cell r="E2094" t="str">
            <v>FC F15 F/S Cayo 3.0 Disc 54 MD</v>
          </cell>
          <cell r="F2094">
            <v>1</v>
          </cell>
          <cell r="G2094">
            <v>0</v>
          </cell>
          <cell r="I2094" t="str">
            <v>JJ052</v>
          </cell>
          <cell r="L2094">
            <v>5.9</v>
          </cell>
          <cell r="M2094">
            <v>0.17899999999999999</v>
          </cell>
          <cell r="N2094" t="str">
            <v>5W</v>
          </cell>
          <cell r="P2094" t="str">
            <v>PONFCS</v>
          </cell>
          <cell r="Q2094" t="str">
            <v>/  /</v>
          </cell>
        </row>
        <row r="2095">
          <cell r="A2095">
            <v>3995218</v>
          </cell>
          <cell r="B2095">
            <v>43811</v>
          </cell>
          <cell r="C2095" t="str">
            <v>PON</v>
          </cell>
          <cell r="D2095">
            <v>625508075</v>
          </cell>
          <cell r="E2095" t="str">
            <v>FC F17 Mare CX Disc F/S 60 XXL</v>
          </cell>
          <cell r="F2095">
            <v>1</v>
          </cell>
          <cell r="G2095">
            <v>0</v>
          </cell>
          <cell r="I2095" t="str">
            <v>JJ052</v>
          </cell>
          <cell r="L2095">
            <v>5.3</v>
          </cell>
          <cell r="M2095">
            <v>0.17399999999999999</v>
          </cell>
          <cell r="N2095" t="str">
            <v>5W</v>
          </cell>
          <cell r="P2095" t="str">
            <v>PONFCS</v>
          </cell>
          <cell r="Q2095" t="str">
            <v>/  /</v>
          </cell>
        </row>
        <row r="2096">
          <cell r="A2096">
            <v>3995220</v>
          </cell>
          <cell r="B2096">
            <v>43811</v>
          </cell>
          <cell r="C2096" t="str">
            <v>PON</v>
          </cell>
          <cell r="D2096">
            <v>625508085</v>
          </cell>
          <cell r="E2096" t="str">
            <v>Focus F17 Paralane F/S 61 XXL</v>
          </cell>
          <cell r="F2096">
            <v>1</v>
          </cell>
          <cell r="G2096">
            <v>0</v>
          </cell>
          <cell r="I2096" t="str">
            <v>JJ052</v>
          </cell>
          <cell r="L2096">
            <v>16.2</v>
          </cell>
          <cell r="M2096">
            <v>0.16300000000000001</v>
          </cell>
          <cell r="N2096" t="str">
            <v>5W</v>
          </cell>
          <cell r="P2096" t="str">
            <v>PONFCS</v>
          </cell>
          <cell r="Q2096" t="str">
            <v>/  /</v>
          </cell>
        </row>
        <row r="2097">
          <cell r="A2097">
            <v>3986093</v>
          </cell>
          <cell r="B2097">
            <v>43808</v>
          </cell>
          <cell r="C2097" t="str">
            <v>PON</v>
          </cell>
          <cell r="D2097">
            <v>625508001</v>
          </cell>
          <cell r="E2097" t="str">
            <v>Focus F17 IZ Max F/S 50 XS</v>
          </cell>
          <cell r="F2097">
            <v>1</v>
          </cell>
          <cell r="G2097">
            <v>0</v>
          </cell>
          <cell r="I2097" t="str">
            <v>JJ061</v>
          </cell>
          <cell r="L2097">
            <v>5.3</v>
          </cell>
          <cell r="M2097">
            <v>0.16400000000000001</v>
          </cell>
          <cell r="N2097" t="str">
            <v>5W</v>
          </cell>
          <cell r="P2097" t="str">
            <v>PONFCS</v>
          </cell>
          <cell r="Q2097" t="str">
            <v>/  /</v>
          </cell>
        </row>
        <row r="2098">
          <cell r="A2098">
            <v>4081048</v>
          </cell>
          <cell r="B2098">
            <v>43808</v>
          </cell>
          <cell r="C2098" t="str">
            <v>PON</v>
          </cell>
          <cell r="D2098">
            <v>625508001</v>
          </cell>
          <cell r="E2098" t="str">
            <v>Focus F17 IZ Max F/S 50 XS</v>
          </cell>
          <cell r="F2098">
            <v>1</v>
          </cell>
          <cell r="G2098">
            <v>0</v>
          </cell>
          <cell r="I2098" t="str">
            <v>JJ061</v>
          </cell>
          <cell r="L2098">
            <v>5.3</v>
          </cell>
          <cell r="M2098">
            <v>0.16400000000000001</v>
          </cell>
          <cell r="N2098" t="str">
            <v>5W</v>
          </cell>
          <cell r="P2098" t="str">
            <v>PONFCS</v>
          </cell>
          <cell r="Q2098" t="str">
            <v>/  /</v>
          </cell>
        </row>
        <row r="2099">
          <cell r="A2099">
            <v>3986099</v>
          </cell>
          <cell r="B2099">
            <v>43808</v>
          </cell>
          <cell r="C2099" t="str">
            <v>PON</v>
          </cell>
          <cell r="D2099">
            <v>625508043</v>
          </cell>
          <cell r="E2099" t="str">
            <v>Focus F17 Cayo Disc F/S 57 LG</v>
          </cell>
          <cell r="F2099">
            <v>1</v>
          </cell>
          <cell r="G2099">
            <v>0</v>
          </cell>
          <cell r="I2099" t="str">
            <v>JJ061</v>
          </cell>
          <cell r="L2099">
            <v>7</v>
          </cell>
          <cell r="M2099">
            <v>0.17</v>
          </cell>
          <cell r="N2099" t="str">
            <v>5W</v>
          </cell>
          <cell r="P2099" t="str">
            <v>PONFCS</v>
          </cell>
          <cell r="Q2099" t="str">
            <v>/  /</v>
          </cell>
        </row>
        <row r="2100">
          <cell r="A2100">
            <v>3986134</v>
          </cell>
          <cell r="B2100">
            <v>43808</v>
          </cell>
          <cell r="C2100" t="str">
            <v>PON</v>
          </cell>
          <cell r="D2100" t="str">
            <v>FS613008232</v>
          </cell>
          <cell r="E2100" t="str">
            <v>FC F13 F/S Cayo Evo 4.0 MD/54</v>
          </cell>
          <cell r="F2100">
            <v>1</v>
          </cell>
          <cell r="G2100">
            <v>0</v>
          </cell>
          <cell r="I2100" t="str">
            <v>JJ061</v>
          </cell>
          <cell r="L2100">
            <v>8.6999999999999993</v>
          </cell>
          <cell r="M2100">
            <v>0.153</v>
          </cell>
          <cell r="N2100" t="str">
            <v>5W</v>
          </cell>
          <cell r="P2100" t="str">
            <v>PONFCS</v>
          </cell>
          <cell r="Q2100" t="str">
            <v>/  /</v>
          </cell>
        </row>
        <row r="2101">
          <cell r="A2101">
            <v>3986136</v>
          </cell>
          <cell r="B2101">
            <v>43808</v>
          </cell>
          <cell r="C2101" t="str">
            <v>PON</v>
          </cell>
          <cell r="D2101" t="str">
            <v>FS620009151</v>
          </cell>
          <cell r="E2101" t="str">
            <v>Focus F15 Raven 5.0 SM F/S</v>
          </cell>
          <cell r="F2101">
            <v>1</v>
          </cell>
          <cell r="G2101">
            <v>0</v>
          </cell>
          <cell r="I2101" t="str">
            <v>JJ061</v>
          </cell>
          <cell r="L2101">
            <v>4.4000000000000004</v>
          </cell>
          <cell r="M2101">
            <v>0.188</v>
          </cell>
          <cell r="N2101" t="str">
            <v>5W</v>
          </cell>
          <cell r="P2101" t="str">
            <v>PONFCS</v>
          </cell>
          <cell r="Q2101" t="str">
            <v>/  /</v>
          </cell>
        </row>
        <row r="2102">
          <cell r="A2102">
            <v>4080952</v>
          </cell>
          <cell r="B2102">
            <v>43789</v>
          </cell>
          <cell r="C2102" t="str">
            <v>PON</v>
          </cell>
          <cell r="D2102">
            <v>613076102</v>
          </cell>
          <cell r="E2102" t="str">
            <v>Cervelo C19 T4 FS 56CM</v>
          </cell>
          <cell r="F2102">
            <v>1</v>
          </cell>
          <cell r="G2102">
            <v>0</v>
          </cell>
          <cell r="I2102" t="str">
            <v>JJ062</v>
          </cell>
          <cell r="L2102">
            <v>6.1</v>
          </cell>
          <cell r="M2102">
            <v>0.13600000000000001</v>
          </cell>
          <cell r="N2102" t="str">
            <v>5W</v>
          </cell>
          <cell r="P2102" t="str">
            <v>PONCVL</v>
          </cell>
          <cell r="Q2102" t="str">
            <v>/  /</v>
          </cell>
        </row>
        <row r="2103">
          <cell r="A2103">
            <v>3957619</v>
          </cell>
          <cell r="B2103">
            <v>43795</v>
          </cell>
          <cell r="C2103" t="str">
            <v>PON</v>
          </cell>
          <cell r="D2103">
            <v>615073446</v>
          </cell>
          <cell r="E2103" t="str">
            <v>Cervelo C15 F/S P5 Limited 61</v>
          </cell>
          <cell r="F2103">
            <v>1</v>
          </cell>
          <cell r="G2103">
            <v>0</v>
          </cell>
          <cell r="I2103" t="str">
            <v>JJ062</v>
          </cell>
          <cell r="L2103">
            <v>9.9</v>
          </cell>
          <cell r="M2103">
            <v>0.152</v>
          </cell>
          <cell r="N2103" t="str">
            <v>5W</v>
          </cell>
          <cell r="P2103" t="str">
            <v>PONCVL</v>
          </cell>
          <cell r="Q2103" t="str">
            <v>/  /</v>
          </cell>
        </row>
        <row r="2104">
          <cell r="A2104">
            <v>4000649</v>
          </cell>
          <cell r="B2104">
            <v>43815</v>
          </cell>
          <cell r="C2104" t="str">
            <v>PON</v>
          </cell>
          <cell r="D2104">
            <v>623073032</v>
          </cell>
          <cell r="E2104" t="str">
            <v>Cervelo C16 F/S C5 54</v>
          </cell>
          <cell r="F2104">
            <v>1</v>
          </cell>
          <cell r="G2104">
            <v>0</v>
          </cell>
          <cell r="I2104" t="str">
            <v>JJ062</v>
          </cell>
          <cell r="L2104">
            <v>5.2</v>
          </cell>
          <cell r="M2104">
            <v>0.13500000000000001</v>
          </cell>
          <cell r="N2104" t="str">
            <v>5W</v>
          </cell>
          <cell r="P2104" t="str">
            <v>PONCVL</v>
          </cell>
          <cell r="Q2104" t="str">
            <v>/  /</v>
          </cell>
        </row>
        <row r="2105">
          <cell r="A2105">
            <v>3957667</v>
          </cell>
          <cell r="B2105">
            <v>43795</v>
          </cell>
          <cell r="C2105" t="str">
            <v>PON</v>
          </cell>
          <cell r="D2105">
            <v>628073115</v>
          </cell>
          <cell r="E2105" t="str">
            <v>CV C18 R5Disc FS 61 XXLBlk/Flu</v>
          </cell>
          <cell r="F2105">
            <v>1</v>
          </cell>
          <cell r="G2105">
            <v>0</v>
          </cell>
          <cell r="I2105" t="str">
            <v>JJ062</v>
          </cell>
          <cell r="L2105">
            <v>5.7</v>
          </cell>
          <cell r="M2105">
            <v>0.16700000000000001</v>
          </cell>
          <cell r="N2105" t="str">
            <v>5W</v>
          </cell>
          <cell r="P2105" t="str">
            <v>PONCVL</v>
          </cell>
          <cell r="Q2105" t="str">
            <v>/  /</v>
          </cell>
        </row>
        <row r="2106">
          <cell r="A2106">
            <v>3957669</v>
          </cell>
          <cell r="B2106">
            <v>43795</v>
          </cell>
          <cell r="C2106" t="str">
            <v>PON</v>
          </cell>
          <cell r="D2106">
            <v>628073122</v>
          </cell>
          <cell r="E2106" t="str">
            <v>CV C18 R5Disc FS 54 MD Blk/Grn</v>
          </cell>
          <cell r="F2106">
            <v>1</v>
          </cell>
          <cell r="G2106">
            <v>0</v>
          </cell>
          <cell r="I2106" t="str">
            <v>JJ062</v>
          </cell>
          <cell r="L2106">
            <v>5.4</v>
          </cell>
          <cell r="M2106">
            <v>0.156</v>
          </cell>
          <cell r="N2106" t="str">
            <v>5W</v>
          </cell>
          <cell r="P2106" t="str">
            <v>PONCVL</v>
          </cell>
          <cell r="Q2106" t="str">
            <v>/  /</v>
          </cell>
        </row>
        <row r="2107">
          <cell r="A2107">
            <v>4039745</v>
          </cell>
          <cell r="B2107">
            <v>43852</v>
          </cell>
          <cell r="C2107" t="str">
            <v>PON</v>
          </cell>
          <cell r="D2107">
            <v>613076036</v>
          </cell>
          <cell r="E2107" t="str">
            <v>Cervelo C13 S5 VWD FS 61</v>
          </cell>
          <cell r="F2107">
            <v>1</v>
          </cell>
          <cell r="G2107">
            <v>0</v>
          </cell>
          <cell r="I2107" t="str">
            <v>JJ071</v>
          </cell>
          <cell r="L2107">
            <v>5.8</v>
          </cell>
          <cell r="M2107">
            <v>0.15</v>
          </cell>
          <cell r="N2107" t="str">
            <v>5W</v>
          </cell>
          <cell r="P2107" t="str">
            <v>PONCVL</v>
          </cell>
          <cell r="Q2107" t="str">
            <v>/  /</v>
          </cell>
        </row>
        <row r="2108">
          <cell r="A2108">
            <v>4080950</v>
          </cell>
          <cell r="B2108">
            <v>43852</v>
          </cell>
          <cell r="C2108" t="str">
            <v>PON</v>
          </cell>
          <cell r="D2108">
            <v>613076036</v>
          </cell>
          <cell r="E2108" t="str">
            <v>Cervelo C13 S5 VWD FS 61</v>
          </cell>
          <cell r="F2108">
            <v>1</v>
          </cell>
          <cell r="G2108">
            <v>0</v>
          </cell>
          <cell r="I2108" t="str">
            <v>JJ071</v>
          </cell>
          <cell r="L2108">
            <v>5.8</v>
          </cell>
          <cell r="M2108">
            <v>0.15</v>
          </cell>
          <cell r="N2108" t="str">
            <v>5W</v>
          </cell>
          <cell r="P2108" t="str">
            <v>PONCVL</v>
          </cell>
          <cell r="Q2108" t="str">
            <v>/  /</v>
          </cell>
        </row>
        <row r="2109">
          <cell r="A2109">
            <v>3947251</v>
          </cell>
          <cell r="B2109">
            <v>43788</v>
          </cell>
          <cell r="C2109" t="str">
            <v>PON</v>
          </cell>
          <cell r="D2109">
            <v>628073123</v>
          </cell>
          <cell r="E2109" t="str">
            <v>CV C18 R5Disc FS 56 LG Blk/Grn</v>
          </cell>
          <cell r="F2109">
            <v>1</v>
          </cell>
          <cell r="G2109">
            <v>0</v>
          </cell>
          <cell r="I2109" t="str">
            <v>JJ071</v>
          </cell>
          <cell r="L2109">
            <v>5.6</v>
          </cell>
          <cell r="M2109">
            <v>0.16200000000000001</v>
          </cell>
          <cell r="N2109" t="str">
            <v>5W</v>
          </cell>
          <cell r="P2109" t="str">
            <v>PONCVL</v>
          </cell>
          <cell r="Q2109" t="str">
            <v>/  /</v>
          </cell>
        </row>
        <row r="2110">
          <cell r="A2110">
            <v>4081102</v>
          </cell>
          <cell r="B2110">
            <v>43788</v>
          </cell>
          <cell r="C2110" t="str">
            <v>PON</v>
          </cell>
          <cell r="D2110">
            <v>628073123</v>
          </cell>
          <cell r="E2110" t="str">
            <v>CV C18 R5Disc FS 56 LG Blk/Grn</v>
          </cell>
          <cell r="F2110">
            <v>1</v>
          </cell>
          <cell r="G2110">
            <v>0</v>
          </cell>
          <cell r="I2110" t="str">
            <v>JJ071</v>
          </cell>
          <cell r="L2110">
            <v>5.6</v>
          </cell>
          <cell r="M2110">
            <v>0.16200000000000001</v>
          </cell>
          <cell r="N2110" t="str">
            <v>5W</v>
          </cell>
          <cell r="P2110" t="str">
            <v>PONCVL</v>
          </cell>
          <cell r="Q2110" t="str">
            <v>/  /</v>
          </cell>
        </row>
        <row r="2111">
          <cell r="A2111">
            <v>3971854</v>
          </cell>
          <cell r="B2111">
            <v>43802</v>
          </cell>
          <cell r="C2111" t="str">
            <v>PON</v>
          </cell>
          <cell r="D2111">
            <v>628073163</v>
          </cell>
          <cell r="E2111" t="str">
            <v>CV C18 P5Six FS 56 LG Blk/Fluo</v>
          </cell>
          <cell r="F2111">
            <v>1</v>
          </cell>
          <cell r="G2111">
            <v>0</v>
          </cell>
          <cell r="I2111" t="str">
            <v>JJ071</v>
          </cell>
          <cell r="L2111">
            <v>8.6999999999999993</v>
          </cell>
          <cell r="M2111">
            <v>0.14199999999999999</v>
          </cell>
          <cell r="N2111" t="str">
            <v>5W</v>
          </cell>
          <cell r="P2111" t="str">
            <v>PONCVL</v>
          </cell>
          <cell r="Q2111" t="str">
            <v>/  /</v>
          </cell>
        </row>
        <row r="2112">
          <cell r="A2112">
            <v>4039763</v>
          </cell>
          <cell r="B2112">
            <v>43852</v>
          </cell>
          <cell r="C2112" t="str">
            <v>PON</v>
          </cell>
          <cell r="D2112">
            <v>613508051</v>
          </cell>
          <cell r="E2112" t="str">
            <v>FC F13 FS Mare CX 2.0 54 MDDi2</v>
          </cell>
          <cell r="F2112">
            <v>1</v>
          </cell>
          <cell r="G2112">
            <v>0</v>
          </cell>
          <cell r="I2112" t="str">
            <v>JJ072</v>
          </cell>
          <cell r="L2112">
            <v>6.4</v>
          </cell>
          <cell r="M2112">
            <v>0.191</v>
          </cell>
          <cell r="N2112" t="str">
            <v>5W</v>
          </cell>
          <cell r="P2112" t="str">
            <v>PONFCS</v>
          </cell>
          <cell r="Q2112" t="str">
            <v>/  /</v>
          </cell>
        </row>
        <row r="2113">
          <cell r="A2113">
            <v>4039765</v>
          </cell>
          <cell r="B2113">
            <v>43852</v>
          </cell>
          <cell r="C2113" t="str">
            <v>PON</v>
          </cell>
          <cell r="D2113">
            <v>613508052</v>
          </cell>
          <cell r="E2113" t="str">
            <v>FC F13 FS Mare CX 2.0 56 LGDi2</v>
          </cell>
          <cell r="F2113">
            <v>1</v>
          </cell>
          <cell r="G2113">
            <v>0</v>
          </cell>
          <cell r="I2113" t="str">
            <v>JJ072</v>
          </cell>
          <cell r="L2113">
            <v>3.5</v>
          </cell>
          <cell r="M2113">
            <v>0.123</v>
          </cell>
          <cell r="N2113" t="str">
            <v>5W</v>
          </cell>
          <cell r="P2113" t="str">
            <v>PONFCS</v>
          </cell>
          <cell r="Q2113" t="str">
            <v>/  /</v>
          </cell>
        </row>
        <row r="2114">
          <cell r="A2114">
            <v>4039773</v>
          </cell>
          <cell r="B2114">
            <v>43852</v>
          </cell>
          <cell r="C2114" t="str">
            <v>PON</v>
          </cell>
          <cell r="D2114">
            <v>613508110</v>
          </cell>
          <cell r="E2114" t="str">
            <v>FC F13 FS IZTeam 1.0 48 XXSDi2</v>
          </cell>
          <cell r="F2114">
            <v>1</v>
          </cell>
          <cell r="G2114">
            <v>0</v>
          </cell>
          <cell r="I2114" t="str">
            <v>JJ072</v>
          </cell>
          <cell r="L2114">
            <v>5.44</v>
          </cell>
          <cell r="M2114">
            <v>0.16600000000000001</v>
          </cell>
          <cell r="N2114" t="str">
            <v>5W</v>
          </cell>
          <cell r="P2114" t="str">
            <v>PONFCS</v>
          </cell>
          <cell r="Q2114" t="str">
            <v>/  /</v>
          </cell>
        </row>
        <row r="2115">
          <cell r="A2115">
            <v>4039775</v>
          </cell>
          <cell r="B2115">
            <v>43852</v>
          </cell>
          <cell r="C2115" t="str">
            <v>PON</v>
          </cell>
          <cell r="D2115">
            <v>613508111</v>
          </cell>
          <cell r="E2115" t="str">
            <v>FC F13 FS IZ Team 1.0 50 XSDi2</v>
          </cell>
          <cell r="F2115">
            <v>1</v>
          </cell>
          <cell r="G2115">
            <v>0</v>
          </cell>
          <cell r="I2115" t="str">
            <v>JJ072</v>
          </cell>
          <cell r="L2115">
            <v>5.5</v>
          </cell>
          <cell r="M2115">
            <v>0.16600000000000001</v>
          </cell>
          <cell r="N2115" t="str">
            <v>5W</v>
          </cell>
          <cell r="P2115" t="str">
            <v>PONFCS</v>
          </cell>
          <cell r="Q2115" t="str">
            <v>/  /</v>
          </cell>
        </row>
        <row r="2116">
          <cell r="A2116">
            <v>3804119</v>
          </cell>
          <cell r="B2116">
            <v>43696</v>
          </cell>
          <cell r="C2116" t="str">
            <v>PON</v>
          </cell>
          <cell r="D2116">
            <v>633080203</v>
          </cell>
          <cell r="E2116" t="str">
            <v>FC F19 Izalco MaxDisc 8 FS 54M</v>
          </cell>
          <cell r="F2116">
            <v>1</v>
          </cell>
          <cell r="G2116">
            <v>0</v>
          </cell>
          <cell r="I2116" t="str">
            <v>JJ072</v>
          </cell>
          <cell r="L2116">
            <v>12.6</v>
          </cell>
          <cell r="M2116">
            <v>0.222</v>
          </cell>
          <cell r="N2116" t="str">
            <v>5W</v>
          </cell>
          <cell r="P2116" t="str">
            <v>PONFCS</v>
          </cell>
          <cell r="Q2116" t="str">
            <v>/  /</v>
          </cell>
        </row>
        <row r="2117">
          <cell r="A2117">
            <v>4081472</v>
          </cell>
          <cell r="B2117">
            <v>43696</v>
          </cell>
          <cell r="C2117" t="str">
            <v>PON</v>
          </cell>
          <cell r="D2117">
            <v>633080203</v>
          </cell>
          <cell r="E2117" t="str">
            <v>FC F19 Izalco MaxDisc 8 FS 54M</v>
          </cell>
          <cell r="F2117">
            <v>1</v>
          </cell>
          <cell r="G2117">
            <v>0</v>
          </cell>
          <cell r="I2117" t="str">
            <v>JJ072</v>
          </cell>
          <cell r="L2117">
            <v>12.6</v>
          </cell>
          <cell r="M2117">
            <v>0.222</v>
          </cell>
          <cell r="N2117" t="str">
            <v>5W</v>
          </cell>
          <cell r="P2117" t="str">
            <v>PONFCS</v>
          </cell>
          <cell r="Q2117" t="str">
            <v>/  /</v>
          </cell>
        </row>
        <row r="2118">
          <cell r="A2118">
            <v>3986081</v>
          </cell>
          <cell r="B2118">
            <v>43808</v>
          </cell>
          <cell r="C2118" t="str">
            <v>PON</v>
          </cell>
          <cell r="D2118">
            <v>620508012</v>
          </cell>
          <cell r="E2118" t="str">
            <v>FC F15 F/S Mares CX 3.0 54 MD</v>
          </cell>
          <cell r="F2118">
            <v>1</v>
          </cell>
          <cell r="G2118">
            <v>0</v>
          </cell>
          <cell r="I2118" t="str">
            <v>JJ081</v>
          </cell>
          <cell r="L2118">
            <v>6</v>
          </cell>
          <cell r="M2118">
            <v>0.17399999999999999</v>
          </cell>
          <cell r="N2118" t="str">
            <v>5W</v>
          </cell>
          <cell r="P2118" t="str">
            <v>PONFCS</v>
          </cell>
          <cell r="Q2118" t="str">
            <v>/  /</v>
          </cell>
        </row>
        <row r="2119">
          <cell r="A2119">
            <v>4086664</v>
          </cell>
          <cell r="B2119">
            <v>43808</v>
          </cell>
          <cell r="C2119" t="str">
            <v>PON</v>
          </cell>
          <cell r="D2119">
            <v>620508012</v>
          </cell>
          <cell r="E2119" t="str">
            <v>FC F15 F/S Mares CX 3.0 54 MD</v>
          </cell>
          <cell r="F2119">
            <v>1</v>
          </cell>
          <cell r="G2119">
            <v>0</v>
          </cell>
          <cell r="I2119" t="str">
            <v>JJ081</v>
          </cell>
          <cell r="L2119">
            <v>6</v>
          </cell>
          <cell r="M2119">
            <v>0.17399999999999999</v>
          </cell>
          <cell r="N2119" t="str">
            <v>5W</v>
          </cell>
          <cell r="P2119" t="str">
            <v>PONFCS</v>
          </cell>
          <cell r="Q2119" t="str">
            <v>/  /</v>
          </cell>
        </row>
        <row r="2120">
          <cell r="A2120">
            <v>4086904</v>
          </cell>
          <cell r="B2120">
            <v>43808</v>
          </cell>
          <cell r="C2120" t="str">
            <v>PON</v>
          </cell>
          <cell r="D2120">
            <v>620508012</v>
          </cell>
          <cell r="E2120" t="str">
            <v>FC F15 F/S Mares CX 3.0 54 MD</v>
          </cell>
          <cell r="F2120">
            <v>1</v>
          </cell>
          <cell r="G2120">
            <v>0</v>
          </cell>
          <cell r="I2120" t="str">
            <v>JJ081</v>
          </cell>
          <cell r="L2120">
            <v>6</v>
          </cell>
          <cell r="M2120">
            <v>0.17399999999999999</v>
          </cell>
          <cell r="N2120" t="str">
            <v>5W</v>
          </cell>
          <cell r="P2120" t="str">
            <v>PONFCS</v>
          </cell>
          <cell r="Q2120" t="str">
            <v>/  /</v>
          </cell>
        </row>
        <row r="2121">
          <cell r="A2121">
            <v>4086905</v>
          </cell>
          <cell r="B2121">
            <v>43808</v>
          </cell>
          <cell r="C2121" t="str">
            <v>PON</v>
          </cell>
          <cell r="D2121">
            <v>620508012</v>
          </cell>
          <cell r="E2121" t="str">
            <v>FC F15 F/S Mares CX 3.0 54 MD</v>
          </cell>
          <cell r="F2121">
            <v>1</v>
          </cell>
          <cell r="G2121">
            <v>0</v>
          </cell>
          <cell r="I2121" t="str">
            <v>JJ081</v>
          </cell>
          <cell r="L2121">
            <v>6</v>
          </cell>
          <cell r="M2121">
            <v>0.17399999999999999</v>
          </cell>
          <cell r="N2121" t="str">
            <v>5W</v>
          </cell>
          <cell r="P2121" t="str">
            <v>PONFCS</v>
          </cell>
          <cell r="Q2121" t="str">
            <v>/  /</v>
          </cell>
        </row>
        <row r="2122">
          <cell r="A2122">
            <v>4089611</v>
          </cell>
          <cell r="B2122">
            <v>43808</v>
          </cell>
          <cell r="C2122" t="str">
            <v>PON</v>
          </cell>
          <cell r="D2122">
            <v>620508012</v>
          </cell>
          <cell r="E2122" t="str">
            <v>FC F15 F/S Mares CX 3.0 54 MD</v>
          </cell>
          <cell r="F2122">
            <v>1</v>
          </cell>
          <cell r="G2122">
            <v>0</v>
          </cell>
          <cell r="I2122" t="str">
            <v>JJ081</v>
          </cell>
          <cell r="L2122">
            <v>6</v>
          </cell>
          <cell r="M2122">
            <v>0.17399999999999999</v>
          </cell>
          <cell r="N2122" t="str">
            <v>5W</v>
          </cell>
          <cell r="P2122" t="str">
            <v>PONFCS</v>
          </cell>
          <cell r="Q2122" t="str">
            <v>/  /</v>
          </cell>
        </row>
        <row r="2123">
          <cell r="A2123">
            <v>4086899</v>
          </cell>
          <cell r="B2123">
            <v>43852</v>
          </cell>
          <cell r="C2123" t="str">
            <v>PON</v>
          </cell>
          <cell r="D2123">
            <v>613076011</v>
          </cell>
          <cell r="E2123" t="str">
            <v>Cervelo C13 R5 FS 48</v>
          </cell>
          <cell r="F2123">
            <v>1</v>
          </cell>
          <cell r="G2123">
            <v>0</v>
          </cell>
          <cell r="I2123" t="str">
            <v>JJ082</v>
          </cell>
          <cell r="L2123">
            <v>4.9000000000000004</v>
          </cell>
          <cell r="M2123">
            <v>0.128</v>
          </cell>
          <cell r="N2123" t="str">
            <v>5W</v>
          </cell>
          <cell r="P2123" t="str">
            <v>PONCVL</v>
          </cell>
          <cell r="Q2123" t="str">
            <v>/  /</v>
          </cell>
        </row>
        <row r="2124">
          <cell r="A2124">
            <v>4087248</v>
          </cell>
          <cell r="B2124">
            <v>43852</v>
          </cell>
          <cell r="C2124" t="str">
            <v>PON</v>
          </cell>
          <cell r="D2124">
            <v>613076011</v>
          </cell>
          <cell r="E2124" t="str">
            <v>Cervelo C13 R5 FS 48</v>
          </cell>
          <cell r="F2124">
            <v>1</v>
          </cell>
          <cell r="G2124">
            <v>0</v>
          </cell>
          <cell r="I2124" t="str">
            <v>JJ082</v>
          </cell>
          <cell r="L2124">
            <v>4.9000000000000004</v>
          </cell>
          <cell r="M2124">
            <v>0.128</v>
          </cell>
          <cell r="N2124" t="str">
            <v>5W</v>
          </cell>
          <cell r="P2124" t="str">
            <v>PONCVL</v>
          </cell>
          <cell r="Q2124" t="str">
            <v>/  /</v>
          </cell>
        </row>
        <row r="2125">
          <cell r="A2125">
            <v>4087249</v>
          </cell>
          <cell r="B2125">
            <v>43852</v>
          </cell>
          <cell r="C2125" t="str">
            <v>PON</v>
          </cell>
          <cell r="D2125">
            <v>613076011</v>
          </cell>
          <cell r="E2125" t="str">
            <v>Cervelo C13 R5 FS 48</v>
          </cell>
          <cell r="F2125">
            <v>1</v>
          </cell>
          <cell r="G2125">
            <v>0</v>
          </cell>
          <cell r="I2125" t="str">
            <v>JJ082</v>
          </cell>
          <cell r="L2125">
            <v>4.9000000000000004</v>
          </cell>
          <cell r="M2125">
            <v>0.128</v>
          </cell>
          <cell r="N2125" t="str">
            <v>5W</v>
          </cell>
          <cell r="P2125" t="str">
            <v>PONCVL</v>
          </cell>
          <cell r="Q2125" t="str">
            <v>/  /</v>
          </cell>
        </row>
        <row r="2126">
          <cell r="A2126">
            <v>3855764</v>
          </cell>
          <cell r="B2126">
            <v>43727</v>
          </cell>
          <cell r="C2126" t="str">
            <v>PON</v>
          </cell>
          <cell r="D2126">
            <v>637073141</v>
          </cell>
          <cell r="E2126" t="str">
            <v>CV C20 PX Series Frameset XL</v>
          </cell>
          <cell r="F2126">
            <v>1</v>
          </cell>
          <cell r="G2126">
            <v>0</v>
          </cell>
          <cell r="I2126" t="str">
            <v>JJ082</v>
          </cell>
          <cell r="L2126">
            <v>10.199999999999999</v>
          </cell>
          <cell r="M2126">
            <v>0.17499999999999999</v>
          </cell>
          <cell r="N2126" t="str">
            <v>5W</v>
          </cell>
          <cell r="P2126" t="str">
            <v>PONCVL</v>
          </cell>
          <cell r="Q2126" t="str">
            <v>/  /</v>
          </cell>
        </row>
        <row r="2127">
          <cell r="A2127">
            <v>4041347</v>
          </cell>
          <cell r="B2127">
            <v>43853</v>
          </cell>
          <cell r="C2127" t="str">
            <v>PON</v>
          </cell>
          <cell r="D2127">
            <v>633080203</v>
          </cell>
          <cell r="E2127" t="str">
            <v>FC F19 Izalco MaxDisc 8 FS 54M</v>
          </cell>
          <cell r="F2127">
            <v>1</v>
          </cell>
          <cell r="G2127">
            <v>0</v>
          </cell>
          <cell r="I2127" t="str">
            <v>JJ091</v>
          </cell>
          <cell r="L2127">
            <v>12.6</v>
          </cell>
          <cell r="M2127">
            <v>0.222</v>
          </cell>
          <cell r="N2127" t="str">
            <v>5W</v>
          </cell>
          <cell r="P2127" t="str">
            <v>PONFCS</v>
          </cell>
          <cell r="Q2127" t="str">
            <v>/  /</v>
          </cell>
        </row>
        <row r="2128">
          <cell r="A2128">
            <v>4041348</v>
          </cell>
          <cell r="B2128">
            <v>43853</v>
          </cell>
          <cell r="C2128" t="str">
            <v>PON</v>
          </cell>
          <cell r="D2128">
            <v>633080203</v>
          </cell>
          <cell r="E2128" t="str">
            <v>FC F19 Izalco MaxDisc 8 FS 54M</v>
          </cell>
          <cell r="F2128">
            <v>1</v>
          </cell>
          <cell r="G2128">
            <v>0</v>
          </cell>
          <cell r="I2128" t="str">
            <v>JJ091</v>
          </cell>
          <cell r="L2128">
            <v>12.6</v>
          </cell>
          <cell r="M2128">
            <v>0.222</v>
          </cell>
          <cell r="N2128" t="str">
            <v>5W</v>
          </cell>
          <cell r="P2128" t="str">
            <v>PONFCS</v>
          </cell>
          <cell r="Q2128" t="str">
            <v>/  /</v>
          </cell>
        </row>
        <row r="2129">
          <cell r="A2129">
            <v>4041372</v>
          </cell>
          <cell r="B2129">
            <v>43853</v>
          </cell>
          <cell r="C2129" t="str">
            <v>PON</v>
          </cell>
          <cell r="D2129">
            <v>633080204</v>
          </cell>
          <cell r="E2129" t="str">
            <v>FC F19 Izalco MaxDisc 8 FS 56L</v>
          </cell>
          <cell r="F2129">
            <v>1</v>
          </cell>
          <cell r="G2129">
            <v>0</v>
          </cell>
          <cell r="I2129" t="str">
            <v>JJ091</v>
          </cell>
          <cell r="L2129">
            <v>5.3</v>
          </cell>
          <cell r="M2129">
            <v>0.157</v>
          </cell>
          <cell r="N2129" t="str">
            <v>5W</v>
          </cell>
          <cell r="P2129" t="str">
            <v>PONFCS</v>
          </cell>
          <cell r="Q2129" t="str">
            <v>/  /</v>
          </cell>
        </row>
        <row r="2130">
          <cell r="A2130">
            <v>4041373</v>
          </cell>
          <cell r="B2130">
            <v>43853</v>
          </cell>
          <cell r="C2130" t="str">
            <v>PON</v>
          </cell>
          <cell r="D2130">
            <v>633080204</v>
          </cell>
          <cell r="E2130" t="str">
            <v>FC F19 Izalco MaxDisc 8 FS 56L</v>
          </cell>
          <cell r="F2130">
            <v>1</v>
          </cell>
          <cell r="G2130">
            <v>0</v>
          </cell>
          <cell r="I2130" t="str">
            <v>JJ091</v>
          </cell>
          <cell r="L2130">
            <v>5.3</v>
          </cell>
          <cell r="M2130">
            <v>0.157</v>
          </cell>
          <cell r="N2130" t="str">
            <v>5W</v>
          </cell>
          <cell r="P2130" t="str">
            <v>PONFCS</v>
          </cell>
          <cell r="Q2130" t="str">
            <v>/  /</v>
          </cell>
        </row>
        <row r="2131">
          <cell r="A2131">
            <v>4041374</v>
          </cell>
          <cell r="B2131">
            <v>43853</v>
          </cell>
          <cell r="C2131" t="str">
            <v>PON</v>
          </cell>
          <cell r="D2131">
            <v>633080204</v>
          </cell>
          <cell r="E2131" t="str">
            <v>FC F19 Izalco MaxDisc 8 FS 56L</v>
          </cell>
          <cell r="F2131">
            <v>1</v>
          </cell>
          <cell r="G2131">
            <v>0</v>
          </cell>
          <cell r="I2131" t="str">
            <v>JJ091</v>
          </cell>
          <cell r="L2131">
            <v>5.3</v>
          </cell>
          <cell r="M2131">
            <v>0.157</v>
          </cell>
          <cell r="N2131" t="str">
            <v>5W</v>
          </cell>
          <cell r="P2131" t="str">
            <v>PONFCS</v>
          </cell>
          <cell r="Q2131" t="str">
            <v>/  /</v>
          </cell>
        </row>
        <row r="2132">
          <cell r="A2132">
            <v>3855405</v>
          </cell>
          <cell r="B2132">
            <v>43727</v>
          </cell>
          <cell r="C2132" t="str">
            <v>PON</v>
          </cell>
          <cell r="D2132">
            <v>628073050</v>
          </cell>
          <cell r="E2132" t="str">
            <v>CV C18 R3 Disc FS 48 XSNvy/Wht</v>
          </cell>
          <cell r="F2132">
            <v>1</v>
          </cell>
          <cell r="G2132">
            <v>0</v>
          </cell>
          <cell r="I2132" t="str">
            <v>JJ092</v>
          </cell>
          <cell r="L2132">
            <v>5</v>
          </cell>
          <cell r="M2132">
            <v>0.13600000000000001</v>
          </cell>
          <cell r="N2132" t="str">
            <v>5W</v>
          </cell>
          <cell r="P2132" t="str">
            <v>PONCVL</v>
          </cell>
          <cell r="Q2132" t="str">
            <v>/  /</v>
          </cell>
        </row>
        <row r="2133">
          <cell r="A2133">
            <v>4081368</v>
          </cell>
          <cell r="B2133">
            <v>43787</v>
          </cell>
          <cell r="C2133" t="str">
            <v>PON</v>
          </cell>
          <cell r="D2133">
            <v>633073314</v>
          </cell>
          <cell r="E2133" t="str">
            <v>CV C19 R3 Dsc F/S 58CM Blk/Wh</v>
          </cell>
          <cell r="F2133">
            <v>1</v>
          </cell>
          <cell r="G2133">
            <v>0</v>
          </cell>
          <cell r="I2133" t="str">
            <v>JJ092</v>
          </cell>
          <cell r="L2133">
            <v>5.6</v>
          </cell>
          <cell r="M2133">
            <v>0.17799999999999999</v>
          </cell>
          <cell r="N2133" t="str">
            <v>5W</v>
          </cell>
          <cell r="P2133" t="str">
            <v>PONCVL</v>
          </cell>
          <cell r="Q2133" t="str">
            <v>/  /</v>
          </cell>
        </row>
        <row r="2134">
          <cell r="A2134">
            <v>4041366</v>
          </cell>
          <cell r="B2134">
            <v>43853</v>
          </cell>
          <cell r="C2134" t="str">
            <v>PON</v>
          </cell>
          <cell r="D2134">
            <v>633080204</v>
          </cell>
          <cell r="E2134" t="str">
            <v>FC F19 Izalco MaxDisc 8 FS 56L</v>
          </cell>
          <cell r="F2134">
            <v>1</v>
          </cell>
          <cell r="G2134">
            <v>0</v>
          </cell>
          <cell r="I2134" t="str">
            <v>JJ101</v>
          </cell>
          <cell r="L2134">
            <v>5.3</v>
          </cell>
          <cell r="M2134">
            <v>0.157</v>
          </cell>
          <cell r="N2134" t="str">
            <v>5W</v>
          </cell>
          <cell r="P2134" t="str">
            <v>PONFCS</v>
          </cell>
          <cell r="Q2134" t="str">
            <v>/  /</v>
          </cell>
        </row>
        <row r="2135">
          <cell r="A2135">
            <v>4041367</v>
          </cell>
          <cell r="B2135">
            <v>43853</v>
          </cell>
          <cell r="C2135" t="str">
            <v>PON</v>
          </cell>
          <cell r="D2135">
            <v>633080204</v>
          </cell>
          <cell r="E2135" t="str">
            <v>FC F19 Izalco MaxDisc 8 FS 56L</v>
          </cell>
          <cell r="F2135">
            <v>1</v>
          </cell>
          <cell r="G2135">
            <v>0</v>
          </cell>
          <cell r="I2135" t="str">
            <v>JJ101</v>
          </cell>
          <cell r="L2135">
            <v>5.3</v>
          </cell>
          <cell r="M2135">
            <v>0.157</v>
          </cell>
          <cell r="N2135" t="str">
            <v>5W</v>
          </cell>
          <cell r="P2135" t="str">
            <v>PONFCS</v>
          </cell>
          <cell r="Q2135" t="str">
            <v>/  /</v>
          </cell>
        </row>
        <row r="2136">
          <cell r="A2136">
            <v>4041368</v>
          </cell>
          <cell r="B2136">
            <v>43853</v>
          </cell>
          <cell r="C2136" t="str">
            <v>PON</v>
          </cell>
          <cell r="D2136">
            <v>633080204</v>
          </cell>
          <cell r="E2136" t="str">
            <v>FC F19 Izalco MaxDisc 8 FS 56L</v>
          </cell>
          <cell r="F2136">
            <v>1</v>
          </cell>
          <cell r="G2136">
            <v>0</v>
          </cell>
          <cell r="I2136" t="str">
            <v>JJ101</v>
          </cell>
          <cell r="L2136">
            <v>5.3</v>
          </cell>
          <cell r="M2136">
            <v>0.157</v>
          </cell>
          <cell r="N2136" t="str">
            <v>5W</v>
          </cell>
          <cell r="P2136" t="str">
            <v>PONFCS</v>
          </cell>
          <cell r="Q2136" t="str">
            <v>/  /</v>
          </cell>
        </row>
        <row r="2137">
          <cell r="A2137">
            <v>4041369</v>
          </cell>
          <cell r="B2137">
            <v>43853</v>
          </cell>
          <cell r="C2137" t="str">
            <v>PON</v>
          </cell>
          <cell r="D2137">
            <v>633080204</v>
          </cell>
          <cell r="E2137" t="str">
            <v>FC F19 Izalco MaxDisc 8 FS 56L</v>
          </cell>
          <cell r="F2137">
            <v>1</v>
          </cell>
          <cell r="G2137">
            <v>0</v>
          </cell>
          <cell r="I2137" t="str">
            <v>JJ101</v>
          </cell>
          <cell r="L2137">
            <v>5.3</v>
          </cell>
          <cell r="M2137">
            <v>0.157</v>
          </cell>
          <cell r="N2137" t="str">
            <v>5W</v>
          </cell>
          <cell r="P2137" t="str">
            <v>PONFCS</v>
          </cell>
          <cell r="Q2137" t="str">
            <v>/  /</v>
          </cell>
        </row>
        <row r="2138">
          <cell r="A2138">
            <v>4041370</v>
          </cell>
          <cell r="B2138">
            <v>43853</v>
          </cell>
          <cell r="C2138" t="str">
            <v>PON</v>
          </cell>
          <cell r="D2138">
            <v>633080204</v>
          </cell>
          <cell r="E2138" t="str">
            <v>FC F19 Izalco MaxDisc 8 FS 56L</v>
          </cell>
          <cell r="F2138">
            <v>1</v>
          </cell>
          <cell r="G2138">
            <v>0</v>
          </cell>
          <cell r="I2138" t="str">
            <v>JJ101</v>
          </cell>
          <cell r="L2138">
            <v>5.3</v>
          </cell>
          <cell r="M2138">
            <v>0.157</v>
          </cell>
          <cell r="N2138" t="str">
            <v>5W</v>
          </cell>
          <cell r="P2138" t="str">
            <v>PONFCS</v>
          </cell>
          <cell r="Q2138" t="str">
            <v>/  /</v>
          </cell>
        </row>
        <row r="2139">
          <cell r="A2139">
            <v>4041371</v>
          </cell>
          <cell r="B2139">
            <v>43853</v>
          </cell>
          <cell r="C2139" t="str">
            <v>PON</v>
          </cell>
          <cell r="D2139">
            <v>633080204</v>
          </cell>
          <cell r="E2139" t="str">
            <v>FC F19 Izalco MaxDisc 8 FS 56L</v>
          </cell>
          <cell r="F2139">
            <v>1</v>
          </cell>
          <cell r="G2139">
            <v>0</v>
          </cell>
          <cell r="I2139" t="str">
            <v>JJ101</v>
          </cell>
          <cell r="L2139">
            <v>5.3</v>
          </cell>
          <cell r="M2139">
            <v>0.157</v>
          </cell>
          <cell r="N2139" t="str">
            <v>5W</v>
          </cell>
          <cell r="P2139" t="str">
            <v>PONFCS</v>
          </cell>
          <cell r="Q2139" t="str">
            <v>/  /</v>
          </cell>
        </row>
        <row r="2140">
          <cell r="A2140">
            <v>3953620</v>
          </cell>
          <cell r="B2140">
            <v>43790</v>
          </cell>
          <cell r="C2140" t="str">
            <v>PON</v>
          </cell>
          <cell r="D2140">
            <v>623073034</v>
          </cell>
          <cell r="E2140" t="str">
            <v>Cervelo C16 F/S C5 58</v>
          </cell>
          <cell r="F2140">
            <v>1</v>
          </cell>
          <cell r="G2140">
            <v>0</v>
          </cell>
          <cell r="I2140" t="str">
            <v>JJ111</v>
          </cell>
          <cell r="L2140">
            <v>5.5</v>
          </cell>
          <cell r="M2140">
            <v>0.17699999999999999</v>
          </cell>
          <cell r="N2140" t="str">
            <v>5W</v>
          </cell>
          <cell r="P2140" t="str">
            <v>PONCVL</v>
          </cell>
          <cell r="Q2140" t="str">
            <v>/  /</v>
          </cell>
        </row>
        <row r="2141">
          <cell r="A2141">
            <v>4081017</v>
          </cell>
          <cell r="B2141">
            <v>43790</v>
          </cell>
          <cell r="C2141" t="str">
            <v>PON</v>
          </cell>
          <cell r="D2141">
            <v>623073034</v>
          </cell>
          <cell r="E2141" t="str">
            <v>Cervelo C16 F/S C5 58</v>
          </cell>
          <cell r="F2141">
            <v>1</v>
          </cell>
          <cell r="G2141">
            <v>0</v>
          </cell>
          <cell r="I2141" t="str">
            <v>JJ111</v>
          </cell>
          <cell r="L2141">
            <v>5.5</v>
          </cell>
          <cell r="M2141">
            <v>0.17699999999999999</v>
          </cell>
          <cell r="N2141" t="str">
            <v>5W</v>
          </cell>
          <cell r="P2141" t="str">
            <v>PONCVL</v>
          </cell>
          <cell r="Q2141" t="str">
            <v>/  /</v>
          </cell>
        </row>
        <row r="2142">
          <cell r="A2142">
            <v>3953632</v>
          </cell>
          <cell r="B2142">
            <v>43790</v>
          </cell>
          <cell r="C2142" t="str">
            <v>PON</v>
          </cell>
          <cell r="D2142">
            <v>625073002</v>
          </cell>
          <cell r="E2142" t="str">
            <v>Cervelo C17 F/S S3 Disc 54RED</v>
          </cell>
          <cell r="F2142">
            <v>1</v>
          </cell>
          <cell r="G2142">
            <v>0</v>
          </cell>
          <cell r="I2142" t="str">
            <v>JJ111</v>
          </cell>
          <cell r="L2142">
            <v>5.6</v>
          </cell>
          <cell r="M2142">
            <v>0.152</v>
          </cell>
          <cell r="N2142" t="str">
            <v>5W</v>
          </cell>
          <cell r="P2142" t="str">
            <v>PONCVL</v>
          </cell>
          <cell r="Q2142" t="str">
            <v>/  /</v>
          </cell>
        </row>
        <row r="2143">
          <cell r="A2143">
            <v>4087332</v>
          </cell>
          <cell r="B2143">
            <v>43790</v>
          </cell>
          <cell r="C2143" t="str">
            <v>PON</v>
          </cell>
          <cell r="D2143">
            <v>625073002</v>
          </cell>
          <cell r="E2143" t="str">
            <v>Cervelo C17 F/S S3 Disc 54RED</v>
          </cell>
          <cell r="F2143">
            <v>1</v>
          </cell>
          <cell r="G2143">
            <v>0</v>
          </cell>
          <cell r="I2143" t="str">
            <v>JJ111</v>
          </cell>
          <cell r="L2143">
            <v>5.6</v>
          </cell>
          <cell r="M2143">
            <v>0.152</v>
          </cell>
          <cell r="N2143" t="str">
            <v>5W</v>
          </cell>
          <cell r="P2143" t="str">
            <v>PONCVL</v>
          </cell>
          <cell r="Q2143" t="str">
            <v>/  /</v>
          </cell>
        </row>
        <row r="2144">
          <cell r="A2144">
            <v>4088632</v>
          </cell>
          <cell r="B2144">
            <v>43790</v>
          </cell>
          <cell r="C2144" t="str">
            <v>PON</v>
          </cell>
          <cell r="D2144">
            <v>625073002</v>
          </cell>
          <cell r="E2144" t="str">
            <v>Cervelo C17 F/S S3 Disc 54RED</v>
          </cell>
          <cell r="F2144">
            <v>1</v>
          </cell>
          <cell r="G2144">
            <v>0</v>
          </cell>
          <cell r="I2144" t="str">
            <v>JJ111</v>
          </cell>
          <cell r="L2144">
            <v>5.6</v>
          </cell>
          <cell r="M2144">
            <v>0.152</v>
          </cell>
          <cell r="N2144" t="str">
            <v>5W</v>
          </cell>
          <cell r="P2144" t="str">
            <v>PONCVL</v>
          </cell>
          <cell r="Q2144" t="str">
            <v>/  /</v>
          </cell>
        </row>
        <row r="2145">
          <cell r="A2145">
            <v>4039777</v>
          </cell>
          <cell r="B2145">
            <v>43852</v>
          </cell>
          <cell r="C2145" t="str">
            <v>PON</v>
          </cell>
          <cell r="D2145">
            <v>613508114</v>
          </cell>
          <cell r="E2145" t="str">
            <v>FC F13 FS IZ Team 1.0 56 LGDi2</v>
          </cell>
          <cell r="F2145">
            <v>1</v>
          </cell>
          <cell r="G2145">
            <v>0</v>
          </cell>
          <cell r="I2145" t="str">
            <v>JJ112</v>
          </cell>
          <cell r="L2145">
            <v>5.8</v>
          </cell>
          <cell r="M2145">
            <v>0.17599999999999999</v>
          </cell>
          <cell r="N2145" t="str">
            <v>5W</v>
          </cell>
          <cell r="P2145" t="str">
            <v>PONFCS</v>
          </cell>
          <cell r="Q2145" t="str">
            <v>/  /</v>
          </cell>
        </row>
        <row r="2146">
          <cell r="A2146">
            <v>4080958</v>
          </cell>
          <cell r="B2146">
            <v>43852</v>
          </cell>
          <cell r="C2146" t="str">
            <v>PON</v>
          </cell>
          <cell r="D2146">
            <v>613508114</v>
          </cell>
          <cell r="E2146" t="str">
            <v>FC F13 FS IZ Team 1.0 56 LGDi2</v>
          </cell>
          <cell r="F2146">
            <v>1</v>
          </cell>
          <cell r="G2146">
            <v>0</v>
          </cell>
          <cell r="I2146" t="str">
            <v>JJ112</v>
          </cell>
          <cell r="L2146">
            <v>5.8</v>
          </cell>
          <cell r="M2146">
            <v>0.17599999999999999</v>
          </cell>
          <cell r="N2146" t="str">
            <v>5W</v>
          </cell>
          <cell r="P2146" t="str">
            <v>PONFCS</v>
          </cell>
          <cell r="Q2146" t="str">
            <v>/  /</v>
          </cell>
        </row>
        <row r="2147">
          <cell r="A2147">
            <v>3974158</v>
          </cell>
          <cell r="B2147">
            <v>43802</v>
          </cell>
          <cell r="C2147" t="str">
            <v>PON</v>
          </cell>
          <cell r="D2147">
            <v>623508401</v>
          </cell>
          <cell r="E2147" t="str">
            <v>FC F16 F/S Raven Max 27 42 SM</v>
          </cell>
          <cell r="F2147">
            <v>1</v>
          </cell>
          <cell r="G2147">
            <v>0</v>
          </cell>
          <cell r="I2147" t="str">
            <v>JJ112</v>
          </cell>
          <cell r="L2147">
            <v>4.8</v>
          </cell>
          <cell r="M2147">
            <v>0.16600000000000001</v>
          </cell>
          <cell r="N2147" t="str">
            <v>5W</v>
          </cell>
          <cell r="P2147" t="str">
            <v>PONFCS</v>
          </cell>
          <cell r="Q2147" t="str">
            <v>/  /</v>
          </cell>
        </row>
        <row r="2148">
          <cell r="A2148">
            <v>4081021</v>
          </cell>
          <cell r="B2148">
            <v>43802</v>
          </cell>
          <cell r="C2148" t="str">
            <v>PON</v>
          </cell>
          <cell r="D2148">
            <v>623508401</v>
          </cell>
          <cell r="E2148" t="str">
            <v>FC F16 F/S Raven Max 27 42 SM</v>
          </cell>
          <cell r="F2148">
            <v>1</v>
          </cell>
          <cell r="G2148">
            <v>0</v>
          </cell>
          <cell r="I2148" t="str">
            <v>JJ112</v>
          </cell>
          <cell r="L2148">
            <v>4.8</v>
          </cell>
          <cell r="M2148">
            <v>0.16600000000000001</v>
          </cell>
          <cell r="N2148" t="str">
            <v>5W</v>
          </cell>
          <cell r="P2148" t="str">
            <v>PONFCS</v>
          </cell>
          <cell r="Q2148" t="str">
            <v>/  /</v>
          </cell>
        </row>
        <row r="2149">
          <cell r="A2149">
            <v>4088339</v>
          </cell>
          <cell r="B2149">
            <v>43696</v>
          </cell>
          <cell r="C2149" t="str">
            <v>PON</v>
          </cell>
          <cell r="D2149">
            <v>637080101</v>
          </cell>
          <cell r="E2149" t="str">
            <v>FC MY20IZAL 700x50 XS Red Tint</v>
          </cell>
          <cell r="F2149">
            <v>1</v>
          </cell>
          <cell r="G2149">
            <v>0</v>
          </cell>
          <cell r="I2149" t="str">
            <v>JJ112</v>
          </cell>
          <cell r="L2149">
            <v>5.7</v>
          </cell>
          <cell r="M2149">
            <v>0.14199999999999999</v>
          </cell>
          <cell r="N2149" t="str">
            <v>5W</v>
          </cell>
          <cell r="P2149" t="str">
            <v>PONFCS</v>
          </cell>
          <cell r="Q2149" t="str">
            <v>/  /</v>
          </cell>
        </row>
        <row r="2150">
          <cell r="A2150">
            <v>3895617</v>
          </cell>
          <cell r="B2150">
            <v>43752</v>
          </cell>
          <cell r="C2150" t="str">
            <v>PON</v>
          </cell>
          <cell r="D2150">
            <v>625073014</v>
          </cell>
          <cell r="E2150" t="str">
            <v>CV C17 F/S S3 Disc 58 White</v>
          </cell>
          <cell r="F2150">
            <v>1</v>
          </cell>
          <cell r="G2150">
            <v>0</v>
          </cell>
          <cell r="I2150" t="str">
            <v>JJ121</v>
          </cell>
          <cell r="L2150">
            <v>6</v>
          </cell>
          <cell r="M2150">
            <v>0.17199999999999999</v>
          </cell>
          <cell r="N2150" t="str">
            <v>5W</v>
          </cell>
          <cell r="P2150" t="str">
            <v>PONCVL</v>
          </cell>
          <cell r="Q2150" t="str">
            <v>/  /</v>
          </cell>
        </row>
        <row r="2151">
          <cell r="A2151">
            <v>3944652</v>
          </cell>
          <cell r="B2151">
            <v>43787</v>
          </cell>
          <cell r="C2151" t="str">
            <v>PON</v>
          </cell>
          <cell r="D2151">
            <v>633073131</v>
          </cell>
          <cell r="E2151" t="str">
            <v>C19 R5 Ltd FS Dsc 51 SM Camo</v>
          </cell>
          <cell r="F2151">
            <v>1</v>
          </cell>
          <cell r="G2151">
            <v>0</v>
          </cell>
          <cell r="I2151" t="str">
            <v>JJ121</v>
          </cell>
          <cell r="J2151">
            <v>1</v>
          </cell>
          <cell r="L2151">
            <v>5.2</v>
          </cell>
          <cell r="M2151">
            <v>0.13800000000000001</v>
          </cell>
          <cell r="N2151" t="str">
            <v>5W</v>
          </cell>
          <cell r="P2151" t="str">
            <v>PONCVL</v>
          </cell>
          <cell r="Q2151" t="str">
            <v>/  /</v>
          </cell>
        </row>
        <row r="2152">
          <cell r="A2152">
            <v>4087520</v>
          </cell>
          <cell r="B2152">
            <v>43787</v>
          </cell>
          <cell r="C2152" t="str">
            <v>PON</v>
          </cell>
          <cell r="D2152">
            <v>633073131</v>
          </cell>
          <cell r="E2152" t="str">
            <v>C19 R5 Ltd FS Dsc 51 SM Camo</v>
          </cell>
          <cell r="F2152">
            <v>1</v>
          </cell>
          <cell r="G2152">
            <v>0</v>
          </cell>
          <cell r="I2152" t="str">
            <v>JJ121</v>
          </cell>
          <cell r="J2152">
            <v>1</v>
          </cell>
          <cell r="L2152">
            <v>5.2</v>
          </cell>
          <cell r="M2152">
            <v>0.13800000000000001</v>
          </cell>
          <cell r="N2152" t="str">
            <v>5W</v>
          </cell>
          <cell r="P2152" t="str">
            <v>PONCVL</v>
          </cell>
          <cell r="Q2152" t="str">
            <v>/  /</v>
          </cell>
        </row>
        <row r="2153">
          <cell r="A2153">
            <v>4088946</v>
          </cell>
          <cell r="B2153">
            <v>43787</v>
          </cell>
          <cell r="C2153" t="str">
            <v>PON</v>
          </cell>
          <cell r="D2153">
            <v>633073131</v>
          </cell>
          <cell r="E2153" t="str">
            <v>C19 R5 Ltd FS Dsc 51 SM Camo</v>
          </cell>
          <cell r="F2153">
            <v>1</v>
          </cell>
          <cell r="G2153">
            <v>0</v>
          </cell>
          <cell r="I2153" t="str">
            <v>JJ121</v>
          </cell>
          <cell r="J2153">
            <v>1</v>
          </cell>
          <cell r="L2153">
            <v>5.2</v>
          </cell>
          <cell r="M2153">
            <v>0.13800000000000001</v>
          </cell>
          <cell r="N2153" t="str">
            <v>5W</v>
          </cell>
          <cell r="P2153" t="str">
            <v>PONCVL</v>
          </cell>
          <cell r="Q2153" t="str">
            <v>/  /</v>
          </cell>
        </row>
        <row r="2154">
          <cell r="A2154">
            <v>3895742</v>
          </cell>
          <cell r="B2154">
            <v>43752</v>
          </cell>
          <cell r="C2154" t="str">
            <v>PON</v>
          </cell>
          <cell r="D2154" t="str">
            <v>ODOP3DFS2X54</v>
          </cell>
          <cell r="E2154" t="str">
            <v>C18 Benn F/Set Blk Fluro Sz 54</v>
          </cell>
          <cell r="F2154">
            <v>1</v>
          </cell>
          <cell r="G2154">
            <v>0</v>
          </cell>
          <cell r="I2154" t="str">
            <v>JJ121</v>
          </cell>
          <cell r="L2154">
            <v>5.9</v>
          </cell>
          <cell r="M2154">
            <v>0.13300000000000001</v>
          </cell>
          <cell r="N2154" t="str">
            <v>5W</v>
          </cell>
          <cell r="P2154" t="str">
            <v>PONCVL</v>
          </cell>
          <cell r="Q2154" t="str">
            <v>/  /</v>
          </cell>
        </row>
        <row r="2155">
          <cell r="A2155">
            <v>3804121</v>
          </cell>
          <cell r="B2155">
            <v>43696</v>
          </cell>
          <cell r="C2155" t="str">
            <v>PON</v>
          </cell>
          <cell r="D2155">
            <v>633080204</v>
          </cell>
          <cell r="E2155" t="str">
            <v>FC F19 Izalco MaxDisc 8 FS 56L</v>
          </cell>
          <cell r="F2155">
            <v>1</v>
          </cell>
          <cell r="G2155">
            <v>0</v>
          </cell>
          <cell r="I2155" t="str">
            <v>JJ131</v>
          </cell>
          <cell r="L2155">
            <v>5.3</v>
          </cell>
          <cell r="M2155">
            <v>0.157</v>
          </cell>
          <cell r="N2155" t="str">
            <v>5W</v>
          </cell>
          <cell r="P2155" t="str">
            <v>PONFCS</v>
          </cell>
          <cell r="Q2155" t="str">
            <v>/  /</v>
          </cell>
        </row>
        <row r="2156">
          <cell r="A2156">
            <v>4086826</v>
          </cell>
          <cell r="B2156">
            <v>43696</v>
          </cell>
          <cell r="C2156" t="str">
            <v>PON</v>
          </cell>
          <cell r="D2156">
            <v>633080204</v>
          </cell>
          <cell r="E2156" t="str">
            <v>FC F19 Izalco MaxDisc 8 FS 56L</v>
          </cell>
          <cell r="F2156">
            <v>1</v>
          </cell>
          <cell r="G2156">
            <v>0</v>
          </cell>
          <cell r="I2156" t="str">
            <v>JJ131</v>
          </cell>
          <cell r="L2156">
            <v>5.3</v>
          </cell>
          <cell r="M2156">
            <v>0.157</v>
          </cell>
          <cell r="N2156" t="str">
            <v>5W</v>
          </cell>
          <cell r="P2156" t="str">
            <v>PONFCS</v>
          </cell>
          <cell r="Q2156" t="str">
            <v>/  /</v>
          </cell>
        </row>
        <row r="2157">
          <cell r="A2157">
            <v>4087174</v>
          </cell>
          <cell r="B2157">
            <v>43696</v>
          </cell>
          <cell r="C2157" t="str">
            <v>PON</v>
          </cell>
          <cell r="D2157">
            <v>633080204</v>
          </cell>
          <cell r="E2157" t="str">
            <v>FC F19 Izalco MaxDisc 8 FS 56L</v>
          </cell>
          <cell r="F2157">
            <v>1</v>
          </cell>
          <cell r="G2157">
            <v>0</v>
          </cell>
          <cell r="I2157" t="str">
            <v>JJ131</v>
          </cell>
          <cell r="L2157">
            <v>5.3</v>
          </cell>
          <cell r="M2157">
            <v>0.157</v>
          </cell>
          <cell r="N2157" t="str">
            <v>5W</v>
          </cell>
          <cell r="P2157" t="str">
            <v>PONFCS</v>
          </cell>
          <cell r="Q2157" t="str">
            <v>/  /</v>
          </cell>
        </row>
        <row r="2158">
          <cell r="A2158">
            <v>4087175</v>
          </cell>
          <cell r="B2158">
            <v>43696</v>
          </cell>
          <cell r="C2158" t="str">
            <v>PON</v>
          </cell>
          <cell r="D2158">
            <v>633080204</v>
          </cell>
          <cell r="E2158" t="str">
            <v>FC F19 Izalco MaxDisc 8 FS 56L</v>
          </cell>
          <cell r="F2158">
            <v>1</v>
          </cell>
          <cell r="G2158">
            <v>0</v>
          </cell>
          <cell r="I2158" t="str">
            <v>JJ131</v>
          </cell>
          <cell r="L2158">
            <v>5.3</v>
          </cell>
          <cell r="M2158">
            <v>0.157</v>
          </cell>
          <cell r="N2158" t="str">
            <v>5W</v>
          </cell>
          <cell r="P2158" t="str">
            <v>PONFCS</v>
          </cell>
          <cell r="Q2158" t="str">
            <v>/  /</v>
          </cell>
        </row>
        <row r="2159">
          <cell r="A2159">
            <v>4089745</v>
          </cell>
          <cell r="B2159">
            <v>43696</v>
          </cell>
          <cell r="C2159" t="str">
            <v>PON</v>
          </cell>
          <cell r="D2159">
            <v>633080204</v>
          </cell>
          <cell r="E2159" t="str">
            <v>FC F19 Izalco MaxDisc 8 FS 56L</v>
          </cell>
          <cell r="F2159">
            <v>1</v>
          </cell>
          <cell r="G2159">
            <v>0</v>
          </cell>
          <cell r="I2159" t="str">
            <v>JJ131</v>
          </cell>
          <cell r="L2159">
            <v>5.3</v>
          </cell>
          <cell r="M2159">
            <v>0.157</v>
          </cell>
          <cell r="N2159" t="str">
            <v>5W</v>
          </cell>
          <cell r="P2159" t="str">
            <v>PONFCS</v>
          </cell>
          <cell r="Q2159" t="str">
            <v>/  /</v>
          </cell>
        </row>
        <row r="2160">
          <cell r="A2160">
            <v>4039767</v>
          </cell>
          <cell r="B2160">
            <v>43852</v>
          </cell>
          <cell r="C2160" t="str">
            <v>PON</v>
          </cell>
          <cell r="D2160">
            <v>613508061</v>
          </cell>
          <cell r="E2160" t="str">
            <v>FC F13 FS Mares CX 3.0 54 MD</v>
          </cell>
          <cell r="F2160">
            <v>1</v>
          </cell>
          <cell r="G2160">
            <v>0</v>
          </cell>
          <cell r="I2160" t="str">
            <v>JJ132</v>
          </cell>
          <cell r="L2160">
            <v>6.4</v>
          </cell>
          <cell r="M2160">
            <v>0.17499999999999999</v>
          </cell>
          <cell r="N2160" t="str">
            <v>5W</v>
          </cell>
          <cell r="P2160" t="str">
            <v>PONFCS</v>
          </cell>
          <cell r="Q2160" t="str">
            <v>/  /</v>
          </cell>
        </row>
        <row r="2161">
          <cell r="A2161">
            <v>4080954</v>
          </cell>
          <cell r="B2161">
            <v>43852</v>
          </cell>
          <cell r="C2161" t="str">
            <v>PON</v>
          </cell>
          <cell r="D2161">
            <v>613508061</v>
          </cell>
          <cell r="E2161" t="str">
            <v>FC F13 FS Mares CX 3.0 54 MD</v>
          </cell>
          <cell r="F2161">
            <v>1</v>
          </cell>
          <cell r="G2161">
            <v>0</v>
          </cell>
          <cell r="I2161" t="str">
            <v>JJ132</v>
          </cell>
          <cell r="L2161">
            <v>6.4</v>
          </cell>
          <cell r="M2161">
            <v>0.17499999999999999</v>
          </cell>
          <cell r="N2161" t="str">
            <v>5W</v>
          </cell>
          <cell r="P2161" t="str">
            <v>PONFCS</v>
          </cell>
          <cell r="Q2161" t="str">
            <v>/  /</v>
          </cell>
        </row>
        <row r="2162">
          <cell r="A2162">
            <v>4039769</v>
          </cell>
          <cell r="B2162">
            <v>43852</v>
          </cell>
          <cell r="C2162" t="str">
            <v>PON</v>
          </cell>
          <cell r="D2162">
            <v>613508062</v>
          </cell>
          <cell r="E2162" t="str">
            <v>FC F13 FS Mares CX 3.0 56 LG</v>
          </cell>
          <cell r="F2162">
            <v>1</v>
          </cell>
          <cell r="G2162">
            <v>0</v>
          </cell>
          <cell r="I2162" t="str">
            <v>JJ132</v>
          </cell>
          <cell r="L2162">
            <v>6.2</v>
          </cell>
          <cell r="M2162">
            <v>0.17</v>
          </cell>
          <cell r="N2162" t="str">
            <v>5W</v>
          </cell>
          <cell r="P2162" t="str">
            <v>PONFCS</v>
          </cell>
          <cell r="Q2162" t="str">
            <v>/  /</v>
          </cell>
        </row>
        <row r="2163">
          <cell r="A2163">
            <v>4080956</v>
          </cell>
          <cell r="B2163">
            <v>43852</v>
          </cell>
          <cell r="C2163" t="str">
            <v>PON</v>
          </cell>
          <cell r="D2163">
            <v>613508062</v>
          </cell>
          <cell r="E2163" t="str">
            <v>FC F13 FS Mares CX 3.0 56 LG</v>
          </cell>
          <cell r="F2163">
            <v>1</v>
          </cell>
          <cell r="G2163">
            <v>0</v>
          </cell>
          <cell r="I2163" t="str">
            <v>JJ132</v>
          </cell>
          <cell r="L2163">
            <v>6.2</v>
          </cell>
          <cell r="M2163">
            <v>0.17</v>
          </cell>
          <cell r="N2163" t="str">
            <v>5W</v>
          </cell>
          <cell r="P2163" t="str">
            <v>PONFCS</v>
          </cell>
          <cell r="Q2163" t="str">
            <v>/  /</v>
          </cell>
        </row>
        <row r="2164">
          <cell r="A2164">
            <v>4081365</v>
          </cell>
          <cell r="B2164">
            <v>43787</v>
          </cell>
          <cell r="C2164" t="str">
            <v>PON</v>
          </cell>
          <cell r="D2164">
            <v>633073310</v>
          </cell>
          <cell r="E2164" t="str">
            <v>CV C19 R3 Dsc F/S 48CM Blk/Wh</v>
          </cell>
          <cell r="F2164">
            <v>1</v>
          </cell>
          <cell r="G2164">
            <v>0</v>
          </cell>
          <cell r="I2164" t="str">
            <v>JJ141</v>
          </cell>
          <cell r="L2164">
            <v>3.5</v>
          </cell>
          <cell r="M2164">
            <v>0.182</v>
          </cell>
          <cell r="N2164" t="str">
            <v>5W</v>
          </cell>
          <cell r="P2164" t="str">
            <v>PONCVL</v>
          </cell>
          <cell r="Q2164" t="str">
            <v>/  /</v>
          </cell>
        </row>
        <row r="2165">
          <cell r="A2165">
            <v>3994358</v>
          </cell>
          <cell r="B2165">
            <v>43811</v>
          </cell>
          <cell r="C2165" t="str">
            <v>PON</v>
          </cell>
          <cell r="D2165">
            <v>620508011</v>
          </cell>
          <cell r="E2165" t="str">
            <v>FC F15 F/S Mares CX 3.0 51 SM</v>
          </cell>
          <cell r="F2165">
            <v>1</v>
          </cell>
          <cell r="G2165">
            <v>0</v>
          </cell>
          <cell r="I2165" t="str">
            <v>JJ142</v>
          </cell>
          <cell r="L2165">
            <v>5.9</v>
          </cell>
          <cell r="M2165">
            <v>0.17199999999999999</v>
          </cell>
          <cell r="N2165" t="str">
            <v>5W</v>
          </cell>
          <cell r="P2165" t="str">
            <v>PONFCS</v>
          </cell>
          <cell r="Q2165" t="str">
            <v>/  /</v>
          </cell>
        </row>
        <row r="2166">
          <cell r="A2166">
            <v>4080994</v>
          </cell>
          <cell r="B2166">
            <v>43811</v>
          </cell>
          <cell r="C2166" t="str">
            <v>PON</v>
          </cell>
          <cell r="D2166">
            <v>620508011</v>
          </cell>
          <cell r="E2166" t="str">
            <v>FC F15 F/S Mares CX 3.0 51 SM</v>
          </cell>
          <cell r="F2166">
            <v>1</v>
          </cell>
          <cell r="G2166">
            <v>0</v>
          </cell>
          <cell r="I2166" t="str">
            <v>JJ142</v>
          </cell>
          <cell r="L2166">
            <v>5.9</v>
          </cell>
          <cell r="M2166">
            <v>0.17199999999999999</v>
          </cell>
          <cell r="N2166" t="str">
            <v>5W</v>
          </cell>
          <cell r="P2166" t="str">
            <v>PONFCS</v>
          </cell>
          <cell r="Q2166" t="str">
            <v>/  /</v>
          </cell>
        </row>
        <row r="2167">
          <cell r="A2167">
            <v>3994381</v>
          </cell>
          <cell r="B2167">
            <v>43811</v>
          </cell>
          <cell r="C2167" t="str">
            <v>PON</v>
          </cell>
          <cell r="D2167">
            <v>625508002</v>
          </cell>
          <cell r="E2167" t="str">
            <v>Focus F17 IZ Max F/S 52 SM</v>
          </cell>
          <cell r="F2167">
            <v>1</v>
          </cell>
          <cell r="G2167">
            <v>0</v>
          </cell>
          <cell r="I2167" t="str">
            <v>JJ142</v>
          </cell>
          <cell r="L2167">
            <v>5.2</v>
          </cell>
          <cell r="M2167">
            <v>0.14899999999999999</v>
          </cell>
          <cell r="N2167" t="str">
            <v>5W</v>
          </cell>
          <cell r="P2167" t="str">
            <v>PONFCS</v>
          </cell>
          <cell r="Q2167" t="str">
            <v>/  /</v>
          </cell>
        </row>
        <row r="2168">
          <cell r="A2168">
            <v>3994405</v>
          </cell>
          <cell r="B2168">
            <v>43811</v>
          </cell>
          <cell r="C2168" t="str">
            <v>PON</v>
          </cell>
          <cell r="D2168">
            <v>628509103</v>
          </cell>
          <cell r="E2168" t="str">
            <v>FC F18 IZ Max Disc DI2 F/S 54M</v>
          </cell>
          <cell r="F2168">
            <v>1</v>
          </cell>
          <cell r="G2168">
            <v>0</v>
          </cell>
          <cell r="I2168" t="str">
            <v>JJ142</v>
          </cell>
          <cell r="L2168">
            <v>5.4</v>
          </cell>
          <cell r="M2168">
            <v>0.17599999999999999</v>
          </cell>
          <cell r="N2168" t="str">
            <v>5W</v>
          </cell>
          <cell r="P2168" t="str">
            <v>PONFCS</v>
          </cell>
          <cell r="Q2168" t="str">
            <v>/  /</v>
          </cell>
        </row>
        <row r="2169">
          <cell r="A2169">
            <v>3994427</v>
          </cell>
          <cell r="B2169">
            <v>43811</v>
          </cell>
          <cell r="C2169" t="str">
            <v>PON</v>
          </cell>
          <cell r="D2169" t="str">
            <v>FS625016012</v>
          </cell>
          <cell r="E2169" t="str">
            <v>FC F17 IZ MaxDisc Team FS 52SM</v>
          </cell>
          <cell r="F2169">
            <v>1</v>
          </cell>
          <cell r="G2169">
            <v>0</v>
          </cell>
          <cell r="I2169" t="str">
            <v>JJ142</v>
          </cell>
          <cell r="L2169">
            <v>5</v>
          </cell>
          <cell r="M2169">
            <v>0.14599999999999999</v>
          </cell>
          <cell r="N2169" t="str">
            <v>5W</v>
          </cell>
          <cell r="P2169" t="str">
            <v>PONFCS</v>
          </cell>
          <cell r="Q2169" t="str">
            <v>/  /</v>
          </cell>
        </row>
        <row r="2170">
          <cell r="A2170">
            <v>3879253</v>
          </cell>
          <cell r="B2170">
            <v>43734</v>
          </cell>
          <cell r="C2170" t="str">
            <v>PON</v>
          </cell>
          <cell r="D2170">
            <v>196716426</v>
          </cell>
          <cell r="E2170" t="str">
            <v>Kalkhoff My Bike Work Mat</v>
          </cell>
          <cell r="F2170">
            <v>38</v>
          </cell>
          <cell r="G2170">
            <v>0.54800000000000004</v>
          </cell>
          <cell r="I2170" t="str">
            <v>JJ155</v>
          </cell>
          <cell r="L2170">
            <v>228</v>
          </cell>
          <cell r="M2170">
            <v>0.83599999999999997</v>
          </cell>
          <cell r="N2170" t="str">
            <v>5W</v>
          </cell>
          <cell r="P2170" t="str">
            <v>PONACC</v>
          </cell>
          <cell r="Q2170" t="str">
            <v>/  /</v>
          </cell>
        </row>
        <row r="2171">
          <cell r="A2171">
            <v>3874773</v>
          </cell>
          <cell r="B2171">
            <v>43731</v>
          </cell>
          <cell r="C2171" t="str">
            <v>PON</v>
          </cell>
          <cell r="D2171">
            <v>197017030</v>
          </cell>
          <cell r="E2171" t="str">
            <v>Bottl 750ml Auto Tank Blk 50pc</v>
          </cell>
          <cell r="F2171">
            <v>100</v>
          </cell>
          <cell r="G2171">
            <v>0.1</v>
          </cell>
          <cell r="I2171" t="str">
            <v>JJ165</v>
          </cell>
          <cell r="L2171">
            <v>8</v>
          </cell>
          <cell r="M2171">
            <v>0.16</v>
          </cell>
          <cell r="N2171" t="str">
            <v>5W</v>
          </cell>
          <cell r="P2171" t="str">
            <v>PONACC</v>
          </cell>
          <cell r="Q2171" t="str">
            <v>/  /</v>
          </cell>
        </row>
        <row r="2172">
          <cell r="A2172">
            <v>3874775</v>
          </cell>
          <cell r="B2172">
            <v>43731</v>
          </cell>
          <cell r="C2172" t="str">
            <v>PON</v>
          </cell>
          <cell r="D2172" t="str">
            <v>BHS919</v>
          </cell>
          <cell r="E2172" t="str">
            <v>Bike Holder System 2p/ctn</v>
          </cell>
          <cell r="F2172">
            <v>40</v>
          </cell>
          <cell r="G2172">
            <v>0.19</v>
          </cell>
          <cell r="I2172" t="str">
            <v>JJ165</v>
          </cell>
          <cell r="L2172">
            <v>60</v>
          </cell>
          <cell r="M2172">
            <v>0.28000000000000003</v>
          </cell>
          <cell r="N2172" t="str">
            <v>5W</v>
          </cell>
          <cell r="P2172" t="str">
            <v>PONMAR</v>
          </cell>
          <cell r="Q2172" t="str">
            <v>/  /</v>
          </cell>
        </row>
        <row r="2173">
          <cell r="A2173">
            <v>4037613</v>
          </cell>
          <cell r="B2173">
            <v>43851</v>
          </cell>
          <cell r="C2173" t="str">
            <v>PON</v>
          </cell>
          <cell r="D2173">
            <v>613508050</v>
          </cell>
          <cell r="E2173" t="str">
            <v>FC F13 FS Mare CX 2.0 52 SMDi2</v>
          </cell>
          <cell r="F2173">
            <v>1</v>
          </cell>
          <cell r="G2173">
            <v>0</v>
          </cell>
          <cell r="I2173" t="str">
            <v>JK011</v>
          </cell>
          <cell r="L2173">
            <v>6.3</v>
          </cell>
          <cell r="M2173">
            <v>0.191</v>
          </cell>
          <cell r="N2173" t="str">
            <v>5W</v>
          </cell>
          <cell r="P2173" t="str">
            <v>PONFCS</v>
          </cell>
          <cell r="Q2173" t="str">
            <v>/  /</v>
          </cell>
        </row>
        <row r="2174">
          <cell r="A2174">
            <v>3913391</v>
          </cell>
          <cell r="B2174">
            <v>43767</v>
          </cell>
          <cell r="C2174" t="str">
            <v>PON</v>
          </cell>
          <cell r="D2174">
            <v>620508063</v>
          </cell>
          <cell r="E2174" t="str">
            <v>FC F15 F/S Cayo 3.0 Disc 57 LG</v>
          </cell>
          <cell r="F2174">
            <v>1</v>
          </cell>
          <cell r="G2174">
            <v>0</v>
          </cell>
          <cell r="I2174" t="str">
            <v>JK011</v>
          </cell>
          <cell r="L2174">
            <v>8.5</v>
          </cell>
          <cell r="M2174">
            <v>0.17199999999999999</v>
          </cell>
          <cell r="N2174" t="str">
            <v>5W</v>
          </cell>
          <cell r="P2174" t="str">
            <v>PONFCS</v>
          </cell>
          <cell r="Q2174" t="str">
            <v>/  /</v>
          </cell>
        </row>
        <row r="2175">
          <cell r="A2175">
            <v>4087287</v>
          </cell>
          <cell r="B2175">
            <v>43767</v>
          </cell>
          <cell r="C2175" t="str">
            <v>PON</v>
          </cell>
          <cell r="D2175">
            <v>620508063</v>
          </cell>
          <cell r="E2175" t="str">
            <v>FC F15 F/S Cayo 3.0 Disc 57 LG</v>
          </cell>
          <cell r="F2175">
            <v>1</v>
          </cell>
          <cell r="G2175">
            <v>0</v>
          </cell>
          <cell r="I2175" t="str">
            <v>JK011</v>
          </cell>
          <cell r="L2175">
            <v>8.5</v>
          </cell>
          <cell r="M2175">
            <v>0.17199999999999999</v>
          </cell>
          <cell r="N2175" t="str">
            <v>5W</v>
          </cell>
          <cell r="P2175" t="str">
            <v>PONFCS</v>
          </cell>
          <cell r="Q2175" t="str">
            <v>/  /</v>
          </cell>
        </row>
        <row r="2176">
          <cell r="A2176">
            <v>4088559</v>
          </cell>
          <cell r="B2176">
            <v>43767</v>
          </cell>
          <cell r="C2176" t="str">
            <v>PON</v>
          </cell>
          <cell r="D2176">
            <v>620508063</v>
          </cell>
          <cell r="E2176" t="str">
            <v>FC F15 F/S Cayo 3.0 Disc 57 LG</v>
          </cell>
          <cell r="F2176">
            <v>1</v>
          </cell>
          <cell r="G2176">
            <v>0</v>
          </cell>
          <cell r="I2176" t="str">
            <v>JK011</v>
          </cell>
          <cell r="L2176">
            <v>8.5</v>
          </cell>
          <cell r="M2176">
            <v>0.17199999999999999</v>
          </cell>
          <cell r="N2176" t="str">
            <v>5W</v>
          </cell>
          <cell r="P2176" t="str">
            <v>PONFCS</v>
          </cell>
          <cell r="Q2176" t="str">
            <v>/  /</v>
          </cell>
        </row>
        <row r="2177">
          <cell r="A2177">
            <v>3913393</v>
          </cell>
          <cell r="B2177">
            <v>43767</v>
          </cell>
          <cell r="C2177" t="str">
            <v>PON</v>
          </cell>
          <cell r="D2177">
            <v>620508081</v>
          </cell>
          <cell r="E2177" t="str">
            <v>FC F17 IZ Chrono Sponsor F/S M</v>
          </cell>
          <cell r="F2177">
            <v>1</v>
          </cell>
          <cell r="G2177">
            <v>0</v>
          </cell>
          <cell r="I2177" t="str">
            <v>JK011</v>
          </cell>
          <cell r="L2177">
            <v>8.5</v>
          </cell>
          <cell r="M2177">
            <v>0.16300000000000001</v>
          </cell>
          <cell r="N2177" t="str">
            <v>5W</v>
          </cell>
          <cell r="P2177" t="str">
            <v>PONFCS</v>
          </cell>
          <cell r="Q2177" t="str">
            <v>/  /</v>
          </cell>
        </row>
        <row r="2178">
          <cell r="A2178">
            <v>4081003</v>
          </cell>
          <cell r="B2178">
            <v>43767</v>
          </cell>
          <cell r="C2178" t="str">
            <v>PON</v>
          </cell>
          <cell r="D2178">
            <v>620508081</v>
          </cell>
          <cell r="E2178" t="str">
            <v>FC F17 IZ Chrono Sponsor F/S M</v>
          </cell>
          <cell r="F2178">
            <v>1</v>
          </cell>
          <cell r="G2178">
            <v>0</v>
          </cell>
          <cell r="I2178" t="str">
            <v>JK011</v>
          </cell>
          <cell r="L2178">
            <v>8.5</v>
          </cell>
          <cell r="M2178">
            <v>0.16300000000000001</v>
          </cell>
          <cell r="N2178" t="str">
            <v>5W</v>
          </cell>
          <cell r="P2178" t="str">
            <v>PONFCS</v>
          </cell>
          <cell r="Q2178" t="str">
            <v>/  /</v>
          </cell>
        </row>
        <row r="2179">
          <cell r="A2179">
            <v>4041349</v>
          </cell>
          <cell r="B2179">
            <v>43853</v>
          </cell>
          <cell r="C2179" t="str">
            <v>PON</v>
          </cell>
          <cell r="D2179">
            <v>633080203</v>
          </cell>
          <cell r="E2179" t="str">
            <v>FC F19 Izalco MaxDisc 8 FS 54M</v>
          </cell>
          <cell r="F2179">
            <v>1</v>
          </cell>
          <cell r="G2179">
            <v>0</v>
          </cell>
          <cell r="I2179" t="str">
            <v>JK012</v>
          </cell>
          <cell r="L2179">
            <v>12.6</v>
          </cell>
          <cell r="M2179">
            <v>0.222</v>
          </cell>
          <cell r="N2179" t="str">
            <v>5W</v>
          </cell>
          <cell r="P2179" t="str">
            <v>PONFCS</v>
          </cell>
          <cell r="Q2179" t="str">
            <v>/  /</v>
          </cell>
        </row>
        <row r="2180">
          <cell r="A2180">
            <v>4041350</v>
          </cell>
          <cell r="B2180">
            <v>43853</v>
          </cell>
          <cell r="C2180" t="str">
            <v>PON</v>
          </cell>
          <cell r="D2180">
            <v>633080203</v>
          </cell>
          <cell r="E2180" t="str">
            <v>FC F19 Izalco MaxDisc 8 FS 54M</v>
          </cell>
          <cell r="F2180">
            <v>1</v>
          </cell>
          <cell r="G2180">
            <v>0</v>
          </cell>
          <cell r="I2180" t="str">
            <v>JK012</v>
          </cell>
          <cell r="L2180">
            <v>12.6</v>
          </cell>
          <cell r="M2180">
            <v>0.222</v>
          </cell>
          <cell r="N2180" t="str">
            <v>5W</v>
          </cell>
          <cell r="P2180" t="str">
            <v>PONFCS</v>
          </cell>
          <cell r="Q2180" t="str">
            <v>/  /</v>
          </cell>
        </row>
        <row r="2181">
          <cell r="A2181">
            <v>4041351</v>
          </cell>
          <cell r="B2181">
            <v>43853</v>
          </cell>
          <cell r="C2181" t="str">
            <v>PON</v>
          </cell>
          <cell r="D2181">
            <v>633080203</v>
          </cell>
          <cell r="E2181" t="str">
            <v>FC F19 Izalco MaxDisc 8 FS 54M</v>
          </cell>
          <cell r="F2181">
            <v>1</v>
          </cell>
          <cell r="G2181">
            <v>0</v>
          </cell>
          <cell r="I2181" t="str">
            <v>JK012</v>
          </cell>
          <cell r="L2181">
            <v>12.6</v>
          </cell>
          <cell r="M2181">
            <v>0.222</v>
          </cell>
          <cell r="N2181" t="str">
            <v>5W</v>
          </cell>
          <cell r="P2181" t="str">
            <v>PONFCS</v>
          </cell>
          <cell r="Q2181" t="str">
            <v>/  /</v>
          </cell>
        </row>
        <row r="2182">
          <cell r="A2182">
            <v>4037584</v>
          </cell>
          <cell r="B2182">
            <v>43851</v>
          </cell>
          <cell r="C2182" t="str">
            <v>PON</v>
          </cell>
          <cell r="D2182">
            <v>612007112</v>
          </cell>
          <cell r="E2182" t="str">
            <v>Focus F12 IZ F/S* PR 1.0 52SM</v>
          </cell>
          <cell r="F2182">
            <v>1</v>
          </cell>
          <cell r="G2182">
            <v>0</v>
          </cell>
          <cell r="I2182" t="str">
            <v>JK021</v>
          </cell>
          <cell r="L2182">
            <v>5.3</v>
          </cell>
          <cell r="M2182">
            <v>0.16500000000000001</v>
          </cell>
          <cell r="N2182" t="str">
            <v>5W</v>
          </cell>
          <cell r="P2182" t="str">
            <v>PONFCS</v>
          </cell>
          <cell r="Q2182" t="str">
            <v>/  /</v>
          </cell>
        </row>
        <row r="2183">
          <cell r="A2183">
            <v>4039737</v>
          </cell>
          <cell r="B2183">
            <v>43852</v>
          </cell>
          <cell r="C2183" t="str">
            <v>PON</v>
          </cell>
          <cell r="D2183">
            <v>612007905</v>
          </cell>
          <cell r="E2183" t="str">
            <v>FC F12 FS* Raven 29 1.0 SM42</v>
          </cell>
          <cell r="F2183">
            <v>1</v>
          </cell>
          <cell r="G2183">
            <v>0</v>
          </cell>
          <cell r="I2183" t="str">
            <v>JK021</v>
          </cell>
          <cell r="L2183">
            <v>5.4</v>
          </cell>
          <cell r="M2183">
            <v>0.19</v>
          </cell>
          <cell r="N2183" t="str">
            <v>5W</v>
          </cell>
          <cell r="P2183" t="str">
            <v>PONFCS</v>
          </cell>
          <cell r="Q2183" t="str">
            <v>/  /</v>
          </cell>
        </row>
        <row r="2184">
          <cell r="A2184">
            <v>4039753</v>
          </cell>
          <cell r="B2184">
            <v>43852</v>
          </cell>
          <cell r="C2184" t="str">
            <v>PON</v>
          </cell>
          <cell r="D2184">
            <v>613508001</v>
          </cell>
          <cell r="E2184" t="str">
            <v>FC F13 FS IZ Pro 2.0 50 XS Di2</v>
          </cell>
          <cell r="F2184">
            <v>1</v>
          </cell>
          <cell r="G2184">
            <v>0</v>
          </cell>
          <cell r="I2184" t="str">
            <v>JK021</v>
          </cell>
          <cell r="L2184">
            <v>5.8</v>
          </cell>
          <cell r="M2184">
            <v>0.17299999999999999</v>
          </cell>
          <cell r="N2184" t="str">
            <v>5W</v>
          </cell>
          <cell r="P2184" t="str">
            <v>PONFCS</v>
          </cell>
          <cell r="Q2184" t="str">
            <v>/  /</v>
          </cell>
        </row>
        <row r="2185">
          <cell r="A2185">
            <v>4039835</v>
          </cell>
          <cell r="B2185">
            <v>43852</v>
          </cell>
          <cell r="C2185" t="str">
            <v>PON</v>
          </cell>
          <cell r="D2185">
            <v>613508132</v>
          </cell>
          <cell r="E2185" t="str">
            <v>FC F13 FS CayoEvo 2.0 51 SMDi2</v>
          </cell>
          <cell r="F2185">
            <v>1</v>
          </cell>
          <cell r="G2185">
            <v>0</v>
          </cell>
          <cell r="I2185" t="str">
            <v>JK021</v>
          </cell>
          <cell r="L2185">
            <v>5.5</v>
          </cell>
          <cell r="M2185">
            <v>0.156</v>
          </cell>
          <cell r="N2185" t="str">
            <v>5W</v>
          </cell>
          <cell r="P2185" t="str">
            <v>PONFCS</v>
          </cell>
          <cell r="Q2185" t="str">
            <v>/  /</v>
          </cell>
        </row>
        <row r="2186">
          <cell r="A2186">
            <v>4039843</v>
          </cell>
          <cell r="B2186">
            <v>43852</v>
          </cell>
          <cell r="C2186" t="str">
            <v>PON</v>
          </cell>
          <cell r="D2186">
            <v>625508002</v>
          </cell>
          <cell r="E2186" t="str">
            <v>Focus F17 IZ Max F/S 52 SM</v>
          </cell>
          <cell r="F2186">
            <v>1</v>
          </cell>
          <cell r="G2186">
            <v>0</v>
          </cell>
          <cell r="I2186" t="str">
            <v>JK021</v>
          </cell>
          <cell r="L2186">
            <v>5.2</v>
          </cell>
          <cell r="M2186">
            <v>0.14899999999999999</v>
          </cell>
          <cell r="N2186" t="str">
            <v>5W</v>
          </cell>
          <cell r="P2186" t="str">
            <v>PONFCS</v>
          </cell>
          <cell r="Q2186" t="str">
            <v>/  /</v>
          </cell>
        </row>
        <row r="2187">
          <cell r="A2187">
            <v>3993343</v>
          </cell>
          <cell r="B2187">
            <v>43810</v>
          </cell>
          <cell r="C2187" t="str">
            <v>PON</v>
          </cell>
          <cell r="D2187">
            <v>625073000</v>
          </cell>
          <cell r="E2187" t="str">
            <v>Cervelo C17 F/S S3 Disc 48 Red</v>
          </cell>
          <cell r="F2187">
            <v>1</v>
          </cell>
          <cell r="G2187">
            <v>0</v>
          </cell>
          <cell r="I2187" t="str">
            <v>JK022</v>
          </cell>
          <cell r="L2187">
            <v>5.3</v>
          </cell>
          <cell r="M2187">
            <v>0.14199999999999999</v>
          </cell>
          <cell r="N2187" t="str">
            <v>5W</v>
          </cell>
          <cell r="P2187" t="str">
            <v>PONCVL</v>
          </cell>
          <cell r="Q2187" t="str">
            <v>/  /</v>
          </cell>
        </row>
        <row r="2188">
          <cell r="A2188">
            <v>3993345</v>
          </cell>
          <cell r="B2188">
            <v>43810</v>
          </cell>
          <cell r="C2188" t="str">
            <v>PON</v>
          </cell>
          <cell r="D2188">
            <v>628073164</v>
          </cell>
          <cell r="E2188" t="str">
            <v>CV C18 P5Six FS 58 XL Blk/Fluo</v>
          </cell>
          <cell r="F2188">
            <v>1</v>
          </cell>
          <cell r="G2188">
            <v>0</v>
          </cell>
          <cell r="I2188" t="str">
            <v>JK022</v>
          </cell>
          <cell r="L2188">
            <v>8.6999999999999993</v>
          </cell>
          <cell r="M2188">
            <v>0.157</v>
          </cell>
          <cell r="N2188" t="str">
            <v>5W</v>
          </cell>
          <cell r="P2188" t="str">
            <v>PONCVL</v>
          </cell>
          <cell r="Q2188" t="str">
            <v>/  /</v>
          </cell>
        </row>
        <row r="2189">
          <cell r="A2189">
            <v>4087525</v>
          </cell>
          <cell r="B2189">
            <v>43787</v>
          </cell>
          <cell r="C2189" t="str">
            <v>PON</v>
          </cell>
          <cell r="D2189">
            <v>633073313</v>
          </cell>
          <cell r="E2189" t="str">
            <v>CV C19 R3 Dsc F/S 56CM Blk/Wh</v>
          </cell>
          <cell r="F2189">
            <v>1</v>
          </cell>
          <cell r="G2189">
            <v>0</v>
          </cell>
          <cell r="I2189" t="str">
            <v>JK022</v>
          </cell>
          <cell r="L2189">
            <v>3.6</v>
          </cell>
          <cell r="M2189">
            <v>0.182</v>
          </cell>
          <cell r="N2189" t="str">
            <v>5W</v>
          </cell>
          <cell r="P2189" t="str">
            <v>PONCVL</v>
          </cell>
          <cell r="Q2189" t="str">
            <v>/  /</v>
          </cell>
        </row>
        <row r="2190">
          <cell r="A2190">
            <v>4088951</v>
          </cell>
          <cell r="B2190">
            <v>43787</v>
          </cell>
          <cell r="C2190" t="str">
            <v>PON</v>
          </cell>
          <cell r="D2190">
            <v>633073313</v>
          </cell>
          <cell r="E2190" t="str">
            <v>CV C19 R3 Dsc F/S 56CM Blk/Wh</v>
          </cell>
          <cell r="F2190">
            <v>1</v>
          </cell>
          <cell r="G2190">
            <v>0</v>
          </cell>
          <cell r="I2190" t="str">
            <v>JK022</v>
          </cell>
          <cell r="L2190">
            <v>3.6</v>
          </cell>
          <cell r="M2190">
            <v>0.182</v>
          </cell>
          <cell r="N2190" t="str">
            <v>5W</v>
          </cell>
          <cell r="P2190" t="str">
            <v>PONCVL</v>
          </cell>
          <cell r="Q2190" t="str">
            <v>/  /</v>
          </cell>
        </row>
        <row r="2191">
          <cell r="A2191">
            <v>3923884</v>
          </cell>
          <cell r="B2191">
            <v>43775</v>
          </cell>
          <cell r="C2191" t="str">
            <v>PON</v>
          </cell>
          <cell r="D2191">
            <v>623508020</v>
          </cell>
          <cell r="E2191" t="str">
            <v>FC F16 F/S IZ Max Di2 48 XXS</v>
          </cell>
          <cell r="F2191">
            <v>1</v>
          </cell>
          <cell r="G2191">
            <v>0</v>
          </cell>
          <cell r="I2191" t="str">
            <v>JK031</v>
          </cell>
          <cell r="L2191">
            <v>5</v>
          </cell>
          <cell r="M2191">
            <v>0.158</v>
          </cell>
          <cell r="N2191" t="str">
            <v>5W</v>
          </cell>
          <cell r="P2191" t="str">
            <v>PONFCS</v>
          </cell>
          <cell r="Q2191" t="str">
            <v>/  /</v>
          </cell>
        </row>
        <row r="2192">
          <cell r="A2192">
            <v>3972185</v>
          </cell>
          <cell r="B2192">
            <v>43798</v>
          </cell>
          <cell r="C2192" t="str">
            <v>PON</v>
          </cell>
          <cell r="D2192">
            <v>633080123</v>
          </cell>
          <cell r="E2192" t="str">
            <v>FC F19Izalco MaxDsc 9FS 54MWht</v>
          </cell>
          <cell r="F2192">
            <v>1</v>
          </cell>
          <cell r="G2192">
            <v>0</v>
          </cell>
          <cell r="I2192" t="str">
            <v>JK031</v>
          </cell>
          <cell r="L2192">
            <v>5.7</v>
          </cell>
          <cell r="M2192">
            <v>0.14299999999999999</v>
          </cell>
          <cell r="N2192" t="str">
            <v>5W</v>
          </cell>
          <cell r="P2192" t="str">
            <v>PONFCS</v>
          </cell>
          <cell r="Q2192" t="str">
            <v>/  /</v>
          </cell>
        </row>
        <row r="2193">
          <cell r="A2193">
            <v>3922846</v>
          </cell>
          <cell r="B2193">
            <v>43774</v>
          </cell>
          <cell r="C2193" t="str">
            <v>PON</v>
          </cell>
          <cell r="D2193">
            <v>633080124</v>
          </cell>
          <cell r="E2193" t="str">
            <v>FC F19Izalco MaxDsc 9FS 56LWht</v>
          </cell>
          <cell r="F2193">
            <v>1</v>
          </cell>
          <cell r="G2193">
            <v>0</v>
          </cell>
          <cell r="I2193" t="str">
            <v>JK031</v>
          </cell>
          <cell r="L2193">
            <v>5.7</v>
          </cell>
          <cell r="M2193">
            <v>0.14199999999999999</v>
          </cell>
          <cell r="N2193" t="str">
            <v>5W</v>
          </cell>
          <cell r="P2193" t="str">
            <v>PONFCS</v>
          </cell>
          <cell r="Q2193" t="str">
            <v>/  /</v>
          </cell>
        </row>
        <row r="2194">
          <cell r="A2194">
            <v>3767561</v>
          </cell>
          <cell r="B2194">
            <v>43668</v>
          </cell>
          <cell r="C2194" t="str">
            <v>PON</v>
          </cell>
          <cell r="D2194" t="str">
            <v>FS633078643</v>
          </cell>
          <cell r="E2194" t="str">
            <v>CV C19 P3 F/set 56CM Rd/B/Nvy</v>
          </cell>
          <cell r="F2194">
            <v>1</v>
          </cell>
          <cell r="G2194">
            <v>0</v>
          </cell>
          <cell r="I2194" t="str">
            <v>JK031</v>
          </cell>
          <cell r="L2194">
            <v>0</v>
          </cell>
          <cell r="M2194">
            <v>0</v>
          </cell>
          <cell r="N2194" t="str">
            <v>5W</v>
          </cell>
          <cell r="P2194" t="str">
            <v>PONCVL</v>
          </cell>
          <cell r="Q2194" t="str">
            <v>/  /</v>
          </cell>
        </row>
        <row r="2195">
          <cell r="A2195">
            <v>3767563</v>
          </cell>
          <cell r="B2195">
            <v>43668</v>
          </cell>
          <cell r="C2195" t="str">
            <v>PON</v>
          </cell>
          <cell r="D2195" t="str">
            <v>FS633078643</v>
          </cell>
          <cell r="E2195" t="str">
            <v>CV C19 P3 F/set 56CM Rd/B/Nvy</v>
          </cell>
          <cell r="F2195">
            <v>1</v>
          </cell>
          <cell r="G2195">
            <v>0</v>
          </cell>
          <cell r="I2195" t="str">
            <v>JK031</v>
          </cell>
          <cell r="L2195">
            <v>0</v>
          </cell>
          <cell r="M2195">
            <v>0</v>
          </cell>
          <cell r="N2195" t="str">
            <v>5W</v>
          </cell>
          <cell r="P2195" t="str">
            <v>PONCVL</v>
          </cell>
          <cell r="Q2195" t="str">
            <v>/  /</v>
          </cell>
        </row>
        <row r="2196">
          <cell r="A2196">
            <v>3993335</v>
          </cell>
          <cell r="B2196">
            <v>43810</v>
          </cell>
          <cell r="C2196" t="str">
            <v>PON</v>
          </cell>
          <cell r="D2196">
            <v>613508133</v>
          </cell>
          <cell r="E2196" t="str">
            <v>FC F13 FS CayoEvo 2.0 54 MDDi2</v>
          </cell>
          <cell r="F2196">
            <v>1</v>
          </cell>
          <cell r="G2196">
            <v>0</v>
          </cell>
          <cell r="I2196" t="str">
            <v>JK032</v>
          </cell>
          <cell r="L2196">
            <v>5</v>
          </cell>
          <cell r="M2196">
            <v>0.16200000000000001</v>
          </cell>
          <cell r="N2196" t="str">
            <v>5W</v>
          </cell>
          <cell r="P2196" t="str">
            <v>PONFCS</v>
          </cell>
          <cell r="Q2196" t="str">
            <v>/  /</v>
          </cell>
        </row>
        <row r="2197">
          <cell r="A2197">
            <v>3993339</v>
          </cell>
          <cell r="B2197">
            <v>43810</v>
          </cell>
          <cell r="C2197" t="str">
            <v>PON</v>
          </cell>
          <cell r="D2197">
            <v>623508402</v>
          </cell>
          <cell r="E2197" t="str">
            <v>FC F16 F/S Raven Max 27 46 MD</v>
          </cell>
          <cell r="F2197">
            <v>1</v>
          </cell>
          <cell r="G2197">
            <v>0</v>
          </cell>
          <cell r="I2197" t="str">
            <v>JK032</v>
          </cell>
          <cell r="L2197">
            <v>4.4000000000000004</v>
          </cell>
          <cell r="M2197">
            <v>0.17599999999999999</v>
          </cell>
          <cell r="N2197" t="str">
            <v>5W</v>
          </cell>
          <cell r="P2197" t="str">
            <v>PONFCS</v>
          </cell>
          <cell r="Q2197" t="str">
            <v>/  /</v>
          </cell>
        </row>
        <row r="2198">
          <cell r="A2198">
            <v>3986089</v>
          </cell>
          <cell r="B2198">
            <v>43808</v>
          </cell>
          <cell r="C2198" t="str">
            <v>PON</v>
          </cell>
          <cell r="D2198">
            <v>625012162</v>
          </cell>
          <cell r="E2198" t="str">
            <v>FC F17 Cayo Tiagra 54 Frameset</v>
          </cell>
          <cell r="F2198">
            <v>1</v>
          </cell>
          <cell r="G2198">
            <v>0</v>
          </cell>
          <cell r="I2198" t="str">
            <v>JK032</v>
          </cell>
          <cell r="L2198">
            <v>3.5</v>
          </cell>
          <cell r="M2198">
            <v>0.124</v>
          </cell>
          <cell r="N2198" t="str">
            <v>5W</v>
          </cell>
          <cell r="P2198" t="str">
            <v>PONFCS</v>
          </cell>
          <cell r="Q2198" t="str">
            <v>/  /</v>
          </cell>
        </row>
        <row r="2199">
          <cell r="A2199">
            <v>3993389</v>
          </cell>
          <cell r="B2199">
            <v>43810</v>
          </cell>
          <cell r="C2199" t="str">
            <v>PON</v>
          </cell>
          <cell r="D2199" t="str">
            <v>FS612012903</v>
          </cell>
          <cell r="E2199" t="str">
            <v>Focus F12 F/S Planet 5.0 XL</v>
          </cell>
          <cell r="F2199">
            <v>1</v>
          </cell>
          <cell r="G2199">
            <v>0</v>
          </cell>
          <cell r="I2199" t="str">
            <v>JK032</v>
          </cell>
          <cell r="L2199">
            <v>3.8</v>
          </cell>
          <cell r="M2199">
            <v>0.14000000000000001</v>
          </cell>
          <cell r="N2199" t="str">
            <v>5W</v>
          </cell>
          <cell r="P2199" t="str">
            <v>PONFCS</v>
          </cell>
          <cell r="Q2199" t="str">
            <v>/  /</v>
          </cell>
        </row>
        <row r="2200">
          <cell r="A2200">
            <v>3993391</v>
          </cell>
          <cell r="B2200">
            <v>43810</v>
          </cell>
          <cell r="C2200" t="str">
            <v>PON</v>
          </cell>
          <cell r="D2200" t="str">
            <v>FS625016032</v>
          </cell>
          <cell r="E2200" t="str">
            <v>F17 IZ MxDsc F/S 52 BRd ETAP</v>
          </cell>
          <cell r="F2200">
            <v>1</v>
          </cell>
          <cell r="G2200">
            <v>0</v>
          </cell>
          <cell r="I2200" t="str">
            <v>JK032</v>
          </cell>
          <cell r="L2200">
            <v>3.9</v>
          </cell>
          <cell r="M2200">
            <v>0.14000000000000001</v>
          </cell>
          <cell r="N2200" t="str">
            <v>5W</v>
          </cell>
          <cell r="P2200" t="str">
            <v>PONFCS</v>
          </cell>
          <cell r="Q2200" t="str">
            <v>/  /</v>
          </cell>
        </row>
        <row r="2201">
          <cell r="A2201">
            <v>3993393</v>
          </cell>
          <cell r="B2201">
            <v>43810</v>
          </cell>
          <cell r="C2201" t="str">
            <v>PON</v>
          </cell>
          <cell r="D2201" t="str">
            <v>T628073064</v>
          </cell>
          <cell r="E2201" t="str">
            <v>CV C18 R3 Disc F/S 58 XL Fluo</v>
          </cell>
          <cell r="F2201">
            <v>1</v>
          </cell>
          <cell r="G2201">
            <v>0</v>
          </cell>
          <cell r="I2201" t="str">
            <v>JK032</v>
          </cell>
          <cell r="L2201">
            <v>4.4000000000000004</v>
          </cell>
          <cell r="M2201">
            <v>0.127</v>
          </cell>
          <cell r="N2201" t="str">
            <v>5W</v>
          </cell>
          <cell r="P2201" t="str">
            <v>PONCVL</v>
          </cell>
          <cell r="Q2201" t="str">
            <v>/  /</v>
          </cell>
        </row>
        <row r="2202">
          <cell r="A2202">
            <v>4039759</v>
          </cell>
          <cell r="B2202">
            <v>43852</v>
          </cell>
          <cell r="C2202" t="str">
            <v>PON</v>
          </cell>
          <cell r="D2202">
            <v>613508006</v>
          </cell>
          <cell r="E2202" t="str">
            <v>FC F13 FS IZ Pro 2.0 60 XXLDi2</v>
          </cell>
          <cell r="F2202">
            <v>1</v>
          </cell>
          <cell r="G2202">
            <v>0</v>
          </cell>
          <cell r="I2202" t="str">
            <v>JK041</v>
          </cell>
          <cell r="L2202">
            <v>3.15</v>
          </cell>
          <cell r="M2202">
            <v>0.11550000000000001</v>
          </cell>
          <cell r="N2202" t="str">
            <v>5W</v>
          </cell>
          <cell r="P2202" t="str">
            <v>PONFCS</v>
          </cell>
          <cell r="Q2202" t="str">
            <v>/  /</v>
          </cell>
        </row>
        <row r="2203">
          <cell r="A2203">
            <v>4039761</v>
          </cell>
          <cell r="B2203">
            <v>43852</v>
          </cell>
          <cell r="C2203" t="str">
            <v>PON</v>
          </cell>
          <cell r="D2203">
            <v>613508050</v>
          </cell>
          <cell r="E2203" t="str">
            <v>FC F13 FS Mare CX 2.0 52 SMDi2</v>
          </cell>
          <cell r="F2203">
            <v>1</v>
          </cell>
          <cell r="G2203">
            <v>0</v>
          </cell>
          <cell r="I2203" t="str">
            <v>JK041</v>
          </cell>
          <cell r="L2203">
            <v>6.3</v>
          </cell>
          <cell r="M2203">
            <v>0.191</v>
          </cell>
          <cell r="N2203" t="str">
            <v>5W</v>
          </cell>
          <cell r="P2203" t="str">
            <v>PONFCS</v>
          </cell>
          <cell r="Q2203" t="str">
            <v>/  /</v>
          </cell>
        </row>
        <row r="2204">
          <cell r="A2204">
            <v>4039833</v>
          </cell>
          <cell r="B2204">
            <v>43852</v>
          </cell>
          <cell r="C2204" t="str">
            <v>PON</v>
          </cell>
          <cell r="D2204">
            <v>613508131</v>
          </cell>
          <cell r="E2204" t="str">
            <v>FC F13 FS CayoEvo 2.0 48 XSDi2</v>
          </cell>
          <cell r="F2204">
            <v>1</v>
          </cell>
          <cell r="G2204">
            <v>0</v>
          </cell>
          <cell r="I2204" t="str">
            <v>JK041</v>
          </cell>
          <cell r="L2204">
            <v>5.5</v>
          </cell>
          <cell r="M2204">
            <v>0.16600000000000001</v>
          </cell>
          <cell r="N2204" t="str">
            <v>5W</v>
          </cell>
          <cell r="P2204" t="str">
            <v>PONFCS</v>
          </cell>
          <cell r="Q2204" t="str">
            <v>/  /</v>
          </cell>
        </row>
        <row r="2205">
          <cell r="A2205">
            <v>4037629</v>
          </cell>
          <cell r="B2205">
            <v>43851</v>
          </cell>
          <cell r="C2205" t="str">
            <v>PON</v>
          </cell>
          <cell r="D2205">
            <v>613508133</v>
          </cell>
          <cell r="E2205" t="str">
            <v>FC F13 FS CayoEvo 2.0 54 MDDi2</v>
          </cell>
          <cell r="F2205">
            <v>1</v>
          </cell>
          <cell r="G2205">
            <v>0</v>
          </cell>
          <cell r="I2205" t="str">
            <v>JK041</v>
          </cell>
          <cell r="L2205">
            <v>5</v>
          </cell>
          <cell r="M2205">
            <v>0.16200000000000001</v>
          </cell>
          <cell r="N2205" t="str">
            <v>5W</v>
          </cell>
          <cell r="P2205" t="str">
            <v>PONFCS</v>
          </cell>
          <cell r="Q2205" t="str">
            <v>/  /</v>
          </cell>
        </row>
        <row r="2206">
          <cell r="A2206">
            <v>4039847</v>
          </cell>
          <cell r="B2206">
            <v>43852</v>
          </cell>
          <cell r="C2206" t="str">
            <v>PON</v>
          </cell>
          <cell r="D2206">
            <v>628073062</v>
          </cell>
          <cell r="E2206" t="str">
            <v>CV C18 R3 Disc F/S 54 MD Fluo</v>
          </cell>
          <cell r="F2206">
            <v>1</v>
          </cell>
          <cell r="G2206">
            <v>0</v>
          </cell>
          <cell r="I2206" t="str">
            <v>JK041</v>
          </cell>
          <cell r="L2206">
            <v>5.7</v>
          </cell>
          <cell r="M2206">
            <v>0.154</v>
          </cell>
          <cell r="N2206" t="str">
            <v>5W</v>
          </cell>
          <cell r="P2206" t="str">
            <v>PONCVL</v>
          </cell>
          <cell r="Q2206" t="str">
            <v>/  /</v>
          </cell>
        </row>
        <row r="2207">
          <cell r="A2207">
            <v>3899139</v>
          </cell>
          <cell r="B2207">
            <v>43752</v>
          </cell>
          <cell r="C2207" t="str">
            <v>PON</v>
          </cell>
          <cell r="D2207">
            <v>250112330</v>
          </cell>
          <cell r="E2207" t="str">
            <v>FC F13 FS IZ Ergo 3.0 52 XS</v>
          </cell>
          <cell r="F2207">
            <v>1</v>
          </cell>
          <cell r="G2207">
            <v>0</v>
          </cell>
          <cell r="I2207" t="str">
            <v>JK042</v>
          </cell>
          <cell r="L2207">
            <v>5</v>
          </cell>
          <cell r="M2207">
            <v>0.16300000000000001</v>
          </cell>
          <cell r="N2207" t="str">
            <v>5W</v>
          </cell>
          <cell r="P2207" t="str">
            <v>PONFCS</v>
          </cell>
          <cell r="Q2207" t="str">
            <v>/  /</v>
          </cell>
        </row>
        <row r="2208">
          <cell r="A2208">
            <v>3899145</v>
          </cell>
          <cell r="B2208">
            <v>43752</v>
          </cell>
          <cell r="C2208" t="str">
            <v>PON</v>
          </cell>
          <cell r="D2208">
            <v>613508032</v>
          </cell>
          <cell r="E2208" t="str">
            <v>FC F13 FS Cayo Evo 5.0 54 MD</v>
          </cell>
          <cell r="F2208">
            <v>1</v>
          </cell>
          <cell r="G2208">
            <v>0</v>
          </cell>
          <cell r="I2208" t="str">
            <v>JK042</v>
          </cell>
          <cell r="L2208">
            <v>5</v>
          </cell>
          <cell r="M2208">
            <v>0.13700000000000001</v>
          </cell>
          <cell r="N2208" t="str">
            <v>5W</v>
          </cell>
          <cell r="P2208" t="str">
            <v>PONFCS</v>
          </cell>
          <cell r="Q2208" t="str">
            <v>/  /</v>
          </cell>
        </row>
        <row r="2209">
          <cell r="A2209">
            <v>3901036</v>
          </cell>
          <cell r="B2209">
            <v>43759</v>
          </cell>
          <cell r="C2209" t="str">
            <v>PON</v>
          </cell>
          <cell r="D2209">
            <v>614508351</v>
          </cell>
          <cell r="E2209" t="str">
            <v>FC F14 FS Mare CX 2.0 54 MDDi2</v>
          </cell>
          <cell r="F2209">
            <v>1</v>
          </cell>
          <cell r="G2209">
            <v>0</v>
          </cell>
          <cell r="I2209" t="str">
            <v>JK051</v>
          </cell>
          <cell r="L2209">
            <v>7</v>
          </cell>
          <cell r="M2209">
            <v>0.16800000000000001</v>
          </cell>
          <cell r="N2209" t="str">
            <v>5W</v>
          </cell>
          <cell r="P2209" t="str">
            <v>PONFCS</v>
          </cell>
          <cell r="Q2209" t="str">
            <v>/  /</v>
          </cell>
        </row>
        <row r="2210">
          <cell r="A2210">
            <v>3895603</v>
          </cell>
          <cell r="B2210">
            <v>43752</v>
          </cell>
          <cell r="C2210" t="str">
            <v>PON</v>
          </cell>
          <cell r="D2210">
            <v>620508061</v>
          </cell>
          <cell r="E2210" t="str">
            <v>FC F15 F/S Cayo 3.0 Disc 51 SM</v>
          </cell>
          <cell r="F2210">
            <v>1</v>
          </cell>
          <cell r="G2210">
            <v>0</v>
          </cell>
          <cell r="I2210" t="str">
            <v>JK051</v>
          </cell>
          <cell r="L2210">
            <v>5.7</v>
          </cell>
          <cell r="M2210">
            <v>0.17299999999999999</v>
          </cell>
          <cell r="N2210" t="str">
            <v>5W</v>
          </cell>
          <cell r="P2210" t="str">
            <v>PONFCS</v>
          </cell>
          <cell r="Q2210" t="str">
            <v>/  /</v>
          </cell>
        </row>
        <row r="2211">
          <cell r="A2211">
            <v>3901061</v>
          </cell>
          <cell r="B2211">
            <v>43759</v>
          </cell>
          <cell r="C2211" t="str">
            <v>PON</v>
          </cell>
          <cell r="D2211">
            <v>625508044</v>
          </cell>
          <cell r="E2211" t="str">
            <v>Focus F17 Cayo Disc F/S 60 XL</v>
          </cell>
          <cell r="F2211">
            <v>1</v>
          </cell>
          <cell r="G2211">
            <v>0</v>
          </cell>
          <cell r="I2211" t="str">
            <v>JK051</v>
          </cell>
          <cell r="L2211">
            <v>7</v>
          </cell>
          <cell r="M2211">
            <v>0.184</v>
          </cell>
          <cell r="N2211" t="str">
            <v>5W</v>
          </cell>
          <cell r="P2211" t="str">
            <v>PONFCS</v>
          </cell>
          <cell r="Q2211" t="str">
            <v>/  /</v>
          </cell>
        </row>
        <row r="2212">
          <cell r="A2212">
            <v>3927014</v>
          </cell>
          <cell r="B2212">
            <v>43776</v>
          </cell>
          <cell r="C2212" t="str">
            <v>PON</v>
          </cell>
          <cell r="D2212">
            <v>633080203</v>
          </cell>
          <cell r="E2212" t="str">
            <v>FC F19 Izalco MaxDisc 8 FS 54M</v>
          </cell>
          <cell r="F2212">
            <v>1</v>
          </cell>
          <cell r="G2212">
            <v>0</v>
          </cell>
          <cell r="I2212" t="str">
            <v>JK051</v>
          </cell>
          <cell r="L2212">
            <v>12.6</v>
          </cell>
          <cell r="M2212">
            <v>0.222</v>
          </cell>
          <cell r="N2212" t="str">
            <v>5W</v>
          </cell>
          <cell r="P2212" t="str">
            <v>PONFCS</v>
          </cell>
          <cell r="Q2212" t="str">
            <v>/  /</v>
          </cell>
        </row>
        <row r="2213">
          <cell r="A2213">
            <v>4039757</v>
          </cell>
          <cell r="B2213">
            <v>43852</v>
          </cell>
          <cell r="C2213" t="str">
            <v>PON</v>
          </cell>
          <cell r="D2213">
            <v>613508003</v>
          </cell>
          <cell r="E2213" t="str">
            <v>FC F13 FS IZ Pro 2.0 54 MD Di2</v>
          </cell>
          <cell r="F2213">
            <v>1</v>
          </cell>
          <cell r="G2213">
            <v>0</v>
          </cell>
          <cell r="I2213" t="str">
            <v>JK052</v>
          </cell>
          <cell r="L2213">
            <v>3.3</v>
          </cell>
          <cell r="M2213">
            <v>0.14299999999999999</v>
          </cell>
          <cell r="N2213" t="str">
            <v>5W</v>
          </cell>
          <cell r="P2213" t="str">
            <v>PONFCS</v>
          </cell>
          <cell r="Q2213" t="str">
            <v>/  /</v>
          </cell>
        </row>
        <row r="2214">
          <cell r="A2214">
            <v>4080953</v>
          </cell>
          <cell r="B2214">
            <v>43852</v>
          </cell>
          <cell r="C2214" t="str">
            <v>PON</v>
          </cell>
          <cell r="D2214">
            <v>613508003</v>
          </cell>
          <cell r="E2214" t="str">
            <v>FC F13 FS IZ Pro 2.0 54 MD Di2</v>
          </cell>
          <cell r="F2214">
            <v>1</v>
          </cell>
          <cell r="G2214">
            <v>0</v>
          </cell>
          <cell r="I2214" t="str">
            <v>JK052</v>
          </cell>
          <cell r="L2214">
            <v>3.3</v>
          </cell>
          <cell r="M2214">
            <v>0.14299999999999999</v>
          </cell>
          <cell r="N2214" t="str">
            <v>5W</v>
          </cell>
          <cell r="P2214" t="str">
            <v>PONFCS</v>
          </cell>
          <cell r="Q2214" t="str">
            <v>/  /</v>
          </cell>
        </row>
        <row r="2215">
          <cell r="A2215">
            <v>3949920</v>
          </cell>
          <cell r="B2215">
            <v>43789</v>
          </cell>
          <cell r="C2215" t="str">
            <v>PON</v>
          </cell>
          <cell r="D2215">
            <v>615073446</v>
          </cell>
          <cell r="E2215" t="str">
            <v>Cervelo C15 F/S P5 Limited 61</v>
          </cell>
          <cell r="F2215">
            <v>1</v>
          </cell>
          <cell r="G2215">
            <v>0</v>
          </cell>
          <cell r="I2215" t="str">
            <v>JK052</v>
          </cell>
          <cell r="L2215">
            <v>9.9</v>
          </cell>
          <cell r="M2215">
            <v>0.152</v>
          </cell>
          <cell r="N2215" t="str">
            <v>5W</v>
          </cell>
          <cell r="P2215" t="str">
            <v>PONCVL</v>
          </cell>
          <cell r="Q2215" t="str">
            <v>/  /</v>
          </cell>
        </row>
        <row r="2216">
          <cell r="A2216">
            <v>3949948</v>
          </cell>
          <cell r="B2216">
            <v>43789</v>
          </cell>
          <cell r="C2216" t="str">
            <v>PON</v>
          </cell>
          <cell r="D2216">
            <v>628073053</v>
          </cell>
          <cell r="E2216" t="str">
            <v>CV C18 R3 Disc FS 56 LGNvy/Wht</v>
          </cell>
          <cell r="F2216">
            <v>1</v>
          </cell>
          <cell r="G2216">
            <v>0</v>
          </cell>
          <cell r="I2216" t="str">
            <v>JK052</v>
          </cell>
          <cell r="L2216">
            <v>5.6</v>
          </cell>
          <cell r="M2216">
            <v>0.153</v>
          </cell>
          <cell r="N2216" t="str">
            <v>5W</v>
          </cell>
          <cell r="P2216" t="str">
            <v>PONCVL</v>
          </cell>
          <cell r="Q2216" t="str">
            <v>/  /</v>
          </cell>
        </row>
        <row r="2217">
          <cell r="A2217">
            <v>3957665</v>
          </cell>
          <cell r="B2217">
            <v>43795</v>
          </cell>
          <cell r="C2217" t="str">
            <v>PON</v>
          </cell>
          <cell r="D2217">
            <v>628073062</v>
          </cell>
          <cell r="E2217" t="str">
            <v>CV C18 R3 Disc F/S 54 MD Fluo</v>
          </cell>
          <cell r="F2217">
            <v>1</v>
          </cell>
          <cell r="G2217">
            <v>0</v>
          </cell>
          <cell r="I2217" t="str">
            <v>JK052</v>
          </cell>
          <cell r="L2217">
            <v>5.7</v>
          </cell>
          <cell r="M2217">
            <v>0.154</v>
          </cell>
          <cell r="N2217" t="str">
            <v>5W</v>
          </cell>
          <cell r="P2217" t="str">
            <v>PONCVL</v>
          </cell>
          <cell r="Q2217" t="str">
            <v>/  /</v>
          </cell>
        </row>
        <row r="2218">
          <cell r="A2218">
            <v>3950029</v>
          </cell>
          <cell r="B2218">
            <v>43789</v>
          </cell>
          <cell r="C2218" t="str">
            <v>PON</v>
          </cell>
          <cell r="D2218">
            <v>628073123</v>
          </cell>
          <cell r="E2218" t="str">
            <v>CV C18 R5Disc FS 56 LG Blk/Grn</v>
          </cell>
          <cell r="F2218">
            <v>1</v>
          </cell>
          <cell r="G2218">
            <v>0</v>
          </cell>
          <cell r="I2218" t="str">
            <v>JK052</v>
          </cell>
          <cell r="L2218">
            <v>5.6</v>
          </cell>
          <cell r="M2218">
            <v>0.16200000000000001</v>
          </cell>
          <cell r="N2218" t="str">
            <v>5W</v>
          </cell>
          <cell r="P2218" t="str">
            <v>PONCVL</v>
          </cell>
          <cell r="Q2218" t="str">
            <v>/  /</v>
          </cell>
        </row>
        <row r="2219">
          <cell r="A2219">
            <v>4041339</v>
          </cell>
          <cell r="B2219">
            <v>43853</v>
          </cell>
          <cell r="C2219" t="str">
            <v>PON</v>
          </cell>
          <cell r="D2219">
            <v>633080202</v>
          </cell>
          <cell r="E2219" t="str">
            <v>FC F19 Izalco MaxDisc 8 FS 52S</v>
          </cell>
          <cell r="F2219">
            <v>1</v>
          </cell>
          <cell r="G2219">
            <v>0</v>
          </cell>
          <cell r="I2219" t="str">
            <v>JK061</v>
          </cell>
          <cell r="L2219">
            <v>5.6</v>
          </cell>
          <cell r="M2219">
            <v>0.14699999999999999</v>
          </cell>
          <cell r="N2219" t="str">
            <v>5W</v>
          </cell>
          <cell r="P2219" t="str">
            <v>PONFCS</v>
          </cell>
          <cell r="Q2219" t="str">
            <v>/  /</v>
          </cell>
        </row>
        <row r="2220">
          <cell r="A2220">
            <v>4041340</v>
          </cell>
          <cell r="B2220">
            <v>43853</v>
          </cell>
          <cell r="C2220" t="str">
            <v>PON</v>
          </cell>
          <cell r="D2220">
            <v>633080202</v>
          </cell>
          <cell r="E2220" t="str">
            <v>FC F19 Izalco MaxDisc 8 FS 52S</v>
          </cell>
          <cell r="F2220">
            <v>1</v>
          </cell>
          <cell r="G2220">
            <v>0</v>
          </cell>
          <cell r="I2220" t="str">
            <v>JK061</v>
          </cell>
          <cell r="L2220">
            <v>5.6</v>
          </cell>
          <cell r="M2220">
            <v>0.14699999999999999</v>
          </cell>
          <cell r="N2220" t="str">
            <v>5W</v>
          </cell>
          <cell r="P2220" t="str">
            <v>PONFCS</v>
          </cell>
          <cell r="Q2220" t="str">
            <v>/  /</v>
          </cell>
        </row>
        <row r="2221">
          <cell r="A2221">
            <v>4041341</v>
          </cell>
          <cell r="B2221">
            <v>43853</v>
          </cell>
          <cell r="C2221" t="str">
            <v>PON</v>
          </cell>
          <cell r="D2221">
            <v>633080202</v>
          </cell>
          <cell r="E2221" t="str">
            <v>FC F19 Izalco MaxDisc 8 FS 52S</v>
          </cell>
          <cell r="F2221">
            <v>1</v>
          </cell>
          <cell r="G2221">
            <v>0</v>
          </cell>
          <cell r="I2221" t="str">
            <v>JK061</v>
          </cell>
          <cell r="L2221">
            <v>5.6</v>
          </cell>
          <cell r="M2221">
            <v>0.14699999999999999</v>
          </cell>
          <cell r="N2221" t="str">
            <v>5W</v>
          </cell>
          <cell r="P2221" t="str">
            <v>PONFCS</v>
          </cell>
          <cell r="Q2221" t="str">
            <v>/  /</v>
          </cell>
        </row>
        <row r="2222">
          <cell r="A2222">
            <v>3771851</v>
          </cell>
          <cell r="B2222">
            <v>43670</v>
          </cell>
          <cell r="C2222" t="str">
            <v>PON</v>
          </cell>
          <cell r="D2222">
            <v>613508115</v>
          </cell>
          <cell r="E2222" t="str">
            <v>FC F13 FS IZ Team 1.0 58 XLDi2</v>
          </cell>
          <cell r="F2222">
            <v>1</v>
          </cell>
          <cell r="G2222">
            <v>0</v>
          </cell>
          <cell r="I2222" t="str">
            <v>JK062</v>
          </cell>
          <cell r="L2222">
            <v>0</v>
          </cell>
          <cell r="M2222">
            <v>0</v>
          </cell>
          <cell r="N2222" t="str">
            <v>5W</v>
          </cell>
          <cell r="P2222" t="str">
            <v>PONFCS</v>
          </cell>
          <cell r="Q2222" t="str">
            <v>/  /</v>
          </cell>
        </row>
        <row r="2223">
          <cell r="A2223">
            <v>3974182</v>
          </cell>
          <cell r="B2223">
            <v>43802</v>
          </cell>
          <cell r="C2223" t="str">
            <v>PON</v>
          </cell>
          <cell r="D2223">
            <v>628509106</v>
          </cell>
          <cell r="E2223" t="str">
            <v>FC F18 IZMax Disc DI2 FS 61XXL</v>
          </cell>
          <cell r="F2223">
            <v>1</v>
          </cell>
          <cell r="G2223">
            <v>0</v>
          </cell>
          <cell r="I2223" t="str">
            <v>JK062</v>
          </cell>
          <cell r="L2223">
            <v>5.6</v>
          </cell>
          <cell r="M2223">
            <v>0.158</v>
          </cell>
          <cell r="N2223" t="str">
            <v>5W</v>
          </cell>
          <cell r="P2223" t="str">
            <v>PONFCS</v>
          </cell>
          <cell r="Q2223" t="str">
            <v>/  /</v>
          </cell>
        </row>
        <row r="2224">
          <cell r="A2224">
            <v>4037633</v>
          </cell>
          <cell r="B2224">
            <v>43851</v>
          </cell>
          <cell r="C2224" t="str">
            <v>PON</v>
          </cell>
          <cell r="D2224">
            <v>614508061</v>
          </cell>
          <cell r="E2224" t="str">
            <v>FC F14 FS IZ Team 1.0 50 XSDi2</v>
          </cell>
          <cell r="F2224">
            <v>1</v>
          </cell>
          <cell r="G2224">
            <v>0</v>
          </cell>
          <cell r="I2224" t="str">
            <v>JK071</v>
          </cell>
          <cell r="L2224">
            <v>5.4</v>
          </cell>
          <cell r="M2224">
            <v>0.16200000000000001</v>
          </cell>
          <cell r="N2224" t="str">
            <v>5W</v>
          </cell>
          <cell r="P2224" t="str">
            <v>PONFCS</v>
          </cell>
          <cell r="Q2224" t="str">
            <v>/  /</v>
          </cell>
        </row>
        <row r="2225">
          <cell r="A2225">
            <v>4086068</v>
          </cell>
          <cell r="B2225">
            <v>43851</v>
          </cell>
          <cell r="C2225" t="str">
            <v>PON</v>
          </cell>
          <cell r="D2225">
            <v>614508061</v>
          </cell>
          <cell r="E2225" t="str">
            <v>FC F14 FS IZ Team 1.0 50 XSDi2</v>
          </cell>
          <cell r="F2225">
            <v>1</v>
          </cell>
          <cell r="G2225">
            <v>0</v>
          </cell>
          <cell r="I2225" t="str">
            <v>JK071</v>
          </cell>
          <cell r="L2225">
            <v>5.4</v>
          </cell>
          <cell r="M2225">
            <v>0.16200000000000001</v>
          </cell>
          <cell r="N2225" t="str">
            <v>5W</v>
          </cell>
          <cell r="P2225" t="str">
            <v>PONFCS</v>
          </cell>
          <cell r="Q2225" t="str">
            <v>/  /</v>
          </cell>
        </row>
        <row r="2226">
          <cell r="A2226">
            <v>4087260</v>
          </cell>
          <cell r="B2226">
            <v>43851</v>
          </cell>
          <cell r="C2226" t="str">
            <v>PON</v>
          </cell>
          <cell r="D2226">
            <v>614508061</v>
          </cell>
          <cell r="E2226" t="str">
            <v>FC F14 FS IZ Team 1.0 50 XSDi2</v>
          </cell>
          <cell r="F2226">
            <v>1</v>
          </cell>
          <cell r="G2226">
            <v>0</v>
          </cell>
          <cell r="I2226" t="str">
            <v>JK071</v>
          </cell>
          <cell r="L2226">
            <v>5.4</v>
          </cell>
          <cell r="M2226">
            <v>0.16200000000000001</v>
          </cell>
          <cell r="N2226" t="str">
            <v>5W</v>
          </cell>
          <cell r="P2226" t="str">
            <v>PONFCS</v>
          </cell>
          <cell r="Q2226" t="str">
            <v>/  /</v>
          </cell>
        </row>
        <row r="2227">
          <cell r="A2227">
            <v>4088516</v>
          </cell>
          <cell r="B2227">
            <v>43851</v>
          </cell>
          <cell r="C2227" t="str">
            <v>PON</v>
          </cell>
          <cell r="D2227">
            <v>614508061</v>
          </cell>
          <cell r="E2227" t="str">
            <v>FC F14 FS IZ Team 1.0 50 XSDi2</v>
          </cell>
          <cell r="F2227">
            <v>1</v>
          </cell>
          <cell r="G2227">
            <v>0</v>
          </cell>
          <cell r="I2227" t="str">
            <v>JK071</v>
          </cell>
          <cell r="L2227">
            <v>5.4</v>
          </cell>
          <cell r="M2227">
            <v>0.16200000000000001</v>
          </cell>
          <cell r="N2227" t="str">
            <v>5W</v>
          </cell>
          <cell r="P2227" t="str">
            <v>PONFCS</v>
          </cell>
          <cell r="Q2227" t="str">
            <v>/  /</v>
          </cell>
        </row>
        <row r="2228">
          <cell r="A2228">
            <v>3911487</v>
          </cell>
          <cell r="B2228">
            <v>43766</v>
          </cell>
          <cell r="C2228" t="str">
            <v>PON</v>
          </cell>
          <cell r="D2228">
            <v>628508415</v>
          </cell>
          <cell r="E2228" t="str">
            <v>FC F18 Mares Force 1 F/S 60XXL</v>
          </cell>
          <cell r="F2228">
            <v>1</v>
          </cell>
          <cell r="G2228">
            <v>0</v>
          </cell>
          <cell r="I2228" t="str">
            <v>JK071</v>
          </cell>
          <cell r="L2228">
            <v>6</v>
          </cell>
          <cell r="M2228">
            <v>0.16900000000000001</v>
          </cell>
          <cell r="N2228" t="str">
            <v>5W</v>
          </cell>
          <cell r="P2228" t="str">
            <v>PONFCS</v>
          </cell>
          <cell r="Q2228" t="str">
            <v>/  /</v>
          </cell>
        </row>
        <row r="2229">
          <cell r="A2229">
            <v>3974152</v>
          </cell>
          <cell r="B2229">
            <v>43802</v>
          </cell>
          <cell r="C2229" t="str">
            <v>PON</v>
          </cell>
          <cell r="D2229">
            <v>620508050</v>
          </cell>
          <cell r="E2229" t="str">
            <v>Focus F15 F/S Cayo 1.0 48 XS</v>
          </cell>
          <cell r="F2229">
            <v>1</v>
          </cell>
          <cell r="G2229">
            <v>0</v>
          </cell>
          <cell r="I2229" t="str">
            <v>JK072</v>
          </cell>
          <cell r="L2229">
            <v>4.5999999999999996</v>
          </cell>
          <cell r="M2229">
            <v>0.16500000000000001</v>
          </cell>
          <cell r="N2229" t="str">
            <v>5W</v>
          </cell>
          <cell r="P2229" t="str">
            <v>PONFCS</v>
          </cell>
          <cell r="Q2229" t="str">
            <v>/  /</v>
          </cell>
        </row>
        <row r="2230">
          <cell r="A2230">
            <v>3974166</v>
          </cell>
          <cell r="B2230">
            <v>43802</v>
          </cell>
          <cell r="C2230" t="str">
            <v>PON</v>
          </cell>
          <cell r="D2230">
            <v>625073023</v>
          </cell>
          <cell r="E2230" t="str">
            <v>Cervelo C17 P5 Three F/S 56 LG</v>
          </cell>
          <cell r="F2230">
            <v>1</v>
          </cell>
          <cell r="G2230">
            <v>0</v>
          </cell>
          <cell r="I2230" t="str">
            <v>JK072</v>
          </cell>
          <cell r="L2230">
            <v>7.7</v>
          </cell>
          <cell r="M2230">
            <v>0.13100000000000001</v>
          </cell>
          <cell r="N2230" t="str">
            <v>5W</v>
          </cell>
          <cell r="P2230" t="str">
            <v>PONCVL</v>
          </cell>
          <cell r="Q2230" t="str">
            <v>/  /</v>
          </cell>
        </row>
        <row r="2231">
          <cell r="A2231">
            <v>3980579</v>
          </cell>
          <cell r="B2231">
            <v>43804</v>
          </cell>
          <cell r="C2231" t="str">
            <v>PON</v>
          </cell>
          <cell r="D2231">
            <v>625073023</v>
          </cell>
          <cell r="E2231" t="str">
            <v>Cervelo C17 P5 Three F/S 56 LG</v>
          </cell>
          <cell r="F2231">
            <v>1</v>
          </cell>
          <cell r="G2231">
            <v>0</v>
          </cell>
          <cell r="I2231" t="str">
            <v>JK072</v>
          </cell>
          <cell r="L2231">
            <v>7.7</v>
          </cell>
          <cell r="M2231">
            <v>0.13100000000000001</v>
          </cell>
          <cell r="N2231" t="str">
            <v>5W</v>
          </cell>
          <cell r="P2231" t="str">
            <v>PONCVL</v>
          </cell>
          <cell r="Q2231" t="str">
            <v>/  /</v>
          </cell>
        </row>
        <row r="2232">
          <cell r="A2232">
            <v>4087333</v>
          </cell>
          <cell r="B2232">
            <v>43804</v>
          </cell>
          <cell r="C2232" t="str">
            <v>PON</v>
          </cell>
          <cell r="D2232">
            <v>625073023</v>
          </cell>
          <cell r="E2232" t="str">
            <v>Cervelo C17 P5 Three F/S 56 LG</v>
          </cell>
          <cell r="F2232">
            <v>1</v>
          </cell>
          <cell r="G2232">
            <v>0</v>
          </cell>
          <cell r="I2232" t="str">
            <v>JK072</v>
          </cell>
          <cell r="L2232">
            <v>7.7</v>
          </cell>
          <cell r="M2232">
            <v>0.13100000000000001</v>
          </cell>
          <cell r="N2232" t="str">
            <v>5W</v>
          </cell>
          <cell r="P2232" t="str">
            <v>PONCVL</v>
          </cell>
          <cell r="Q2232" t="str">
            <v>/  /</v>
          </cell>
        </row>
        <row r="2233">
          <cell r="A2233">
            <v>4088633</v>
          </cell>
          <cell r="B2233">
            <v>43804</v>
          </cell>
          <cell r="C2233" t="str">
            <v>PON</v>
          </cell>
          <cell r="D2233">
            <v>625073023</v>
          </cell>
          <cell r="E2233" t="str">
            <v>Cervelo C17 P5 Three F/S 56 LG</v>
          </cell>
          <cell r="F2233">
            <v>1</v>
          </cell>
          <cell r="G2233">
            <v>0</v>
          </cell>
          <cell r="I2233" t="str">
            <v>JK072</v>
          </cell>
          <cell r="L2233">
            <v>7.7</v>
          </cell>
          <cell r="M2233">
            <v>0.13100000000000001</v>
          </cell>
          <cell r="N2233" t="str">
            <v>5W</v>
          </cell>
          <cell r="P2233" t="str">
            <v>PONCVL</v>
          </cell>
          <cell r="Q2233" t="str">
            <v>/  /</v>
          </cell>
        </row>
        <row r="2234">
          <cell r="A2234">
            <v>4086824</v>
          </cell>
          <cell r="B2234">
            <v>43774</v>
          </cell>
          <cell r="C2234" t="str">
            <v>PON</v>
          </cell>
          <cell r="D2234">
            <v>633080113</v>
          </cell>
          <cell r="E2234" t="str">
            <v>FC F19Izalco MxDsc 9 FS 54MBlk</v>
          </cell>
          <cell r="F2234">
            <v>1</v>
          </cell>
          <cell r="G2234">
            <v>0</v>
          </cell>
          <cell r="I2234" t="str">
            <v>JK081</v>
          </cell>
          <cell r="L2234">
            <v>6</v>
          </cell>
          <cell r="M2234">
            <v>0.152</v>
          </cell>
          <cell r="N2234" t="str">
            <v>5W</v>
          </cell>
          <cell r="P2234" t="str">
            <v>PONFCS</v>
          </cell>
          <cell r="Q2234" t="str">
            <v>/  /</v>
          </cell>
        </row>
        <row r="2235">
          <cell r="A2235">
            <v>4087170</v>
          </cell>
          <cell r="B2235">
            <v>43774</v>
          </cell>
          <cell r="C2235" t="str">
            <v>PON</v>
          </cell>
          <cell r="D2235">
            <v>633080113</v>
          </cell>
          <cell r="E2235" t="str">
            <v>FC F19Izalco MxDsc 9 FS 54MBlk</v>
          </cell>
          <cell r="F2235">
            <v>1</v>
          </cell>
          <cell r="G2235">
            <v>0</v>
          </cell>
          <cell r="I2235" t="str">
            <v>JK081</v>
          </cell>
          <cell r="L2235">
            <v>6</v>
          </cell>
          <cell r="M2235">
            <v>0.152</v>
          </cell>
          <cell r="N2235" t="str">
            <v>5W</v>
          </cell>
          <cell r="P2235" t="str">
            <v>PONFCS</v>
          </cell>
          <cell r="Q2235" t="str">
            <v>/  /</v>
          </cell>
        </row>
        <row r="2236">
          <cell r="A2236">
            <v>4087171</v>
          </cell>
          <cell r="B2236">
            <v>43774</v>
          </cell>
          <cell r="C2236" t="str">
            <v>PON</v>
          </cell>
          <cell r="D2236">
            <v>633080113</v>
          </cell>
          <cell r="E2236" t="str">
            <v>FC F19Izalco MxDsc 9 FS 54MBlk</v>
          </cell>
          <cell r="F2236">
            <v>1</v>
          </cell>
          <cell r="G2236">
            <v>0</v>
          </cell>
          <cell r="I2236" t="str">
            <v>JK081</v>
          </cell>
          <cell r="L2236">
            <v>6</v>
          </cell>
          <cell r="M2236">
            <v>0.152</v>
          </cell>
          <cell r="N2236" t="str">
            <v>5W</v>
          </cell>
          <cell r="P2236" t="str">
            <v>PONFCS</v>
          </cell>
          <cell r="Q2236" t="str">
            <v>/  /</v>
          </cell>
        </row>
        <row r="2237">
          <cell r="A2237">
            <v>4089743</v>
          </cell>
          <cell r="B2237">
            <v>43774</v>
          </cell>
          <cell r="C2237" t="str">
            <v>PON</v>
          </cell>
          <cell r="D2237">
            <v>633080113</v>
          </cell>
          <cell r="E2237" t="str">
            <v>FC F19Izalco MxDsc 9 FS 54MBlk</v>
          </cell>
          <cell r="F2237">
            <v>1</v>
          </cell>
          <cell r="G2237">
            <v>0</v>
          </cell>
          <cell r="I2237" t="str">
            <v>JK081</v>
          </cell>
          <cell r="L2237">
            <v>6</v>
          </cell>
          <cell r="M2237">
            <v>0.152</v>
          </cell>
          <cell r="N2237" t="str">
            <v>5W</v>
          </cell>
          <cell r="P2237" t="str">
            <v>PONFCS</v>
          </cell>
          <cell r="Q2237" t="str">
            <v>/  /</v>
          </cell>
        </row>
        <row r="2238">
          <cell r="A2238">
            <v>4087256</v>
          </cell>
          <cell r="B2238">
            <v>43850</v>
          </cell>
          <cell r="C2238" t="str">
            <v>PON</v>
          </cell>
          <cell r="D2238">
            <v>613508060</v>
          </cell>
          <cell r="E2238" t="str">
            <v>FC F13 FS Mares CX 3.0 52 SM</v>
          </cell>
          <cell r="F2238">
            <v>1</v>
          </cell>
          <cell r="G2238">
            <v>0</v>
          </cell>
          <cell r="I2238" t="str">
            <v>JK082</v>
          </cell>
          <cell r="L2238">
            <v>6.3</v>
          </cell>
          <cell r="M2238">
            <v>0.17</v>
          </cell>
          <cell r="N2238" t="str">
            <v>5W</v>
          </cell>
          <cell r="P2238" t="str">
            <v>PONFCS</v>
          </cell>
          <cell r="Q2238" t="str">
            <v>/  /</v>
          </cell>
        </row>
        <row r="2239">
          <cell r="A2239">
            <v>4088510</v>
          </cell>
          <cell r="B2239">
            <v>43850</v>
          </cell>
          <cell r="C2239" t="str">
            <v>PON</v>
          </cell>
          <cell r="D2239">
            <v>613508060</v>
          </cell>
          <cell r="E2239" t="str">
            <v>FC F13 FS Mares CX 3.0 52 SM</v>
          </cell>
          <cell r="F2239">
            <v>1</v>
          </cell>
          <cell r="G2239">
            <v>0</v>
          </cell>
          <cell r="I2239" t="str">
            <v>JK082</v>
          </cell>
          <cell r="L2239">
            <v>6.3</v>
          </cell>
          <cell r="M2239">
            <v>0.17</v>
          </cell>
          <cell r="N2239" t="str">
            <v>5W</v>
          </cell>
          <cell r="P2239" t="str">
            <v>PONFCS</v>
          </cell>
          <cell r="Q2239" t="str">
            <v>/  /</v>
          </cell>
        </row>
        <row r="2240">
          <cell r="A2240">
            <v>3974150</v>
          </cell>
          <cell r="B2240">
            <v>43802</v>
          </cell>
          <cell r="C2240" t="str">
            <v>PON</v>
          </cell>
          <cell r="D2240">
            <v>620508013</v>
          </cell>
          <cell r="E2240" t="str">
            <v>FC F15 F/S Mares CX 3.0 56 LG</v>
          </cell>
          <cell r="F2240">
            <v>1</v>
          </cell>
          <cell r="G2240">
            <v>0</v>
          </cell>
          <cell r="I2240" t="str">
            <v>JK082</v>
          </cell>
          <cell r="L2240">
            <v>5.8</v>
          </cell>
          <cell r="M2240">
            <v>0.183</v>
          </cell>
          <cell r="N2240" t="str">
            <v>5W</v>
          </cell>
          <cell r="P2240" t="str">
            <v>PONFCS</v>
          </cell>
          <cell r="Q2240" t="str">
            <v>/  /</v>
          </cell>
        </row>
        <row r="2241">
          <cell r="A2241">
            <v>3974154</v>
          </cell>
          <cell r="B2241">
            <v>43802</v>
          </cell>
          <cell r="C2241" t="str">
            <v>PON</v>
          </cell>
          <cell r="D2241">
            <v>620508081</v>
          </cell>
          <cell r="E2241" t="str">
            <v>FC F17 IZ Chrono Sponsor F/S M</v>
          </cell>
          <cell r="F2241">
            <v>1</v>
          </cell>
          <cell r="G2241">
            <v>0</v>
          </cell>
          <cell r="I2241" t="str">
            <v>JK082</v>
          </cell>
          <cell r="L2241">
            <v>8.5</v>
          </cell>
          <cell r="M2241">
            <v>0.16300000000000001</v>
          </cell>
          <cell r="N2241" t="str">
            <v>5W</v>
          </cell>
          <cell r="P2241" t="str">
            <v>PONFCS</v>
          </cell>
          <cell r="Q2241" t="str">
            <v>/  /</v>
          </cell>
        </row>
        <row r="2242">
          <cell r="A2242">
            <v>4039755</v>
          </cell>
          <cell r="B2242">
            <v>43852</v>
          </cell>
          <cell r="C2242" t="str">
            <v>PON</v>
          </cell>
          <cell r="D2242">
            <v>613508002</v>
          </cell>
          <cell r="E2242" t="str">
            <v>FC F13 FS IZ Pro 2.0 52 SM Di2</v>
          </cell>
          <cell r="F2242">
            <v>1</v>
          </cell>
          <cell r="G2242">
            <v>0</v>
          </cell>
          <cell r="I2242" t="str">
            <v>JK091</v>
          </cell>
          <cell r="L2242">
            <v>4.4000000000000004</v>
          </cell>
          <cell r="M2242">
            <v>0.19600000000000001</v>
          </cell>
          <cell r="N2242" t="str">
            <v>5W</v>
          </cell>
          <cell r="P2242" t="str">
            <v>PONFCS</v>
          </cell>
          <cell r="Q2242" t="str">
            <v>/  /</v>
          </cell>
        </row>
        <row r="2243">
          <cell r="A2243">
            <v>4039779</v>
          </cell>
          <cell r="B2243">
            <v>43852</v>
          </cell>
          <cell r="C2243" t="str">
            <v>PON</v>
          </cell>
          <cell r="D2243">
            <v>613508123</v>
          </cell>
          <cell r="E2243" t="str">
            <v>FC F13 FS IZ Team 2.0 52 SMDI2</v>
          </cell>
          <cell r="F2243">
            <v>1</v>
          </cell>
          <cell r="G2243">
            <v>0</v>
          </cell>
          <cell r="I2243" t="str">
            <v>JK091</v>
          </cell>
          <cell r="L2243">
            <v>5.6</v>
          </cell>
          <cell r="M2243">
            <v>0.16600000000000001</v>
          </cell>
          <cell r="N2243" t="str">
            <v>5W</v>
          </cell>
          <cell r="P2243" t="str">
            <v>PONFCS</v>
          </cell>
          <cell r="Q2243" t="str">
            <v>/  /</v>
          </cell>
        </row>
        <row r="2244">
          <cell r="A2244">
            <v>4039831</v>
          </cell>
          <cell r="B2244">
            <v>43852</v>
          </cell>
          <cell r="C2244" t="str">
            <v>PON</v>
          </cell>
          <cell r="D2244">
            <v>613508125</v>
          </cell>
          <cell r="E2244" t="str">
            <v>FC F13 FS IZ Team 2.0 56 LGDI2</v>
          </cell>
          <cell r="F2244">
            <v>1</v>
          </cell>
          <cell r="G2244">
            <v>0</v>
          </cell>
          <cell r="I2244" t="str">
            <v>JK091</v>
          </cell>
          <cell r="L2244">
            <v>5.8</v>
          </cell>
          <cell r="M2244">
            <v>0.186</v>
          </cell>
          <cell r="N2244" t="str">
            <v>5W</v>
          </cell>
          <cell r="P2244" t="str">
            <v>PONFCS</v>
          </cell>
          <cell r="Q2244" t="str">
            <v>/  /</v>
          </cell>
        </row>
        <row r="2245">
          <cell r="A2245">
            <v>4080959</v>
          </cell>
          <cell r="B2245">
            <v>43852</v>
          </cell>
          <cell r="C2245" t="str">
            <v>PON</v>
          </cell>
          <cell r="D2245">
            <v>613508125</v>
          </cell>
          <cell r="E2245" t="str">
            <v>FC F13 FS IZ Team 2.0 56 LGDI2</v>
          </cell>
          <cell r="F2245">
            <v>1</v>
          </cell>
          <cell r="G2245">
            <v>0</v>
          </cell>
          <cell r="I2245" t="str">
            <v>JK091</v>
          </cell>
          <cell r="L2245">
            <v>5.8</v>
          </cell>
          <cell r="M2245">
            <v>0.186</v>
          </cell>
          <cell r="N2245" t="str">
            <v>5W</v>
          </cell>
          <cell r="P2245" t="str">
            <v>PONFCS</v>
          </cell>
          <cell r="Q2245" t="str">
            <v>/  /</v>
          </cell>
        </row>
        <row r="2246">
          <cell r="A2246">
            <v>3948657</v>
          </cell>
          <cell r="B2246">
            <v>43788</v>
          </cell>
          <cell r="C2246" t="str">
            <v>PON</v>
          </cell>
          <cell r="D2246">
            <v>623508030</v>
          </cell>
          <cell r="E2246" t="str">
            <v>FC F16 F/S IZ Max Disc 48 XXS</v>
          </cell>
          <cell r="F2246">
            <v>1</v>
          </cell>
          <cell r="G2246">
            <v>0</v>
          </cell>
          <cell r="I2246" t="str">
            <v>JK091</v>
          </cell>
          <cell r="L2246">
            <v>5.3</v>
          </cell>
          <cell r="M2246">
            <v>0.154</v>
          </cell>
          <cell r="N2246" t="str">
            <v>5W</v>
          </cell>
          <cell r="P2246" t="str">
            <v>PONFCS</v>
          </cell>
          <cell r="Q2246" t="str">
            <v>/  /</v>
          </cell>
        </row>
        <row r="2247">
          <cell r="A2247">
            <v>4081019</v>
          </cell>
          <cell r="B2247">
            <v>43788</v>
          </cell>
          <cell r="C2247" t="str">
            <v>PON</v>
          </cell>
          <cell r="D2247">
            <v>623508030</v>
          </cell>
          <cell r="E2247" t="str">
            <v>FC F16 F/S IZ Max Disc 48 XXS</v>
          </cell>
          <cell r="F2247">
            <v>1</v>
          </cell>
          <cell r="G2247">
            <v>0</v>
          </cell>
          <cell r="I2247" t="str">
            <v>JK091</v>
          </cell>
          <cell r="L2247">
            <v>5.3</v>
          </cell>
          <cell r="M2247">
            <v>0.154</v>
          </cell>
          <cell r="N2247" t="str">
            <v>5W</v>
          </cell>
          <cell r="P2247" t="str">
            <v>PONFCS</v>
          </cell>
          <cell r="Q2247" t="str">
            <v>/  /</v>
          </cell>
        </row>
        <row r="2248">
          <cell r="A2248">
            <v>4039837</v>
          </cell>
          <cell r="B2248">
            <v>43852</v>
          </cell>
          <cell r="C2248" t="str">
            <v>PON</v>
          </cell>
          <cell r="D2248">
            <v>614508060</v>
          </cell>
          <cell r="E2248" t="str">
            <v>FC F14 FSIZ Team 1.0 48 XXSDi2</v>
          </cell>
          <cell r="F2248">
            <v>1</v>
          </cell>
          <cell r="G2248">
            <v>0</v>
          </cell>
          <cell r="I2248" t="str">
            <v>JK101</v>
          </cell>
          <cell r="L2248">
            <v>5.7</v>
          </cell>
          <cell r="M2248">
            <v>0.17499999999999999</v>
          </cell>
          <cell r="N2248" t="str">
            <v>5W</v>
          </cell>
          <cell r="P2248" t="str">
            <v>PONFCS</v>
          </cell>
          <cell r="Q2248" t="str">
            <v>/  /</v>
          </cell>
        </row>
        <row r="2249">
          <cell r="A2249">
            <v>3980577</v>
          </cell>
          <cell r="B2249">
            <v>43804</v>
          </cell>
          <cell r="C2249" t="str">
            <v>PON</v>
          </cell>
          <cell r="D2249">
            <v>620508004</v>
          </cell>
          <cell r="E2249" t="str">
            <v>FC F15 F/S Mares CX 1.0 58 XL</v>
          </cell>
          <cell r="F2249">
            <v>1</v>
          </cell>
          <cell r="G2249">
            <v>0</v>
          </cell>
          <cell r="I2249" t="str">
            <v>JK101</v>
          </cell>
          <cell r="L2249">
            <v>6</v>
          </cell>
          <cell r="M2249">
            <v>0.184</v>
          </cell>
          <cell r="N2249" t="str">
            <v>5W</v>
          </cell>
          <cell r="P2249" t="str">
            <v>PONFCS</v>
          </cell>
          <cell r="Q2249" t="str">
            <v>/  /</v>
          </cell>
        </row>
        <row r="2250">
          <cell r="A2250">
            <v>4087285</v>
          </cell>
          <cell r="B2250">
            <v>43804</v>
          </cell>
          <cell r="C2250" t="str">
            <v>PON</v>
          </cell>
          <cell r="D2250">
            <v>620508004</v>
          </cell>
          <cell r="E2250" t="str">
            <v>FC F15 F/S Mares CX 1.0 58 XL</v>
          </cell>
          <cell r="F2250">
            <v>1</v>
          </cell>
          <cell r="G2250">
            <v>0</v>
          </cell>
          <cell r="I2250" t="str">
            <v>JK101</v>
          </cell>
          <cell r="L2250">
            <v>6</v>
          </cell>
          <cell r="M2250">
            <v>0.184</v>
          </cell>
          <cell r="N2250" t="str">
            <v>5W</v>
          </cell>
          <cell r="P2250" t="str">
            <v>PONFCS</v>
          </cell>
          <cell r="Q2250" t="str">
            <v>/  /</v>
          </cell>
        </row>
        <row r="2251">
          <cell r="A2251">
            <v>4088556</v>
          </cell>
          <cell r="B2251">
            <v>43804</v>
          </cell>
          <cell r="C2251" t="str">
            <v>PON</v>
          </cell>
          <cell r="D2251">
            <v>620508004</v>
          </cell>
          <cell r="E2251" t="str">
            <v>FC F15 F/S Mares CX 1.0 58 XL</v>
          </cell>
          <cell r="F2251">
            <v>1</v>
          </cell>
          <cell r="G2251">
            <v>0</v>
          </cell>
          <cell r="I2251" t="str">
            <v>JK101</v>
          </cell>
          <cell r="L2251">
            <v>6</v>
          </cell>
          <cell r="M2251">
            <v>0.184</v>
          </cell>
          <cell r="N2251" t="str">
            <v>5W</v>
          </cell>
          <cell r="P2251" t="str">
            <v>PONFCS</v>
          </cell>
          <cell r="Q2251" t="str">
            <v>/  /</v>
          </cell>
        </row>
        <row r="2252">
          <cell r="A2252">
            <v>3997787</v>
          </cell>
          <cell r="B2252">
            <v>43812</v>
          </cell>
          <cell r="C2252" t="str">
            <v>PON</v>
          </cell>
          <cell r="D2252">
            <v>623508131</v>
          </cell>
          <cell r="E2252" t="str">
            <v>Focus F16 F/S Cayo 51 SM</v>
          </cell>
          <cell r="F2252">
            <v>1</v>
          </cell>
          <cell r="G2252">
            <v>0</v>
          </cell>
          <cell r="I2252" t="str">
            <v>JK101</v>
          </cell>
          <cell r="L2252">
            <v>4.9000000000000004</v>
          </cell>
          <cell r="M2252">
            <v>0.16</v>
          </cell>
          <cell r="N2252" t="str">
            <v>5W</v>
          </cell>
          <cell r="P2252" t="str">
            <v>PONFCS</v>
          </cell>
          <cell r="Q2252" t="str">
            <v>/  /</v>
          </cell>
        </row>
        <row r="2253">
          <cell r="A2253">
            <v>4087259</v>
          </cell>
          <cell r="B2253">
            <v>43851</v>
          </cell>
          <cell r="C2253" t="str">
            <v>PON</v>
          </cell>
          <cell r="D2253">
            <v>613508114</v>
          </cell>
          <cell r="E2253" t="str">
            <v>FC F13 FS IZ Team 1.0 56 LGDi2</v>
          </cell>
          <cell r="F2253">
            <v>1</v>
          </cell>
          <cell r="G2253">
            <v>0</v>
          </cell>
          <cell r="I2253" t="str">
            <v>JK102</v>
          </cell>
          <cell r="L2253">
            <v>5.8</v>
          </cell>
          <cell r="M2253">
            <v>0.17599999999999999</v>
          </cell>
          <cell r="N2253" t="str">
            <v>5W</v>
          </cell>
          <cell r="P2253" t="str">
            <v>PONFCS</v>
          </cell>
          <cell r="Q2253" t="str">
            <v>/  /</v>
          </cell>
        </row>
        <row r="2254">
          <cell r="A2254">
            <v>4088515</v>
          </cell>
          <cell r="B2254">
            <v>43851</v>
          </cell>
          <cell r="C2254" t="str">
            <v>PON</v>
          </cell>
          <cell r="D2254">
            <v>613508114</v>
          </cell>
          <cell r="E2254" t="str">
            <v>FC F13 FS IZ Team 1.0 56 LGDi2</v>
          </cell>
          <cell r="F2254">
            <v>1</v>
          </cell>
          <cell r="G2254">
            <v>0</v>
          </cell>
          <cell r="I2254" t="str">
            <v>JK102</v>
          </cell>
          <cell r="L2254">
            <v>5.8</v>
          </cell>
          <cell r="M2254">
            <v>0.17599999999999999</v>
          </cell>
          <cell r="N2254" t="str">
            <v>5W</v>
          </cell>
          <cell r="P2254" t="str">
            <v>PONFCS</v>
          </cell>
          <cell r="Q2254" t="str">
            <v>/  /</v>
          </cell>
        </row>
        <row r="2255">
          <cell r="A2255">
            <v>4037651</v>
          </cell>
          <cell r="B2255">
            <v>43851</v>
          </cell>
          <cell r="C2255" t="str">
            <v>PON</v>
          </cell>
          <cell r="D2255">
            <v>620508013</v>
          </cell>
          <cell r="E2255" t="str">
            <v>FC F15 F/S Mares CX 3.0 56 LG</v>
          </cell>
          <cell r="F2255">
            <v>1</v>
          </cell>
          <cell r="G2255">
            <v>0</v>
          </cell>
          <cell r="I2255" t="str">
            <v>JK102</v>
          </cell>
          <cell r="L2255">
            <v>5.8</v>
          </cell>
          <cell r="M2255">
            <v>0.183</v>
          </cell>
          <cell r="N2255" t="str">
            <v>5W</v>
          </cell>
          <cell r="P2255" t="str">
            <v>PONFCS</v>
          </cell>
          <cell r="Q2255" t="str">
            <v>/  /</v>
          </cell>
        </row>
        <row r="2256">
          <cell r="A2256">
            <v>4087286</v>
          </cell>
          <cell r="B2256">
            <v>43851</v>
          </cell>
          <cell r="C2256" t="str">
            <v>PON</v>
          </cell>
          <cell r="D2256">
            <v>620508013</v>
          </cell>
          <cell r="E2256" t="str">
            <v>FC F15 F/S Mares CX 3.0 56 LG</v>
          </cell>
          <cell r="F2256">
            <v>1</v>
          </cell>
          <cell r="G2256">
            <v>0</v>
          </cell>
          <cell r="I2256" t="str">
            <v>JK102</v>
          </cell>
          <cell r="L2256">
            <v>5.8</v>
          </cell>
          <cell r="M2256">
            <v>0.183</v>
          </cell>
          <cell r="N2256" t="str">
            <v>5W</v>
          </cell>
          <cell r="P2256" t="str">
            <v>PONFCS</v>
          </cell>
          <cell r="Q2256" t="str">
            <v>/  /</v>
          </cell>
        </row>
        <row r="2257">
          <cell r="A2257">
            <v>4088558</v>
          </cell>
          <cell r="B2257">
            <v>43851</v>
          </cell>
          <cell r="C2257" t="str">
            <v>PON</v>
          </cell>
          <cell r="D2257">
            <v>620508013</v>
          </cell>
          <cell r="E2257" t="str">
            <v>FC F15 F/S Mares CX 3.0 56 LG</v>
          </cell>
          <cell r="F2257">
            <v>1</v>
          </cell>
          <cell r="G2257">
            <v>0</v>
          </cell>
          <cell r="I2257" t="str">
            <v>JK102</v>
          </cell>
          <cell r="L2257">
            <v>5.8</v>
          </cell>
          <cell r="M2257">
            <v>0.183</v>
          </cell>
          <cell r="N2257" t="str">
            <v>5W</v>
          </cell>
          <cell r="P2257" t="str">
            <v>PONFCS</v>
          </cell>
          <cell r="Q2257" t="str">
            <v>/  /</v>
          </cell>
        </row>
        <row r="2258">
          <cell r="A2258">
            <v>3979106</v>
          </cell>
          <cell r="B2258">
            <v>43804</v>
          </cell>
          <cell r="C2258" t="str">
            <v>PON</v>
          </cell>
          <cell r="D2258">
            <v>625508075</v>
          </cell>
          <cell r="E2258" t="str">
            <v>FC F17 Mare CX Disc F/S 60 XXL</v>
          </cell>
          <cell r="F2258">
            <v>1</v>
          </cell>
          <cell r="G2258">
            <v>0</v>
          </cell>
          <cell r="I2258" t="str">
            <v>JK102</v>
          </cell>
          <cell r="L2258">
            <v>5.3</v>
          </cell>
          <cell r="M2258">
            <v>0.17399999999999999</v>
          </cell>
          <cell r="N2258" t="str">
            <v>5W</v>
          </cell>
          <cell r="P2258" t="str">
            <v>PONFCS</v>
          </cell>
          <cell r="Q2258" t="str">
            <v>/  /</v>
          </cell>
        </row>
        <row r="2259">
          <cell r="A2259">
            <v>4037643</v>
          </cell>
          <cell r="B2259">
            <v>43851</v>
          </cell>
          <cell r="C2259" t="str">
            <v>PON</v>
          </cell>
          <cell r="D2259">
            <v>614508350</v>
          </cell>
          <cell r="E2259" t="str">
            <v>FC F14 FS Mare CX 2.0 52 SMDi2</v>
          </cell>
          <cell r="F2259">
            <v>1</v>
          </cell>
          <cell r="G2259">
            <v>0</v>
          </cell>
          <cell r="I2259" t="str">
            <v>JK111</v>
          </cell>
          <cell r="L2259">
            <v>6.3</v>
          </cell>
          <cell r="M2259">
            <v>0.18099999999999999</v>
          </cell>
          <cell r="N2259" t="str">
            <v>5W</v>
          </cell>
          <cell r="P2259" t="str">
            <v>PONFCS</v>
          </cell>
          <cell r="Q2259" t="str">
            <v>/  /</v>
          </cell>
        </row>
        <row r="2260">
          <cell r="A2260">
            <v>4080971</v>
          </cell>
          <cell r="B2260">
            <v>43851</v>
          </cell>
          <cell r="C2260" t="str">
            <v>PON</v>
          </cell>
          <cell r="D2260">
            <v>614508350</v>
          </cell>
          <cell r="E2260" t="str">
            <v>FC F14 FS Mare CX 2.0 52 SMDi2</v>
          </cell>
          <cell r="F2260">
            <v>1</v>
          </cell>
          <cell r="G2260">
            <v>0</v>
          </cell>
          <cell r="I2260" t="str">
            <v>JK111</v>
          </cell>
          <cell r="L2260">
            <v>6.3</v>
          </cell>
          <cell r="M2260">
            <v>0.18099999999999999</v>
          </cell>
          <cell r="N2260" t="str">
            <v>5W</v>
          </cell>
          <cell r="P2260" t="str">
            <v>PONFCS</v>
          </cell>
          <cell r="Q2260" t="str">
            <v>/  /</v>
          </cell>
        </row>
        <row r="2261">
          <cell r="A2261">
            <v>3947243</v>
          </cell>
          <cell r="B2261">
            <v>43788</v>
          </cell>
          <cell r="C2261" t="str">
            <v>PON</v>
          </cell>
          <cell r="D2261">
            <v>625508142</v>
          </cell>
          <cell r="E2261" t="str">
            <v>Focus F17 Spine C F/S 48 LG</v>
          </cell>
          <cell r="F2261">
            <v>1</v>
          </cell>
          <cell r="G2261">
            <v>0</v>
          </cell>
          <cell r="I2261" t="str">
            <v>JK111</v>
          </cell>
          <cell r="L2261">
            <v>6.6</v>
          </cell>
          <cell r="M2261">
            <v>0.14699999999999999</v>
          </cell>
          <cell r="N2261" t="str">
            <v>5W</v>
          </cell>
          <cell r="P2261" t="str">
            <v>PONFCS</v>
          </cell>
          <cell r="Q2261" t="str">
            <v>/  /</v>
          </cell>
        </row>
        <row r="2262">
          <cell r="A2262">
            <v>4081057</v>
          </cell>
          <cell r="B2262">
            <v>43788</v>
          </cell>
          <cell r="C2262" t="str">
            <v>PON</v>
          </cell>
          <cell r="D2262">
            <v>625508142</v>
          </cell>
          <cell r="E2262" t="str">
            <v>Focus F17 Spine C F/S 48 LG</v>
          </cell>
          <cell r="F2262">
            <v>1</v>
          </cell>
          <cell r="G2262">
            <v>0</v>
          </cell>
          <cell r="I2262" t="str">
            <v>JK111</v>
          </cell>
          <cell r="L2262">
            <v>6.6</v>
          </cell>
          <cell r="M2262">
            <v>0.14699999999999999</v>
          </cell>
          <cell r="N2262" t="str">
            <v>5W</v>
          </cell>
          <cell r="P2262" t="str">
            <v>PONFCS</v>
          </cell>
          <cell r="Q2262" t="str">
            <v>/  /</v>
          </cell>
        </row>
        <row r="2263">
          <cell r="A2263">
            <v>4037619</v>
          </cell>
          <cell r="B2263">
            <v>43851</v>
          </cell>
          <cell r="C2263" t="str">
            <v>PON</v>
          </cell>
          <cell r="D2263">
            <v>613508061</v>
          </cell>
          <cell r="E2263" t="str">
            <v>FC F13 FS Mares CX 3.0 54 MD</v>
          </cell>
          <cell r="F2263">
            <v>1</v>
          </cell>
          <cell r="G2263">
            <v>0</v>
          </cell>
          <cell r="I2263" t="str">
            <v>JK112</v>
          </cell>
          <cell r="L2263">
            <v>6.4</v>
          </cell>
          <cell r="M2263">
            <v>0.17499999999999999</v>
          </cell>
          <cell r="N2263" t="str">
            <v>5W</v>
          </cell>
          <cell r="P2263" t="str">
            <v>PONFCS</v>
          </cell>
          <cell r="Q2263" t="str">
            <v>/  /</v>
          </cell>
        </row>
        <row r="2264">
          <cell r="A2264">
            <v>4086661</v>
          </cell>
          <cell r="B2264">
            <v>43851</v>
          </cell>
          <cell r="C2264" t="str">
            <v>PON</v>
          </cell>
          <cell r="D2264">
            <v>613508061</v>
          </cell>
          <cell r="E2264" t="str">
            <v>FC F13 FS Mares CX 3.0 54 MD</v>
          </cell>
          <cell r="F2264">
            <v>1</v>
          </cell>
          <cell r="G2264">
            <v>0</v>
          </cell>
          <cell r="I2264" t="str">
            <v>JK112</v>
          </cell>
          <cell r="L2264">
            <v>6.4</v>
          </cell>
          <cell r="M2264">
            <v>0.17499999999999999</v>
          </cell>
          <cell r="N2264" t="str">
            <v>5W</v>
          </cell>
          <cell r="P2264" t="str">
            <v>PONFCS</v>
          </cell>
          <cell r="Q2264" t="str">
            <v>/  /</v>
          </cell>
        </row>
        <row r="2265">
          <cell r="A2265">
            <v>4086900</v>
          </cell>
          <cell r="B2265">
            <v>43851</v>
          </cell>
          <cell r="C2265" t="str">
            <v>PON</v>
          </cell>
          <cell r="D2265">
            <v>613508061</v>
          </cell>
          <cell r="E2265" t="str">
            <v>FC F13 FS Mares CX 3.0 54 MD</v>
          </cell>
          <cell r="F2265">
            <v>1</v>
          </cell>
          <cell r="G2265">
            <v>0</v>
          </cell>
          <cell r="I2265" t="str">
            <v>JK112</v>
          </cell>
          <cell r="L2265">
            <v>6.4</v>
          </cell>
          <cell r="M2265">
            <v>0.17499999999999999</v>
          </cell>
          <cell r="N2265" t="str">
            <v>5W</v>
          </cell>
          <cell r="P2265" t="str">
            <v>PONFCS</v>
          </cell>
          <cell r="Q2265" t="str">
            <v>/  /</v>
          </cell>
        </row>
        <row r="2266">
          <cell r="A2266">
            <v>4086901</v>
          </cell>
          <cell r="B2266">
            <v>43851</v>
          </cell>
          <cell r="C2266" t="str">
            <v>PON</v>
          </cell>
          <cell r="D2266">
            <v>613508061</v>
          </cell>
          <cell r="E2266" t="str">
            <v>FC F13 FS Mares CX 3.0 54 MD</v>
          </cell>
          <cell r="F2266">
            <v>1</v>
          </cell>
          <cell r="G2266">
            <v>0</v>
          </cell>
          <cell r="I2266" t="str">
            <v>JK112</v>
          </cell>
          <cell r="L2266">
            <v>6.4</v>
          </cell>
          <cell r="M2266">
            <v>0.17499999999999999</v>
          </cell>
          <cell r="N2266" t="str">
            <v>5W</v>
          </cell>
          <cell r="P2266" t="str">
            <v>PONFCS</v>
          </cell>
          <cell r="Q2266" t="str">
            <v>/  /</v>
          </cell>
        </row>
        <row r="2267">
          <cell r="A2267">
            <v>4100311</v>
          </cell>
          <cell r="B2267">
            <v>43851</v>
          </cell>
          <cell r="C2267" t="str">
            <v>PON</v>
          </cell>
          <cell r="D2267">
            <v>613508061</v>
          </cell>
          <cell r="E2267" t="str">
            <v>FC F13 FS Mares CX 3.0 54 MD</v>
          </cell>
          <cell r="F2267">
            <v>1</v>
          </cell>
          <cell r="G2267">
            <v>0</v>
          </cell>
          <cell r="I2267" t="str">
            <v>JK112</v>
          </cell>
          <cell r="L2267">
            <v>6.4</v>
          </cell>
          <cell r="M2267">
            <v>0.17499999999999999</v>
          </cell>
          <cell r="N2267" t="str">
            <v>5W</v>
          </cell>
          <cell r="P2267" t="str">
            <v>PONFCS</v>
          </cell>
          <cell r="Q2267" t="str">
            <v>/  /</v>
          </cell>
        </row>
        <row r="2268">
          <cell r="A2268">
            <v>3947241</v>
          </cell>
          <cell r="B2268">
            <v>43788</v>
          </cell>
          <cell r="C2268" t="str">
            <v>PON</v>
          </cell>
          <cell r="D2268">
            <v>625508141</v>
          </cell>
          <cell r="E2268" t="str">
            <v>Focus F17 Spine C F/S 44 MD</v>
          </cell>
          <cell r="F2268">
            <v>1</v>
          </cell>
          <cell r="G2268">
            <v>0</v>
          </cell>
          <cell r="I2268" t="str">
            <v>JK121</v>
          </cell>
          <cell r="L2268">
            <v>6.7</v>
          </cell>
          <cell r="M2268">
            <v>0.14199999999999999</v>
          </cell>
          <cell r="N2268" t="str">
            <v>5W</v>
          </cell>
          <cell r="P2268" t="str">
            <v>PONFCS</v>
          </cell>
          <cell r="Q2268" t="str">
            <v>/  /</v>
          </cell>
        </row>
        <row r="2269">
          <cell r="A2269">
            <v>4081056</v>
          </cell>
          <cell r="B2269">
            <v>43788</v>
          </cell>
          <cell r="C2269" t="str">
            <v>PON</v>
          </cell>
          <cell r="D2269">
            <v>625508141</v>
          </cell>
          <cell r="E2269" t="str">
            <v>Focus F17 Spine C F/S 44 MD</v>
          </cell>
          <cell r="F2269">
            <v>1</v>
          </cell>
          <cell r="G2269">
            <v>0</v>
          </cell>
          <cell r="I2269" t="str">
            <v>JK121</v>
          </cell>
          <cell r="L2269">
            <v>6.7</v>
          </cell>
          <cell r="M2269">
            <v>0.14199999999999999</v>
          </cell>
          <cell r="N2269" t="str">
            <v>5W</v>
          </cell>
          <cell r="P2269" t="str">
            <v>PONFCS</v>
          </cell>
          <cell r="Q2269" t="str">
            <v>/  /</v>
          </cell>
        </row>
        <row r="2270">
          <cell r="A2270">
            <v>3911459</v>
          </cell>
          <cell r="B2270">
            <v>43766</v>
          </cell>
          <cell r="C2270" t="str">
            <v>PON</v>
          </cell>
          <cell r="D2270">
            <v>628508301</v>
          </cell>
          <cell r="E2270" t="str">
            <v>Focus F18 IZ Max DI2 F/S 50XS</v>
          </cell>
          <cell r="F2270">
            <v>1</v>
          </cell>
          <cell r="G2270">
            <v>0</v>
          </cell>
          <cell r="I2270" t="str">
            <v>JK121</v>
          </cell>
          <cell r="L2270">
            <v>5.8</v>
          </cell>
          <cell r="M2270">
            <v>0.18099999999999999</v>
          </cell>
          <cell r="N2270" t="str">
            <v>5W</v>
          </cell>
          <cell r="P2270" t="str">
            <v>PONFCS</v>
          </cell>
          <cell r="Q2270" t="str">
            <v>/  /</v>
          </cell>
        </row>
        <row r="2271">
          <cell r="A2271">
            <v>4087389</v>
          </cell>
          <cell r="B2271">
            <v>43766</v>
          </cell>
          <cell r="C2271" t="str">
            <v>PON</v>
          </cell>
          <cell r="D2271">
            <v>628508301</v>
          </cell>
          <cell r="E2271" t="str">
            <v>Focus F18 IZ Max DI2 F/S 50XS</v>
          </cell>
          <cell r="F2271">
            <v>1</v>
          </cell>
          <cell r="G2271">
            <v>0</v>
          </cell>
          <cell r="I2271" t="str">
            <v>JK121</v>
          </cell>
          <cell r="L2271">
            <v>5.8</v>
          </cell>
          <cell r="M2271">
            <v>0.18099999999999999</v>
          </cell>
          <cell r="N2271" t="str">
            <v>5W</v>
          </cell>
          <cell r="P2271" t="str">
            <v>PONFCS</v>
          </cell>
          <cell r="Q2271" t="str">
            <v>/  /</v>
          </cell>
        </row>
        <row r="2272">
          <cell r="A2272">
            <v>4088694</v>
          </cell>
          <cell r="B2272">
            <v>43766</v>
          </cell>
          <cell r="C2272" t="str">
            <v>PON</v>
          </cell>
          <cell r="D2272">
            <v>628508301</v>
          </cell>
          <cell r="E2272" t="str">
            <v>Focus F18 IZ Max DI2 F/S 50XS</v>
          </cell>
          <cell r="F2272">
            <v>1</v>
          </cell>
          <cell r="G2272">
            <v>0</v>
          </cell>
          <cell r="I2272" t="str">
            <v>JK121</v>
          </cell>
          <cell r="L2272">
            <v>5.8</v>
          </cell>
          <cell r="M2272">
            <v>0.18099999999999999</v>
          </cell>
          <cell r="N2272" t="str">
            <v>5W</v>
          </cell>
          <cell r="P2272" t="str">
            <v>PONFCS</v>
          </cell>
          <cell r="Q2272" t="str">
            <v>/  /</v>
          </cell>
        </row>
        <row r="2273">
          <cell r="A2273">
            <v>3911465</v>
          </cell>
          <cell r="B2273">
            <v>43766</v>
          </cell>
          <cell r="C2273" t="str">
            <v>PON</v>
          </cell>
          <cell r="D2273">
            <v>628508306</v>
          </cell>
          <cell r="E2273" t="str">
            <v>Focus F18 IZ Max DI2 F/S 61XXL</v>
          </cell>
          <cell r="F2273">
            <v>1</v>
          </cell>
          <cell r="G2273">
            <v>0</v>
          </cell>
          <cell r="I2273" t="str">
            <v>JK121</v>
          </cell>
          <cell r="L2273">
            <v>5</v>
          </cell>
          <cell r="M2273">
            <v>0.158</v>
          </cell>
          <cell r="N2273" t="str">
            <v>5W</v>
          </cell>
          <cell r="P2273" t="str">
            <v>PONFCS</v>
          </cell>
          <cell r="Q2273" t="str">
            <v>/  /</v>
          </cell>
        </row>
        <row r="2274">
          <cell r="A2274">
            <v>3994407</v>
          </cell>
          <cell r="B2274">
            <v>43811</v>
          </cell>
          <cell r="C2274" t="str">
            <v>PON</v>
          </cell>
          <cell r="D2274">
            <v>628509205</v>
          </cell>
          <cell r="E2274" t="str">
            <v>F18 IZ Max F/S 58XL Candy Red</v>
          </cell>
          <cell r="F2274">
            <v>1</v>
          </cell>
          <cell r="G2274">
            <v>0</v>
          </cell>
          <cell r="I2274" t="str">
            <v>JK122</v>
          </cell>
          <cell r="L2274">
            <v>5.4</v>
          </cell>
          <cell r="M2274">
            <v>0.18099999999999999</v>
          </cell>
          <cell r="N2274" t="str">
            <v>5W</v>
          </cell>
          <cell r="P2274" t="str">
            <v>PONFCS</v>
          </cell>
          <cell r="Q2274" t="str">
            <v>/  /</v>
          </cell>
        </row>
        <row r="2275">
          <cell r="A2275">
            <v>3994409</v>
          </cell>
          <cell r="B2275">
            <v>43811</v>
          </cell>
          <cell r="C2275" t="str">
            <v>PON</v>
          </cell>
          <cell r="D2275">
            <v>628509206</v>
          </cell>
          <cell r="E2275" t="str">
            <v>F18 IZ Max F/S 61XXL Candy Red</v>
          </cell>
          <cell r="F2275">
            <v>1</v>
          </cell>
          <cell r="G2275">
            <v>0</v>
          </cell>
          <cell r="I2275" t="str">
            <v>JK122</v>
          </cell>
          <cell r="L2275">
            <v>5.9</v>
          </cell>
          <cell r="M2275">
            <v>0.186</v>
          </cell>
          <cell r="N2275" t="str">
            <v>5W</v>
          </cell>
          <cell r="P2275" t="str">
            <v>PONFCS</v>
          </cell>
          <cell r="Q2275" t="str">
            <v>/  /</v>
          </cell>
        </row>
        <row r="2276">
          <cell r="A2276">
            <v>3994425</v>
          </cell>
          <cell r="B2276">
            <v>43811</v>
          </cell>
          <cell r="C2276" t="str">
            <v>PON</v>
          </cell>
          <cell r="D2276" t="str">
            <v>FS623017364</v>
          </cell>
          <cell r="E2276" t="str">
            <v>FC F16 F/S Mares CX Force 58CM</v>
          </cell>
          <cell r="F2276">
            <v>1</v>
          </cell>
          <cell r="G2276">
            <v>0</v>
          </cell>
          <cell r="I2276" t="str">
            <v>JK122</v>
          </cell>
          <cell r="L2276">
            <v>6</v>
          </cell>
          <cell r="M2276">
            <v>0.185</v>
          </cell>
          <cell r="N2276" t="str">
            <v>5W</v>
          </cell>
          <cell r="P2276" t="str">
            <v>PONFCS</v>
          </cell>
          <cell r="Q2276" t="str">
            <v>/  /</v>
          </cell>
        </row>
        <row r="2277">
          <cell r="A2277">
            <v>3948671</v>
          </cell>
          <cell r="B2277">
            <v>43788</v>
          </cell>
          <cell r="C2277" t="str">
            <v>PON</v>
          </cell>
          <cell r="D2277">
            <v>625508005</v>
          </cell>
          <cell r="E2277" t="str">
            <v>Focus F17 IZ Max F/S 58 XL</v>
          </cell>
          <cell r="F2277">
            <v>1</v>
          </cell>
          <cell r="G2277">
            <v>0</v>
          </cell>
          <cell r="I2277" t="str">
            <v>JK131</v>
          </cell>
          <cell r="L2277">
            <v>6</v>
          </cell>
          <cell r="M2277">
            <v>0.17199999999999999</v>
          </cell>
          <cell r="N2277" t="str">
            <v>5W</v>
          </cell>
          <cell r="P2277" t="str">
            <v>PONFCS</v>
          </cell>
          <cell r="Q2277" t="str">
            <v>/  /</v>
          </cell>
        </row>
        <row r="2278">
          <cell r="A2278">
            <v>3786460</v>
          </cell>
          <cell r="B2278">
            <v>43682</v>
          </cell>
          <cell r="C2278" t="str">
            <v>PON</v>
          </cell>
          <cell r="D2278">
            <v>625508021</v>
          </cell>
          <cell r="E2278" t="str">
            <v>FC F17 IZ MaxDisc AG2R FS 50XS</v>
          </cell>
          <cell r="F2278">
            <v>1</v>
          </cell>
          <cell r="G2278">
            <v>0</v>
          </cell>
          <cell r="I2278" t="str">
            <v>JK131</v>
          </cell>
          <cell r="L2278">
            <v>5.8</v>
          </cell>
          <cell r="M2278">
            <v>0.156</v>
          </cell>
          <cell r="N2278" t="str">
            <v>5W</v>
          </cell>
          <cell r="P2278" t="str">
            <v>PONFCS</v>
          </cell>
          <cell r="Q2278" t="str">
            <v>/  /</v>
          </cell>
        </row>
        <row r="2279">
          <cell r="A2279">
            <v>3884852</v>
          </cell>
          <cell r="B2279">
            <v>43747</v>
          </cell>
          <cell r="C2279" t="str">
            <v>PON</v>
          </cell>
          <cell r="D2279" t="str">
            <v>FS628008720</v>
          </cell>
          <cell r="E2279" t="str">
            <v>F18 Mares Frameset Rival 48 XS</v>
          </cell>
          <cell r="F2279">
            <v>1</v>
          </cell>
          <cell r="G2279">
            <v>0</v>
          </cell>
          <cell r="I2279" t="str">
            <v>JK131</v>
          </cell>
          <cell r="L2279">
            <v>0</v>
          </cell>
          <cell r="M2279">
            <v>0</v>
          </cell>
          <cell r="N2279" t="str">
            <v>5W</v>
          </cell>
          <cell r="P2279" t="str">
            <v>PONFCS</v>
          </cell>
          <cell r="Q2279" t="str">
            <v>/  /</v>
          </cell>
        </row>
        <row r="2280">
          <cell r="A2280">
            <v>4087319</v>
          </cell>
          <cell r="B2280">
            <v>43811</v>
          </cell>
          <cell r="C2280" t="str">
            <v>PON</v>
          </cell>
          <cell r="D2280">
            <v>623508092</v>
          </cell>
          <cell r="E2280" t="str">
            <v>Focus F16 F/S Cayo Disc 54 MD</v>
          </cell>
          <cell r="F2280">
            <v>1</v>
          </cell>
          <cell r="G2280">
            <v>0</v>
          </cell>
          <cell r="I2280" t="str">
            <v>JK132</v>
          </cell>
          <cell r="L2280">
            <v>5.6</v>
          </cell>
          <cell r="M2280">
            <v>0.17599999999999999</v>
          </cell>
          <cell r="N2280" t="str">
            <v>5W</v>
          </cell>
          <cell r="P2280" t="str">
            <v>PONFCS</v>
          </cell>
          <cell r="Q2280" t="str">
            <v>/  /</v>
          </cell>
        </row>
        <row r="2281">
          <cell r="A2281">
            <v>4088610</v>
          </cell>
          <cell r="B2281">
            <v>43811</v>
          </cell>
          <cell r="C2281" t="str">
            <v>PON</v>
          </cell>
          <cell r="D2281">
            <v>623508092</v>
          </cell>
          <cell r="E2281" t="str">
            <v>Focus F16 F/S Cayo Disc 54 MD</v>
          </cell>
          <cell r="F2281">
            <v>1</v>
          </cell>
          <cell r="G2281">
            <v>0</v>
          </cell>
          <cell r="I2281" t="str">
            <v>JK132</v>
          </cell>
          <cell r="L2281">
            <v>5.6</v>
          </cell>
          <cell r="M2281">
            <v>0.17599999999999999</v>
          </cell>
          <cell r="N2281" t="str">
            <v>5W</v>
          </cell>
          <cell r="P2281" t="str">
            <v>PONFCS</v>
          </cell>
          <cell r="Q2281" t="str">
            <v>/  /</v>
          </cell>
        </row>
        <row r="2282">
          <cell r="A2282">
            <v>3994373</v>
          </cell>
          <cell r="B2282">
            <v>43811</v>
          </cell>
          <cell r="C2282" t="str">
            <v>PON</v>
          </cell>
          <cell r="D2282">
            <v>623508093</v>
          </cell>
          <cell r="E2282" t="str">
            <v>Focus F16 F/S Cayo Disc 57 LG</v>
          </cell>
          <cell r="F2282">
            <v>1</v>
          </cell>
          <cell r="G2282">
            <v>0</v>
          </cell>
          <cell r="I2282" t="str">
            <v>JK132</v>
          </cell>
          <cell r="L2282">
            <v>5.9</v>
          </cell>
          <cell r="M2282">
            <v>0.18099999999999999</v>
          </cell>
          <cell r="N2282" t="str">
            <v>5W</v>
          </cell>
          <cell r="P2282" t="str">
            <v>PONFCS</v>
          </cell>
          <cell r="Q2282" t="str">
            <v>/  /</v>
          </cell>
        </row>
        <row r="2283">
          <cell r="A2283">
            <v>4081020</v>
          </cell>
          <cell r="B2283">
            <v>43811</v>
          </cell>
          <cell r="C2283" t="str">
            <v>PON</v>
          </cell>
          <cell r="D2283">
            <v>623508093</v>
          </cell>
          <cell r="E2283" t="str">
            <v>Focus F16 F/S Cayo Disc 57 LG</v>
          </cell>
          <cell r="F2283">
            <v>1</v>
          </cell>
          <cell r="G2283">
            <v>0</v>
          </cell>
          <cell r="I2283" t="str">
            <v>JK132</v>
          </cell>
          <cell r="L2283">
            <v>5.9</v>
          </cell>
          <cell r="M2283">
            <v>0.18099999999999999</v>
          </cell>
          <cell r="N2283" t="str">
            <v>5W</v>
          </cell>
          <cell r="P2283" t="str">
            <v>PONFCS</v>
          </cell>
          <cell r="Q2283" t="str">
            <v>/  /</v>
          </cell>
        </row>
        <row r="2284">
          <cell r="A2284">
            <v>3947237</v>
          </cell>
          <cell r="B2284">
            <v>43788</v>
          </cell>
          <cell r="C2284" t="str">
            <v>PON</v>
          </cell>
          <cell r="D2284">
            <v>625508093</v>
          </cell>
          <cell r="E2284" t="str">
            <v>FC F17 RavenMax 29 1BY FS 54XL</v>
          </cell>
          <cell r="F2284">
            <v>1</v>
          </cell>
          <cell r="G2284">
            <v>0</v>
          </cell>
          <cell r="I2284" t="str">
            <v>JK132</v>
          </cell>
          <cell r="L2284">
            <v>5.8</v>
          </cell>
          <cell r="M2284">
            <v>0.20100000000000001</v>
          </cell>
          <cell r="N2284" t="str">
            <v>5W</v>
          </cell>
          <cell r="P2284" t="str">
            <v>PONFCS</v>
          </cell>
          <cell r="Q2284" t="str">
            <v>/  /</v>
          </cell>
        </row>
        <row r="2285">
          <cell r="A2285">
            <v>4081467</v>
          </cell>
          <cell r="B2285">
            <v>43752</v>
          </cell>
          <cell r="C2285" t="str">
            <v>PON</v>
          </cell>
          <cell r="D2285">
            <v>633080112</v>
          </cell>
          <cell r="E2285" t="str">
            <v>FC F19Izalco MxDsc 9 FS 52SBlk</v>
          </cell>
          <cell r="F2285">
            <v>1</v>
          </cell>
          <cell r="G2285">
            <v>0</v>
          </cell>
          <cell r="I2285" t="str">
            <v>JK141</v>
          </cell>
          <cell r="L2285">
            <v>5.8</v>
          </cell>
          <cell r="M2285">
            <v>0.159</v>
          </cell>
          <cell r="N2285" t="str">
            <v>5W</v>
          </cell>
          <cell r="P2285" t="str">
            <v>PONFCS</v>
          </cell>
          <cell r="Q2285" t="str">
            <v>/  /</v>
          </cell>
        </row>
        <row r="2286">
          <cell r="A2286">
            <v>3895728</v>
          </cell>
          <cell r="B2286">
            <v>43752</v>
          </cell>
          <cell r="C2286" t="str">
            <v>PON</v>
          </cell>
          <cell r="D2286" t="str">
            <v>FS614008161</v>
          </cell>
          <cell r="E2286" t="str">
            <v>FC F14 F/S Cayo Evo 4.0 51 SM</v>
          </cell>
          <cell r="F2286">
            <v>1</v>
          </cell>
          <cell r="G2286">
            <v>0</v>
          </cell>
          <cell r="I2286" t="str">
            <v>JK141</v>
          </cell>
          <cell r="L2286">
            <v>5.0999999999999996</v>
          </cell>
          <cell r="M2286">
            <v>0.16800000000000001</v>
          </cell>
          <cell r="N2286" t="str">
            <v>5W</v>
          </cell>
          <cell r="P2286" t="str">
            <v>PONFCS</v>
          </cell>
          <cell r="Q2286" t="str">
            <v>/  /</v>
          </cell>
        </row>
        <row r="2287">
          <cell r="A2287">
            <v>3895736</v>
          </cell>
          <cell r="B2287">
            <v>43752</v>
          </cell>
          <cell r="C2287" t="str">
            <v>PON</v>
          </cell>
          <cell r="D2287" t="str">
            <v>FS620012030</v>
          </cell>
          <cell r="E2287" t="str">
            <v>Focus F15 F/S IZ Max 2.0 48 XS</v>
          </cell>
          <cell r="F2287">
            <v>1</v>
          </cell>
          <cell r="G2287">
            <v>0</v>
          </cell>
          <cell r="I2287" t="str">
            <v>JK141</v>
          </cell>
          <cell r="L2287">
            <v>5.3</v>
          </cell>
          <cell r="M2287">
            <v>0.17</v>
          </cell>
          <cell r="N2287" t="str">
            <v>5W</v>
          </cell>
          <cell r="P2287" t="str">
            <v>PONFCS</v>
          </cell>
          <cell r="Q2287" t="str">
            <v>/  /</v>
          </cell>
        </row>
        <row r="2288">
          <cell r="A2288">
            <v>4033013</v>
          </cell>
          <cell r="B2288">
            <v>43850</v>
          </cell>
          <cell r="C2288" t="str">
            <v>PON</v>
          </cell>
          <cell r="D2288">
            <v>614508062</v>
          </cell>
          <cell r="E2288" t="str">
            <v>FC F14 FS IZ Team 1.0 52 SMDi2</v>
          </cell>
          <cell r="F2288">
            <v>1</v>
          </cell>
          <cell r="G2288">
            <v>0</v>
          </cell>
          <cell r="I2288" t="str">
            <v>JK142</v>
          </cell>
          <cell r="L2288">
            <v>5.5</v>
          </cell>
          <cell r="M2288">
            <v>0.17199999999999999</v>
          </cell>
          <cell r="N2288" t="str">
            <v>5W</v>
          </cell>
          <cell r="P2288" t="str">
            <v>PONFCS</v>
          </cell>
          <cell r="Q2288" t="str">
            <v>/  /</v>
          </cell>
        </row>
        <row r="2289">
          <cell r="A2289">
            <v>4080961</v>
          </cell>
          <cell r="B2289">
            <v>43850</v>
          </cell>
          <cell r="C2289" t="str">
            <v>PON</v>
          </cell>
          <cell r="D2289">
            <v>614508062</v>
          </cell>
          <cell r="E2289" t="str">
            <v>FC F14 FS IZ Team 1.0 52 SMDi2</v>
          </cell>
          <cell r="F2289">
            <v>1</v>
          </cell>
          <cell r="G2289">
            <v>0</v>
          </cell>
          <cell r="I2289" t="str">
            <v>JK142</v>
          </cell>
          <cell r="L2289">
            <v>5.5</v>
          </cell>
          <cell r="M2289">
            <v>0.17199999999999999</v>
          </cell>
          <cell r="N2289" t="str">
            <v>5W</v>
          </cell>
          <cell r="P2289" t="str">
            <v>PONFCS</v>
          </cell>
          <cell r="Q2289" t="str">
            <v>/  /</v>
          </cell>
        </row>
        <row r="2290">
          <cell r="A2290">
            <v>3983271</v>
          </cell>
          <cell r="B2290">
            <v>43808</v>
          </cell>
          <cell r="C2290" t="str">
            <v>PON</v>
          </cell>
          <cell r="D2290">
            <v>625508002</v>
          </cell>
          <cell r="E2290" t="str">
            <v>Focus F17 IZ Max F/S 52 SM</v>
          </cell>
          <cell r="F2290">
            <v>1</v>
          </cell>
          <cell r="G2290">
            <v>0</v>
          </cell>
          <cell r="I2290" t="str">
            <v>JK142</v>
          </cell>
          <cell r="L2290">
            <v>5.2</v>
          </cell>
          <cell r="M2290">
            <v>0.14899999999999999</v>
          </cell>
          <cell r="N2290" t="str">
            <v>5W</v>
          </cell>
          <cell r="P2290" t="str">
            <v>PONFCS</v>
          </cell>
          <cell r="Q2290" t="str">
            <v>/  /</v>
          </cell>
        </row>
        <row r="2291">
          <cell r="A2291">
            <v>4087334</v>
          </cell>
          <cell r="B2291">
            <v>43808</v>
          </cell>
          <cell r="C2291" t="str">
            <v>PON</v>
          </cell>
          <cell r="D2291">
            <v>625508002</v>
          </cell>
          <cell r="E2291" t="str">
            <v>Focus F17 IZ Max F/S 52 SM</v>
          </cell>
          <cell r="F2291">
            <v>1</v>
          </cell>
          <cell r="G2291">
            <v>0</v>
          </cell>
          <cell r="I2291" t="str">
            <v>JK142</v>
          </cell>
          <cell r="L2291">
            <v>5.2</v>
          </cell>
          <cell r="M2291">
            <v>0.14899999999999999</v>
          </cell>
          <cell r="N2291" t="str">
            <v>5W</v>
          </cell>
          <cell r="P2291" t="str">
            <v>PONFCS</v>
          </cell>
          <cell r="Q2291" t="str">
            <v>/  /</v>
          </cell>
        </row>
        <row r="2292">
          <cell r="A2292">
            <v>4088635</v>
          </cell>
          <cell r="B2292">
            <v>43808</v>
          </cell>
          <cell r="C2292" t="str">
            <v>PON</v>
          </cell>
          <cell r="D2292">
            <v>625508002</v>
          </cell>
          <cell r="E2292" t="str">
            <v>Focus F17 IZ Max F/S 52 SM</v>
          </cell>
          <cell r="F2292">
            <v>1</v>
          </cell>
          <cell r="G2292">
            <v>0</v>
          </cell>
          <cell r="I2292" t="str">
            <v>JK142</v>
          </cell>
          <cell r="L2292">
            <v>5.2</v>
          </cell>
          <cell r="M2292">
            <v>0.14899999999999999</v>
          </cell>
          <cell r="N2292" t="str">
            <v>5W</v>
          </cell>
          <cell r="P2292" t="str">
            <v>PONFCS</v>
          </cell>
          <cell r="Q2292" t="str">
            <v>/  /</v>
          </cell>
        </row>
        <row r="2293">
          <cell r="A2293">
            <v>4077388</v>
          </cell>
          <cell r="B2293">
            <v>43875</v>
          </cell>
          <cell r="C2293" t="str">
            <v>PON</v>
          </cell>
          <cell r="D2293" t="str">
            <v>PAL02</v>
          </cell>
          <cell r="E2293" t="str">
            <v>Mannequins</v>
          </cell>
          <cell r="F2293">
            <v>1</v>
          </cell>
          <cell r="G2293">
            <v>1</v>
          </cell>
          <cell r="I2293" t="str">
            <v>JK155</v>
          </cell>
          <cell r="L2293">
            <v>65</v>
          </cell>
          <cell r="M2293">
            <v>0.57999999999999996</v>
          </cell>
          <cell r="N2293" t="str">
            <v>5W</v>
          </cell>
          <cell r="P2293" t="str">
            <v>PONMAR</v>
          </cell>
          <cell r="Q2293" t="str">
            <v>/  /</v>
          </cell>
        </row>
        <row r="2294">
          <cell r="A2294">
            <v>4632498</v>
          </cell>
          <cell r="B2294">
            <v>44217</v>
          </cell>
          <cell r="C2294" t="str">
            <v>PON</v>
          </cell>
          <cell r="D2294">
            <v>641078037</v>
          </cell>
          <cell r="E2294" t="str">
            <v>C21 Aspero GRX Black/Gold 51</v>
          </cell>
          <cell r="F2294">
            <v>1</v>
          </cell>
          <cell r="G2294">
            <v>0</v>
          </cell>
          <cell r="I2294" t="str">
            <v>JL011</v>
          </cell>
          <cell r="L2294">
            <v>14.6</v>
          </cell>
          <cell r="M2294">
            <v>0.23200000000000001</v>
          </cell>
          <cell r="N2294" t="str">
            <v>5W</v>
          </cell>
          <cell r="P2294" t="str">
            <v>PONCVL</v>
          </cell>
          <cell r="Q2294" t="str">
            <v>/  /</v>
          </cell>
        </row>
        <row r="2295">
          <cell r="A2295">
            <v>4632519</v>
          </cell>
          <cell r="B2295">
            <v>44217</v>
          </cell>
          <cell r="C2295" t="str">
            <v>PON</v>
          </cell>
          <cell r="D2295">
            <v>641078040</v>
          </cell>
          <cell r="E2295" t="str">
            <v>C21 Aspero GRX Black/Gold 58</v>
          </cell>
          <cell r="F2295">
            <v>1</v>
          </cell>
          <cell r="G2295">
            <v>0</v>
          </cell>
          <cell r="I2295" t="str">
            <v>JL011</v>
          </cell>
          <cell r="L2295">
            <v>15.3</v>
          </cell>
          <cell r="M2295">
            <v>0.23200000000000001</v>
          </cell>
          <cell r="N2295" t="str">
            <v>5W</v>
          </cell>
          <cell r="P2295" t="str">
            <v>PONCVL</v>
          </cell>
          <cell r="Q2295" t="str">
            <v>/  /</v>
          </cell>
        </row>
        <row r="2296">
          <cell r="A2296">
            <v>4632520</v>
          </cell>
          <cell r="B2296">
            <v>44217</v>
          </cell>
          <cell r="C2296" t="str">
            <v>PON</v>
          </cell>
          <cell r="D2296">
            <v>641078040</v>
          </cell>
          <cell r="E2296" t="str">
            <v>C21 Aspero GRX Black/Gold 58</v>
          </cell>
          <cell r="F2296">
            <v>1</v>
          </cell>
          <cell r="G2296">
            <v>0</v>
          </cell>
          <cell r="I2296" t="str">
            <v>JL011</v>
          </cell>
          <cell r="L2296">
            <v>15.3</v>
          </cell>
          <cell r="M2296">
            <v>0.23200000000000001</v>
          </cell>
          <cell r="N2296" t="str">
            <v>5W</v>
          </cell>
          <cell r="P2296" t="str">
            <v>PONCVL</v>
          </cell>
          <cell r="Q2296" t="str">
            <v>/  /</v>
          </cell>
        </row>
        <row r="2297">
          <cell r="A2297">
            <v>4632589</v>
          </cell>
          <cell r="B2297">
            <v>44217</v>
          </cell>
          <cell r="C2297" t="str">
            <v>PON</v>
          </cell>
          <cell r="D2297">
            <v>641078063</v>
          </cell>
          <cell r="E2297" t="str">
            <v>C21 Aspero GRX Seabreeze/Blu56</v>
          </cell>
          <cell r="F2297">
            <v>1</v>
          </cell>
          <cell r="G2297">
            <v>0</v>
          </cell>
          <cell r="I2297" t="str">
            <v>JL011</v>
          </cell>
          <cell r="L2297">
            <v>14.6</v>
          </cell>
          <cell r="M2297">
            <v>0.23200000000000001</v>
          </cell>
          <cell r="N2297" t="str">
            <v>5W</v>
          </cell>
          <cell r="P2297" t="str">
            <v>PONCVL</v>
          </cell>
          <cell r="Q2297" t="str">
            <v>/  /</v>
          </cell>
        </row>
        <row r="2298">
          <cell r="A2298">
            <v>4089558</v>
          </cell>
          <cell r="B2298">
            <v>43815</v>
          </cell>
          <cell r="C2298" t="str">
            <v>PON</v>
          </cell>
          <cell r="D2298">
            <v>637078245</v>
          </cell>
          <cell r="E2298" t="str">
            <v>CV C20S5DscUltegra BlkGph/Wh54</v>
          </cell>
          <cell r="F2298">
            <v>1</v>
          </cell>
          <cell r="G2298">
            <v>0</v>
          </cell>
          <cell r="I2298" t="str">
            <v>JL012</v>
          </cell>
          <cell r="L2298">
            <v>13.9</v>
          </cell>
          <cell r="M2298">
            <v>0.23300000000000001</v>
          </cell>
          <cell r="N2298" t="str">
            <v>5W</v>
          </cell>
          <cell r="P2298" t="str">
            <v>PONCVL</v>
          </cell>
          <cell r="Q2298" t="str">
            <v>/  /</v>
          </cell>
        </row>
        <row r="2299">
          <cell r="A2299">
            <v>4632492</v>
          </cell>
          <cell r="B2299">
            <v>44217</v>
          </cell>
          <cell r="C2299" t="str">
            <v>PON</v>
          </cell>
          <cell r="D2299">
            <v>641078017</v>
          </cell>
          <cell r="E2299" t="str">
            <v>C21 ASPERO FCE BLACK/GOLD 61</v>
          </cell>
          <cell r="F2299">
            <v>1</v>
          </cell>
          <cell r="G2299">
            <v>0</v>
          </cell>
          <cell r="I2299" t="str">
            <v>JL012</v>
          </cell>
          <cell r="L2299">
            <v>15</v>
          </cell>
          <cell r="M2299">
            <v>0.251</v>
          </cell>
          <cell r="N2299" t="str">
            <v>5W</v>
          </cell>
          <cell r="P2299" t="str">
            <v>PONCVL</v>
          </cell>
          <cell r="Q2299" t="str">
            <v>/  /</v>
          </cell>
        </row>
        <row r="2300">
          <cell r="A2300">
            <v>4632530</v>
          </cell>
          <cell r="B2300">
            <v>44217</v>
          </cell>
          <cell r="C2300" t="str">
            <v>PON</v>
          </cell>
          <cell r="D2300">
            <v>641078049</v>
          </cell>
          <cell r="E2300" t="str">
            <v>C21 Asp Grx Grey/Seabreeze 51</v>
          </cell>
          <cell r="F2300">
            <v>1</v>
          </cell>
          <cell r="G2300">
            <v>0</v>
          </cell>
          <cell r="I2300" t="str">
            <v>JL012</v>
          </cell>
          <cell r="L2300">
            <v>15.5</v>
          </cell>
          <cell r="M2300">
            <v>0.246</v>
          </cell>
          <cell r="N2300" t="str">
            <v>5W</v>
          </cell>
          <cell r="P2300" t="str">
            <v>PONCVL</v>
          </cell>
          <cell r="Q2300" t="str">
            <v>/  /</v>
          </cell>
        </row>
        <row r="2301">
          <cell r="A2301">
            <v>4632640</v>
          </cell>
          <cell r="B2301">
            <v>44217</v>
          </cell>
          <cell r="C2301" t="str">
            <v>PON</v>
          </cell>
          <cell r="D2301">
            <v>641078245</v>
          </cell>
          <cell r="E2301" t="str">
            <v>C21 R5 Disc D/A Grn/Gld/Wht 58</v>
          </cell>
          <cell r="F2301">
            <v>1</v>
          </cell>
          <cell r="G2301">
            <v>0</v>
          </cell>
          <cell r="I2301" t="str">
            <v>JL012</v>
          </cell>
          <cell r="L2301">
            <v>13.2</v>
          </cell>
          <cell r="M2301">
            <v>0.22900000000000001</v>
          </cell>
          <cell r="N2301" t="str">
            <v>5W</v>
          </cell>
          <cell r="P2301" t="str">
            <v>PONCVL</v>
          </cell>
          <cell r="Q2301" t="str">
            <v>/  /</v>
          </cell>
        </row>
        <row r="2302">
          <cell r="A2302">
            <v>4632641</v>
          </cell>
          <cell r="B2302">
            <v>44217</v>
          </cell>
          <cell r="C2302" t="str">
            <v>PON</v>
          </cell>
          <cell r="D2302">
            <v>641078245</v>
          </cell>
          <cell r="E2302" t="str">
            <v>C21 R5 Disc D/A Grn/Gld/Wht 58</v>
          </cell>
          <cell r="F2302">
            <v>1</v>
          </cell>
          <cell r="G2302">
            <v>0</v>
          </cell>
          <cell r="I2302" t="str">
            <v>JL012</v>
          </cell>
          <cell r="L2302">
            <v>13.2</v>
          </cell>
          <cell r="M2302">
            <v>0.22900000000000001</v>
          </cell>
          <cell r="N2302" t="str">
            <v>5W</v>
          </cell>
          <cell r="P2302" t="str">
            <v>PONCVL</v>
          </cell>
          <cell r="Q2302" t="str">
            <v>/  /</v>
          </cell>
        </row>
        <row r="2303">
          <cell r="A2303">
            <v>4632542</v>
          </cell>
          <cell r="B2303">
            <v>44217</v>
          </cell>
          <cell r="C2303" t="str">
            <v>PON</v>
          </cell>
          <cell r="D2303">
            <v>641078055</v>
          </cell>
          <cell r="E2303" t="str">
            <v>C21 Aspero GRX Black/Gold 51</v>
          </cell>
          <cell r="F2303">
            <v>1</v>
          </cell>
          <cell r="G2303">
            <v>0</v>
          </cell>
          <cell r="I2303" t="str">
            <v>JL021</v>
          </cell>
          <cell r="L2303">
            <v>14.5</v>
          </cell>
          <cell r="M2303">
            <v>0.23300000000000001</v>
          </cell>
          <cell r="N2303" t="str">
            <v>5W</v>
          </cell>
          <cell r="P2303" t="str">
            <v>PONCVL</v>
          </cell>
          <cell r="Q2303" t="str">
            <v>/  /</v>
          </cell>
        </row>
        <row r="2304">
          <cell r="A2304">
            <v>4632543</v>
          </cell>
          <cell r="B2304">
            <v>44217</v>
          </cell>
          <cell r="C2304" t="str">
            <v>PON</v>
          </cell>
          <cell r="D2304">
            <v>641078055</v>
          </cell>
          <cell r="E2304" t="str">
            <v>C21 Aspero GRX Black/Gold 51</v>
          </cell>
          <cell r="F2304">
            <v>1</v>
          </cell>
          <cell r="G2304">
            <v>0</v>
          </cell>
          <cell r="I2304" t="str">
            <v>JL021</v>
          </cell>
          <cell r="L2304">
            <v>14.5</v>
          </cell>
          <cell r="M2304">
            <v>0.23300000000000001</v>
          </cell>
          <cell r="N2304" t="str">
            <v>5W</v>
          </cell>
          <cell r="P2304" t="str">
            <v>PONCVL</v>
          </cell>
          <cell r="Q2304" t="str">
            <v>/  /</v>
          </cell>
        </row>
        <row r="2305">
          <cell r="A2305">
            <v>3952969</v>
          </cell>
          <cell r="B2305">
            <v>43790</v>
          </cell>
          <cell r="C2305" t="str">
            <v>PON</v>
          </cell>
          <cell r="D2305">
            <v>628078175</v>
          </cell>
          <cell r="E2305" t="str">
            <v>C18 R5 DA Di2 9150 61 XXL</v>
          </cell>
          <cell r="F2305">
            <v>1</v>
          </cell>
          <cell r="G2305">
            <v>0</v>
          </cell>
          <cell r="I2305" t="str">
            <v>JL022</v>
          </cell>
          <cell r="L2305">
            <v>11.8</v>
          </cell>
          <cell r="M2305">
            <v>0.20300000000000001</v>
          </cell>
          <cell r="N2305" t="str">
            <v>5W</v>
          </cell>
          <cell r="P2305" t="str">
            <v>PONCVL</v>
          </cell>
          <cell r="Q2305" t="str">
            <v>/  /</v>
          </cell>
        </row>
        <row r="2306">
          <cell r="A2306">
            <v>4632634</v>
          </cell>
          <cell r="B2306">
            <v>44217</v>
          </cell>
          <cell r="C2306" t="str">
            <v>PON</v>
          </cell>
          <cell r="D2306">
            <v>641078244</v>
          </cell>
          <cell r="E2306" t="str">
            <v>C21 R5 Disc D/A Grn/Gld/Wht 56</v>
          </cell>
          <cell r="F2306">
            <v>1</v>
          </cell>
          <cell r="G2306">
            <v>0</v>
          </cell>
          <cell r="I2306" t="str">
            <v>JL022</v>
          </cell>
          <cell r="L2306">
            <v>13.2</v>
          </cell>
          <cell r="M2306">
            <v>0.22900000000000001</v>
          </cell>
          <cell r="N2306" t="str">
            <v>5W</v>
          </cell>
          <cell r="P2306" t="str">
            <v>PONCVL</v>
          </cell>
          <cell r="Q2306" t="str">
            <v>/  /</v>
          </cell>
        </row>
        <row r="2307">
          <cell r="A2307">
            <v>4632635</v>
          </cell>
          <cell r="B2307">
            <v>44217</v>
          </cell>
          <cell r="C2307" t="str">
            <v>PON</v>
          </cell>
          <cell r="D2307">
            <v>641078244</v>
          </cell>
          <cell r="E2307" t="str">
            <v>C21 R5 Disc D/A Grn/Gld/Wht 56</v>
          </cell>
          <cell r="F2307">
            <v>1</v>
          </cell>
          <cell r="G2307">
            <v>0</v>
          </cell>
          <cell r="I2307" t="str">
            <v>JL022</v>
          </cell>
          <cell r="L2307">
            <v>13.2</v>
          </cell>
          <cell r="M2307">
            <v>0.22900000000000001</v>
          </cell>
          <cell r="N2307" t="str">
            <v>5W</v>
          </cell>
          <cell r="P2307" t="str">
            <v>PONCVL</v>
          </cell>
          <cell r="Q2307" t="str">
            <v>/  /</v>
          </cell>
        </row>
        <row r="2308">
          <cell r="A2308">
            <v>4632636</v>
          </cell>
          <cell r="B2308">
            <v>44217</v>
          </cell>
          <cell r="C2308" t="str">
            <v>PON</v>
          </cell>
          <cell r="D2308">
            <v>641078244</v>
          </cell>
          <cell r="E2308" t="str">
            <v>C21 R5 Disc D/A Grn/Gld/Wht 56</v>
          </cell>
          <cell r="F2308">
            <v>1</v>
          </cell>
          <cell r="G2308">
            <v>0</v>
          </cell>
          <cell r="I2308" t="str">
            <v>JL022</v>
          </cell>
          <cell r="L2308">
            <v>13.2</v>
          </cell>
          <cell r="M2308">
            <v>0.22900000000000001</v>
          </cell>
          <cell r="N2308" t="str">
            <v>5W</v>
          </cell>
          <cell r="P2308" t="str">
            <v>PONCVL</v>
          </cell>
          <cell r="Q2308" t="str">
            <v>/  /</v>
          </cell>
        </row>
        <row r="2309">
          <cell r="A2309">
            <v>3929662</v>
          </cell>
          <cell r="B2309">
            <v>43777</v>
          </cell>
          <cell r="C2309" t="str">
            <v>PON</v>
          </cell>
          <cell r="D2309">
            <v>633006365</v>
          </cell>
          <cell r="E2309" t="str">
            <v>FC F19 Mare 6.7 60XXL BlueMatt</v>
          </cell>
          <cell r="F2309">
            <v>1</v>
          </cell>
          <cell r="G2309">
            <v>0</v>
          </cell>
          <cell r="I2309" t="str">
            <v>JL031</v>
          </cell>
          <cell r="L2309">
            <v>16.2</v>
          </cell>
          <cell r="M2309">
            <v>0.26400000000000001</v>
          </cell>
          <cell r="N2309" t="str">
            <v>5W</v>
          </cell>
          <cell r="P2309" t="str">
            <v>PONFCS</v>
          </cell>
          <cell r="Q2309" t="str">
            <v>/  /</v>
          </cell>
        </row>
        <row r="2310">
          <cell r="A2310">
            <v>4081327</v>
          </cell>
          <cell r="B2310">
            <v>43777</v>
          </cell>
          <cell r="C2310" t="str">
            <v>PON</v>
          </cell>
          <cell r="D2310">
            <v>633006365</v>
          </cell>
          <cell r="E2310" t="str">
            <v>FC F19 Mare 6.7 60XXL BlueMatt</v>
          </cell>
          <cell r="F2310">
            <v>1</v>
          </cell>
          <cell r="G2310">
            <v>0</v>
          </cell>
          <cell r="I2310" t="str">
            <v>JL031</v>
          </cell>
          <cell r="L2310">
            <v>16.2</v>
          </cell>
          <cell r="M2310">
            <v>0.26400000000000001</v>
          </cell>
          <cell r="N2310" t="str">
            <v>5W</v>
          </cell>
          <cell r="P2310" t="str">
            <v>PONFCS</v>
          </cell>
          <cell r="Q2310" t="str">
            <v>/  /</v>
          </cell>
        </row>
        <row r="2311">
          <cell r="A2311">
            <v>4632478</v>
          </cell>
          <cell r="B2311">
            <v>44217</v>
          </cell>
          <cell r="C2311" t="str">
            <v>PON</v>
          </cell>
          <cell r="D2311">
            <v>641078013</v>
          </cell>
          <cell r="E2311" t="str">
            <v>C21 ASPERO FCE BLACK/GOLD 51</v>
          </cell>
          <cell r="F2311">
            <v>1</v>
          </cell>
          <cell r="G2311">
            <v>0</v>
          </cell>
          <cell r="I2311" t="str">
            <v>JL031</v>
          </cell>
          <cell r="L2311">
            <v>14.4</v>
          </cell>
          <cell r="M2311">
            <v>0.23300000000000001</v>
          </cell>
          <cell r="N2311" t="str">
            <v>5W</v>
          </cell>
          <cell r="P2311" t="str">
            <v>PONCVL</v>
          </cell>
          <cell r="Q2311" t="str">
            <v>/  /</v>
          </cell>
        </row>
        <row r="2312">
          <cell r="A2312">
            <v>4632574</v>
          </cell>
          <cell r="B2312">
            <v>44217</v>
          </cell>
          <cell r="C2312" t="str">
            <v>PON</v>
          </cell>
          <cell r="D2312">
            <v>641078059</v>
          </cell>
          <cell r="E2312" t="str">
            <v>C21 Aspero GRX Black/Gold 61</v>
          </cell>
          <cell r="F2312">
            <v>1</v>
          </cell>
          <cell r="G2312">
            <v>0</v>
          </cell>
          <cell r="I2312" t="str">
            <v>JL031</v>
          </cell>
          <cell r="L2312">
            <v>15.3</v>
          </cell>
          <cell r="M2312">
            <v>0.23300000000000001</v>
          </cell>
          <cell r="N2312" t="str">
            <v>5W</v>
          </cell>
          <cell r="P2312" t="str">
            <v>PONCVL</v>
          </cell>
          <cell r="Q2312" t="str">
            <v>/  /</v>
          </cell>
        </row>
        <row r="2313">
          <cell r="A2313">
            <v>3819984</v>
          </cell>
          <cell r="B2313">
            <v>43706</v>
          </cell>
          <cell r="C2313" t="str">
            <v>PON</v>
          </cell>
          <cell r="D2313">
            <v>637078295</v>
          </cell>
          <cell r="E2313" t="str">
            <v>CV C20 PXSer DADi2 MDGry WhBlk</v>
          </cell>
          <cell r="F2313">
            <v>1</v>
          </cell>
          <cell r="G2313">
            <v>0</v>
          </cell>
          <cell r="I2313" t="str">
            <v>JL032</v>
          </cell>
          <cell r="L2313">
            <v>0</v>
          </cell>
          <cell r="M2313">
            <v>0</v>
          </cell>
          <cell r="N2313" t="str">
            <v>5W</v>
          </cell>
          <cell r="P2313" t="str">
            <v>PONCVL</v>
          </cell>
          <cell r="Q2313" t="str">
            <v>/  /</v>
          </cell>
        </row>
        <row r="2314">
          <cell r="A2314">
            <v>3855712</v>
          </cell>
          <cell r="B2314">
            <v>43727</v>
          </cell>
          <cell r="C2314" t="str">
            <v>PON</v>
          </cell>
          <cell r="D2314">
            <v>637078299</v>
          </cell>
          <cell r="E2314" t="str">
            <v>CVC20 PXSeries DADi2 MDTealNvy</v>
          </cell>
          <cell r="F2314">
            <v>1</v>
          </cell>
          <cell r="G2314">
            <v>0</v>
          </cell>
          <cell r="I2314" t="str">
            <v>JL032</v>
          </cell>
          <cell r="L2314">
            <v>16</v>
          </cell>
          <cell r="M2314">
            <v>0.23300000000000001</v>
          </cell>
          <cell r="N2314" t="str">
            <v>5W</v>
          </cell>
          <cell r="P2314" t="str">
            <v>PONCVL</v>
          </cell>
          <cell r="Q2314" t="str">
            <v>/  /</v>
          </cell>
        </row>
        <row r="2315">
          <cell r="A2315">
            <v>3855736</v>
          </cell>
          <cell r="B2315">
            <v>43727</v>
          </cell>
          <cell r="C2315" t="str">
            <v>PON</v>
          </cell>
          <cell r="D2315">
            <v>637078306</v>
          </cell>
          <cell r="E2315" t="str">
            <v>CV C20PXSer RdEtap AXSSM T/Nvy</v>
          </cell>
          <cell r="F2315">
            <v>1</v>
          </cell>
          <cell r="G2315">
            <v>0</v>
          </cell>
          <cell r="I2315" t="str">
            <v>JL032</v>
          </cell>
          <cell r="L2315">
            <v>15.8</v>
          </cell>
          <cell r="M2315">
            <v>0.23300000000000001</v>
          </cell>
          <cell r="N2315" t="str">
            <v>5W</v>
          </cell>
          <cell r="P2315" t="str">
            <v>PONCVL</v>
          </cell>
          <cell r="Q2315" t="str">
            <v>/  /</v>
          </cell>
        </row>
        <row r="2316">
          <cell r="A2316">
            <v>4632563</v>
          </cell>
          <cell r="B2316">
            <v>44217</v>
          </cell>
          <cell r="C2316" t="str">
            <v>PON</v>
          </cell>
          <cell r="D2316">
            <v>641078058</v>
          </cell>
          <cell r="E2316" t="str">
            <v>C21 Aspero GRX Black/Gold 58</v>
          </cell>
          <cell r="F2316">
            <v>1</v>
          </cell>
          <cell r="G2316">
            <v>0</v>
          </cell>
          <cell r="I2316" t="str">
            <v>JL032</v>
          </cell>
          <cell r="L2316">
            <v>14.8</v>
          </cell>
          <cell r="M2316">
            <v>0.23300000000000001</v>
          </cell>
          <cell r="N2316" t="str">
            <v>5W</v>
          </cell>
          <cell r="P2316" t="str">
            <v>PONCVL</v>
          </cell>
          <cell r="Q2316" t="str">
            <v>/  /</v>
          </cell>
        </row>
        <row r="2317">
          <cell r="A2317">
            <v>4632564</v>
          </cell>
          <cell r="B2317">
            <v>44217</v>
          </cell>
          <cell r="C2317" t="str">
            <v>PON</v>
          </cell>
          <cell r="D2317">
            <v>641078058</v>
          </cell>
          <cell r="E2317" t="str">
            <v>C21 Aspero GRX Black/Gold 58</v>
          </cell>
          <cell r="F2317">
            <v>1</v>
          </cell>
          <cell r="G2317">
            <v>0</v>
          </cell>
          <cell r="I2317" t="str">
            <v>JL032</v>
          </cell>
          <cell r="L2317">
            <v>14.8</v>
          </cell>
          <cell r="M2317">
            <v>0.23300000000000001</v>
          </cell>
          <cell r="N2317" t="str">
            <v>5W</v>
          </cell>
          <cell r="P2317" t="str">
            <v>PONCVL</v>
          </cell>
          <cell r="Q2317" t="str">
            <v>/  /</v>
          </cell>
        </row>
        <row r="2318">
          <cell r="A2318">
            <v>4632576</v>
          </cell>
          <cell r="B2318">
            <v>44217</v>
          </cell>
          <cell r="C2318" t="str">
            <v>PON</v>
          </cell>
          <cell r="D2318">
            <v>641078061</v>
          </cell>
          <cell r="E2318" t="str">
            <v>C21 Aspero GRX Seabreeze/Blu51</v>
          </cell>
          <cell r="F2318">
            <v>1</v>
          </cell>
          <cell r="G2318">
            <v>0</v>
          </cell>
          <cell r="I2318" t="str">
            <v>JL032</v>
          </cell>
          <cell r="L2318">
            <v>14.6</v>
          </cell>
          <cell r="M2318">
            <v>0.23200000000000001</v>
          </cell>
          <cell r="N2318" t="str">
            <v>5W</v>
          </cell>
          <cell r="P2318" t="str">
            <v>PONCVL</v>
          </cell>
          <cell r="Q2318" t="str">
            <v>/  /</v>
          </cell>
        </row>
        <row r="2319">
          <cell r="A2319">
            <v>4632577</v>
          </cell>
          <cell r="B2319">
            <v>44217</v>
          </cell>
          <cell r="C2319" t="str">
            <v>PON</v>
          </cell>
          <cell r="D2319">
            <v>641078061</v>
          </cell>
          <cell r="E2319" t="str">
            <v>C21 Aspero GRX Seabreeze/Blu51</v>
          </cell>
          <cell r="F2319">
            <v>1</v>
          </cell>
          <cell r="G2319">
            <v>0</v>
          </cell>
          <cell r="I2319" t="str">
            <v>JL032</v>
          </cell>
          <cell r="L2319">
            <v>14.6</v>
          </cell>
          <cell r="M2319">
            <v>0.23200000000000001</v>
          </cell>
          <cell r="N2319" t="str">
            <v>5W</v>
          </cell>
          <cell r="P2319" t="str">
            <v>PONCVL</v>
          </cell>
          <cell r="Q2319" t="str">
            <v>/  /</v>
          </cell>
        </row>
        <row r="2320">
          <cell r="A2320">
            <v>4088823</v>
          </cell>
          <cell r="B2320">
            <v>43762</v>
          </cell>
          <cell r="C2320" t="str">
            <v>PON</v>
          </cell>
          <cell r="D2320">
            <v>633006332</v>
          </cell>
          <cell r="E2320" t="str">
            <v>FC F19 Mare 9.7 Ltd 54M Salmon</v>
          </cell>
          <cell r="F2320">
            <v>1</v>
          </cell>
          <cell r="G2320">
            <v>0</v>
          </cell>
          <cell r="I2320" t="str">
            <v>JL041</v>
          </cell>
          <cell r="L2320">
            <v>14</v>
          </cell>
          <cell r="M2320">
            <v>0.22600000000000001</v>
          </cell>
          <cell r="N2320" t="str">
            <v>5W</v>
          </cell>
          <cell r="P2320" t="str">
            <v>PONFCS</v>
          </cell>
          <cell r="Q2320" t="str">
            <v>/  /</v>
          </cell>
        </row>
        <row r="2321">
          <cell r="A2321">
            <v>4632534</v>
          </cell>
          <cell r="B2321">
            <v>44217</v>
          </cell>
          <cell r="C2321" t="str">
            <v>PON</v>
          </cell>
          <cell r="D2321">
            <v>641078051</v>
          </cell>
          <cell r="E2321" t="str">
            <v>C21 Asp Grx Grey/Seabreeze 56</v>
          </cell>
          <cell r="F2321">
            <v>1</v>
          </cell>
          <cell r="G2321">
            <v>0</v>
          </cell>
          <cell r="I2321" t="str">
            <v>JL041</v>
          </cell>
          <cell r="L2321">
            <v>15.5</v>
          </cell>
          <cell r="M2321">
            <v>0.246</v>
          </cell>
          <cell r="N2321" t="str">
            <v>5W</v>
          </cell>
          <cell r="P2321" t="str">
            <v>PONCVL</v>
          </cell>
          <cell r="Q2321" t="str">
            <v>/  /</v>
          </cell>
        </row>
        <row r="2322">
          <cell r="A2322">
            <v>4632547</v>
          </cell>
          <cell r="B2322">
            <v>44217</v>
          </cell>
          <cell r="C2322" t="str">
            <v>PON</v>
          </cell>
          <cell r="D2322">
            <v>641078056</v>
          </cell>
          <cell r="E2322" t="str">
            <v>C21 Aspero GRX Black/Gold 54</v>
          </cell>
          <cell r="F2322">
            <v>1</v>
          </cell>
          <cell r="G2322">
            <v>0</v>
          </cell>
          <cell r="I2322" t="str">
            <v>JL042</v>
          </cell>
          <cell r="L2322">
            <v>14.6</v>
          </cell>
          <cell r="M2322">
            <v>0.23300000000000001</v>
          </cell>
          <cell r="N2322" t="str">
            <v>5W</v>
          </cell>
          <cell r="P2322" t="str">
            <v>PONCVL</v>
          </cell>
          <cell r="Q2322" t="str">
            <v>/  /</v>
          </cell>
        </row>
        <row r="2323">
          <cell r="A2323">
            <v>4632552</v>
          </cell>
          <cell r="B2323">
            <v>44217</v>
          </cell>
          <cell r="C2323" t="str">
            <v>PON</v>
          </cell>
          <cell r="D2323">
            <v>641078056</v>
          </cell>
          <cell r="E2323" t="str">
            <v>C21 Aspero GRX Black/Gold 54</v>
          </cell>
          <cell r="F2323">
            <v>1</v>
          </cell>
          <cell r="G2323">
            <v>0</v>
          </cell>
          <cell r="I2323" t="str">
            <v>JL042</v>
          </cell>
          <cell r="L2323">
            <v>14.6</v>
          </cell>
          <cell r="M2323">
            <v>0.23300000000000001</v>
          </cell>
          <cell r="N2323" t="str">
            <v>5W</v>
          </cell>
          <cell r="P2323" t="str">
            <v>PONCVL</v>
          </cell>
          <cell r="Q2323" t="str">
            <v>/  /</v>
          </cell>
        </row>
        <row r="2324">
          <cell r="A2324">
            <v>4632553</v>
          </cell>
          <cell r="B2324">
            <v>44217</v>
          </cell>
          <cell r="C2324" t="str">
            <v>PON</v>
          </cell>
          <cell r="D2324">
            <v>641078056</v>
          </cell>
          <cell r="E2324" t="str">
            <v>C21 Aspero GRX Black/Gold 54</v>
          </cell>
          <cell r="F2324">
            <v>1</v>
          </cell>
          <cell r="G2324">
            <v>0</v>
          </cell>
          <cell r="I2324" t="str">
            <v>JL042</v>
          </cell>
          <cell r="L2324">
            <v>14.6</v>
          </cell>
          <cell r="M2324">
            <v>0.23300000000000001</v>
          </cell>
          <cell r="N2324" t="str">
            <v>5W</v>
          </cell>
          <cell r="P2324" t="str">
            <v>PONCVL</v>
          </cell>
          <cell r="Q2324" t="str">
            <v>/  /</v>
          </cell>
        </row>
        <row r="2325">
          <cell r="A2325">
            <v>4632676</v>
          </cell>
          <cell r="B2325">
            <v>44217</v>
          </cell>
          <cell r="C2325" t="str">
            <v>PON</v>
          </cell>
          <cell r="D2325">
            <v>641078318</v>
          </cell>
          <cell r="E2325" t="str">
            <v>C21 ULT DI2 Grey/Carbon 56</v>
          </cell>
          <cell r="F2325">
            <v>1</v>
          </cell>
          <cell r="G2325">
            <v>0</v>
          </cell>
          <cell r="I2325" t="str">
            <v>JL042</v>
          </cell>
          <cell r="L2325">
            <v>14.1</v>
          </cell>
          <cell r="M2325">
            <v>0.23300000000000001</v>
          </cell>
          <cell r="N2325" t="str">
            <v>5W</v>
          </cell>
          <cell r="P2325" t="str">
            <v>PONCVL</v>
          </cell>
          <cell r="Q2325" t="str">
            <v>/  /</v>
          </cell>
        </row>
        <row r="2326">
          <cell r="A2326">
            <v>3946380</v>
          </cell>
          <cell r="B2326">
            <v>43787</v>
          </cell>
          <cell r="C2326" t="str">
            <v>PON</v>
          </cell>
          <cell r="D2326">
            <v>633078041</v>
          </cell>
          <cell r="E2326" t="str">
            <v>CV C19R5 DscDA Di2 51CMBlk/Gph</v>
          </cell>
          <cell r="F2326">
            <v>1</v>
          </cell>
          <cell r="G2326">
            <v>0</v>
          </cell>
          <cell r="I2326" t="str">
            <v>JL051</v>
          </cell>
          <cell r="L2326">
            <v>12.6</v>
          </cell>
          <cell r="M2326">
            <v>0.215</v>
          </cell>
          <cell r="N2326" t="str">
            <v>5W</v>
          </cell>
          <cell r="P2326" t="str">
            <v>PONCVL</v>
          </cell>
          <cell r="Q2326" t="str">
            <v>/  /</v>
          </cell>
        </row>
        <row r="2327">
          <cell r="A2327">
            <v>4632481</v>
          </cell>
          <cell r="B2327">
            <v>44217</v>
          </cell>
          <cell r="C2327" t="str">
            <v>PON</v>
          </cell>
          <cell r="D2327">
            <v>641078014</v>
          </cell>
          <cell r="E2327" t="str">
            <v>C21 ASPERO FCE BLACK/GOLD 54</v>
          </cell>
          <cell r="F2327">
            <v>1</v>
          </cell>
          <cell r="G2327">
            <v>0</v>
          </cell>
          <cell r="I2327" t="str">
            <v>JL051</v>
          </cell>
          <cell r="L2327">
            <v>14.5</v>
          </cell>
          <cell r="M2327">
            <v>0.23300000000000001</v>
          </cell>
          <cell r="N2327" t="str">
            <v>5W</v>
          </cell>
          <cell r="P2327" t="str">
            <v>PONCVL</v>
          </cell>
          <cell r="Q2327" t="str">
            <v>/  /</v>
          </cell>
        </row>
        <row r="2328">
          <cell r="A2328">
            <v>4632482</v>
          </cell>
          <cell r="B2328">
            <v>44217</v>
          </cell>
          <cell r="C2328" t="str">
            <v>PON</v>
          </cell>
          <cell r="D2328">
            <v>641078014</v>
          </cell>
          <cell r="E2328" t="str">
            <v>C21 ASPERO FCE BLACK/GOLD 54</v>
          </cell>
          <cell r="F2328">
            <v>1</v>
          </cell>
          <cell r="G2328">
            <v>0</v>
          </cell>
          <cell r="I2328" t="str">
            <v>JL051</v>
          </cell>
          <cell r="L2328">
            <v>14.5</v>
          </cell>
          <cell r="M2328">
            <v>0.23300000000000001</v>
          </cell>
          <cell r="N2328" t="str">
            <v>5W</v>
          </cell>
          <cell r="P2328" t="str">
            <v>PONCVL</v>
          </cell>
          <cell r="Q2328" t="str">
            <v>/  /</v>
          </cell>
        </row>
        <row r="2329">
          <cell r="A2329">
            <v>4632483</v>
          </cell>
          <cell r="B2329">
            <v>44217</v>
          </cell>
          <cell r="C2329" t="str">
            <v>PON</v>
          </cell>
          <cell r="D2329">
            <v>641078014</v>
          </cell>
          <cell r="E2329" t="str">
            <v>C21 ASPERO FCE BLACK/GOLD 54</v>
          </cell>
          <cell r="F2329">
            <v>1</v>
          </cell>
          <cell r="G2329">
            <v>0</v>
          </cell>
          <cell r="I2329" t="str">
            <v>JL051</v>
          </cell>
          <cell r="L2329">
            <v>14.5</v>
          </cell>
          <cell r="M2329">
            <v>0.23300000000000001</v>
          </cell>
          <cell r="N2329" t="str">
            <v>5W</v>
          </cell>
          <cell r="P2329" t="str">
            <v>PONCVL</v>
          </cell>
          <cell r="Q2329" t="str">
            <v>/  /</v>
          </cell>
        </row>
        <row r="2330">
          <cell r="A2330">
            <v>4186988</v>
          </cell>
          <cell r="B2330">
            <v>43950</v>
          </cell>
          <cell r="C2330" t="str">
            <v>PON</v>
          </cell>
          <cell r="D2330">
            <v>637012020</v>
          </cell>
          <cell r="E2330" t="str">
            <v>F20 IZ MAX DISC 9.7 AXS 47 XXS</v>
          </cell>
          <cell r="F2330">
            <v>1</v>
          </cell>
          <cell r="G2330">
            <v>0</v>
          </cell>
          <cell r="I2330" t="str">
            <v>JL052</v>
          </cell>
          <cell r="L2330">
            <v>9</v>
          </cell>
          <cell r="M2330">
            <v>0.33100000000000002</v>
          </cell>
          <cell r="N2330" t="str">
            <v>5W</v>
          </cell>
          <cell r="P2330" t="str">
            <v>PONFCS</v>
          </cell>
          <cell r="Q2330" t="str">
            <v>/  /</v>
          </cell>
        </row>
        <row r="2331">
          <cell r="A2331">
            <v>4186989</v>
          </cell>
          <cell r="B2331">
            <v>43950</v>
          </cell>
          <cell r="C2331" t="str">
            <v>PON</v>
          </cell>
          <cell r="D2331">
            <v>637012020</v>
          </cell>
          <cell r="E2331" t="str">
            <v>F20 IZ MAX DISC 9.7 AXS 47 XXS</v>
          </cell>
          <cell r="F2331">
            <v>1</v>
          </cell>
          <cell r="G2331">
            <v>0</v>
          </cell>
          <cell r="I2331" t="str">
            <v>JL052</v>
          </cell>
          <cell r="L2331">
            <v>9</v>
          </cell>
          <cell r="M2331">
            <v>0.33100000000000002</v>
          </cell>
          <cell r="N2331" t="str">
            <v>5W</v>
          </cell>
          <cell r="P2331" t="str">
            <v>PONFCS</v>
          </cell>
          <cell r="Q2331" t="str">
            <v>/  /</v>
          </cell>
        </row>
        <row r="2332">
          <cell r="A2332">
            <v>4632489</v>
          </cell>
          <cell r="B2332">
            <v>44217</v>
          </cell>
          <cell r="C2332" t="str">
            <v>PON</v>
          </cell>
          <cell r="D2332">
            <v>641078016</v>
          </cell>
          <cell r="E2332" t="str">
            <v>C21 ASPERO FCE BLACK/GOLD 58</v>
          </cell>
          <cell r="F2332">
            <v>1</v>
          </cell>
          <cell r="G2332">
            <v>0</v>
          </cell>
          <cell r="I2332" t="str">
            <v>JL052</v>
          </cell>
          <cell r="L2332">
            <v>14.5</v>
          </cell>
          <cell r="M2332">
            <v>0.23300000000000001</v>
          </cell>
          <cell r="N2332" t="str">
            <v>5W</v>
          </cell>
          <cell r="P2332" t="str">
            <v>PONCVL</v>
          </cell>
          <cell r="Q2332" t="str">
            <v>/  /</v>
          </cell>
        </row>
        <row r="2333">
          <cell r="A2333">
            <v>4632490</v>
          </cell>
          <cell r="B2333">
            <v>44217</v>
          </cell>
          <cell r="C2333" t="str">
            <v>PON</v>
          </cell>
          <cell r="D2333">
            <v>641078016</v>
          </cell>
          <cell r="E2333" t="str">
            <v>C21 ASPERO FCE BLACK/GOLD 58</v>
          </cell>
          <cell r="F2333">
            <v>1</v>
          </cell>
          <cell r="G2333">
            <v>0</v>
          </cell>
          <cell r="I2333" t="str">
            <v>JL052</v>
          </cell>
          <cell r="L2333">
            <v>14.5</v>
          </cell>
          <cell r="M2333">
            <v>0.23300000000000001</v>
          </cell>
          <cell r="N2333" t="str">
            <v>5W</v>
          </cell>
          <cell r="P2333" t="str">
            <v>PONCVL</v>
          </cell>
          <cell r="Q2333" t="str">
            <v>/  /</v>
          </cell>
        </row>
        <row r="2334">
          <cell r="A2334">
            <v>4632499</v>
          </cell>
          <cell r="B2334">
            <v>44217</v>
          </cell>
          <cell r="C2334" t="str">
            <v>PON</v>
          </cell>
          <cell r="D2334">
            <v>641078037</v>
          </cell>
          <cell r="E2334" t="str">
            <v>C21 Aspero GRX Black/Gold 51</v>
          </cell>
          <cell r="F2334">
            <v>1</v>
          </cell>
          <cell r="G2334">
            <v>0</v>
          </cell>
          <cell r="I2334" t="str">
            <v>JL061</v>
          </cell>
          <cell r="L2334">
            <v>14.6</v>
          </cell>
          <cell r="M2334">
            <v>0.23200000000000001</v>
          </cell>
          <cell r="N2334" t="str">
            <v>5W</v>
          </cell>
          <cell r="P2334" t="str">
            <v>PONCVL</v>
          </cell>
          <cell r="Q2334" t="str">
            <v>/  /</v>
          </cell>
        </row>
        <row r="2335">
          <cell r="A2335">
            <v>4632500</v>
          </cell>
          <cell r="B2335">
            <v>44217</v>
          </cell>
          <cell r="C2335" t="str">
            <v>PON</v>
          </cell>
          <cell r="D2335">
            <v>641078037</v>
          </cell>
          <cell r="E2335" t="str">
            <v>C21 Aspero GRX Black/Gold 51</v>
          </cell>
          <cell r="F2335">
            <v>1</v>
          </cell>
          <cell r="G2335">
            <v>0</v>
          </cell>
          <cell r="I2335" t="str">
            <v>JL061</v>
          </cell>
          <cell r="L2335">
            <v>14.6</v>
          </cell>
          <cell r="M2335">
            <v>0.23200000000000001</v>
          </cell>
          <cell r="N2335" t="str">
            <v>5W</v>
          </cell>
          <cell r="P2335" t="str">
            <v>PONCVL</v>
          </cell>
          <cell r="Q2335" t="str">
            <v>/  /</v>
          </cell>
        </row>
        <row r="2336">
          <cell r="A2336">
            <v>4632501</v>
          </cell>
          <cell r="B2336">
            <v>44217</v>
          </cell>
          <cell r="C2336" t="str">
            <v>PON</v>
          </cell>
          <cell r="D2336">
            <v>641078037</v>
          </cell>
          <cell r="E2336" t="str">
            <v>C21 Aspero GRX Black/Gold 51</v>
          </cell>
          <cell r="F2336">
            <v>1</v>
          </cell>
          <cell r="G2336">
            <v>0</v>
          </cell>
          <cell r="I2336" t="str">
            <v>JL061</v>
          </cell>
          <cell r="L2336">
            <v>14.6</v>
          </cell>
          <cell r="M2336">
            <v>0.23200000000000001</v>
          </cell>
          <cell r="N2336" t="str">
            <v>5W</v>
          </cell>
          <cell r="P2336" t="str">
            <v>PONCVL</v>
          </cell>
          <cell r="Q2336" t="str">
            <v>/  /</v>
          </cell>
        </row>
        <row r="2337">
          <cell r="A2337">
            <v>4632505</v>
          </cell>
          <cell r="B2337">
            <v>44217</v>
          </cell>
          <cell r="C2337" t="str">
            <v>PON</v>
          </cell>
          <cell r="D2337">
            <v>641078038</v>
          </cell>
          <cell r="E2337" t="str">
            <v>C21 Aspero GRX Black/Gold 54</v>
          </cell>
          <cell r="F2337">
            <v>1</v>
          </cell>
          <cell r="G2337">
            <v>0</v>
          </cell>
          <cell r="I2337" t="str">
            <v>JL061</v>
          </cell>
          <cell r="L2337">
            <v>14.6</v>
          </cell>
          <cell r="M2337">
            <v>0.23200000000000001</v>
          </cell>
          <cell r="N2337" t="str">
            <v>5W</v>
          </cell>
          <cell r="P2337" t="str">
            <v>PONCVL</v>
          </cell>
          <cell r="Q2337" t="str">
            <v>/  /</v>
          </cell>
        </row>
        <row r="2338">
          <cell r="A2338">
            <v>4086202</v>
          </cell>
          <cell r="B2338">
            <v>43784</v>
          </cell>
          <cell r="C2338" t="str">
            <v>PON</v>
          </cell>
          <cell r="D2338">
            <v>633078611</v>
          </cell>
          <cell r="E2338" t="str">
            <v>CV C19P3X UltDi2MD Rvr/Flu/Blk</v>
          </cell>
          <cell r="F2338">
            <v>1</v>
          </cell>
          <cell r="G2338">
            <v>0</v>
          </cell>
          <cell r="I2338" t="str">
            <v>JL062</v>
          </cell>
          <cell r="L2338">
            <v>16.100000000000001</v>
          </cell>
          <cell r="M2338">
            <v>0.23300000000000001</v>
          </cell>
          <cell r="N2338" t="str">
            <v>5W</v>
          </cell>
          <cell r="P2338" t="str">
            <v>PONCVL</v>
          </cell>
          <cell r="Q2338" t="str">
            <v>/  /</v>
          </cell>
        </row>
        <row r="2339">
          <cell r="A2339">
            <v>4087600</v>
          </cell>
          <cell r="B2339">
            <v>43784</v>
          </cell>
          <cell r="C2339" t="str">
            <v>PON</v>
          </cell>
          <cell r="D2339">
            <v>633078611</v>
          </cell>
          <cell r="E2339" t="str">
            <v>CV C19P3X UltDi2MD Rvr/Flu/Blk</v>
          </cell>
          <cell r="F2339">
            <v>1</v>
          </cell>
          <cell r="G2339">
            <v>0</v>
          </cell>
          <cell r="I2339" t="str">
            <v>JL062</v>
          </cell>
          <cell r="L2339">
            <v>16.100000000000001</v>
          </cell>
          <cell r="M2339">
            <v>0.23300000000000001</v>
          </cell>
          <cell r="N2339" t="str">
            <v>5W</v>
          </cell>
          <cell r="P2339" t="str">
            <v>PONCVL</v>
          </cell>
          <cell r="Q2339" t="str">
            <v>/  /</v>
          </cell>
        </row>
        <row r="2340">
          <cell r="A2340">
            <v>4087601</v>
          </cell>
          <cell r="B2340">
            <v>43784</v>
          </cell>
          <cell r="C2340" t="str">
            <v>PON</v>
          </cell>
          <cell r="D2340">
            <v>633078611</v>
          </cell>
          <cell r="E2340" t="str">
            <v>CV C19P3X UltDi2MD Rvr/Flu/Blk</v>
          </cell>
          <cell r="F2340">
            <v>1</v>
          </cell>
          <cell r="G2340">
            <v>0</v>
          </cell>
          <cell r="I2340" t="str">
            <v>JL062</v>
          </cell>
          <cell r="L2340">
            <v>16.100000000000001</v>
          </cell>
          <cell r="M2340">
            <v>0.23300000000000001</v>
          </cell>
          <cell r="N2340" t="str">
            <v>5W</v>
          </cell>
          <cell r="P2340" t="str">
            <v>PONCVL</v>
          </cell>
          <cell r="Q2340" t="str">
            <v>/  /</v>
          </cell>
        </row>
        <row r="2341">
          <cell r="A2341">
            <v>4089393</v>
          </cell>
          <cell r="B2341">
            <v>43784</v>
          </cell>
          <cell r="C2341" t="str">
            <v>PON</v>
          </cell>
          <cell r="D2341">
            <v>633078611</v>
          </cell>
          <cell r="E2341" t="str">
            <v>CV C19P3X UltDi2MD Rvr/Flu/Blk</v>
          </cell>
          <cell r="F2341">
            <v>1</v>
          </cell>
          <cell r="G2341">
            <v>0</v>
          </cell>
          <cell r="I2341" t="str">
            <v>JL062</v>
          </cell>
          <cell r="L2341">
            <v>16.100000000000001</v>
          </cell>
          <cell r="M2341">
            <v>0.23300000000000001</v>
          </cell>
          <cell r="N2341" t="str">
            <v>5W</v>
          </cell>
          <cell r="P2341" t="str">
            <v>PONCVL</v>
          </cell>
          <cell r="Q2341" t="str">
            <v>/  /</v>
          </cell>
        </row>
        <row r="2342">
          <cell r="A2342">
            <v>4089395</v>
          </cell>
          <cell r="B2342">
            <v>43784</v>
          </cell>
          <cell r="C2342" t="str">
            <v>PON</v>
          </cell>
          <cell r="D2342">
            <v>633078611</v>
          </cell>
          <cell r="E2342" t="str">
            <v>CV C19P3X UltDi2MD Rvr/Flu/Blk</v>
          </cell>
          <cell r="F2342">
            <v>1</v>
          </cell>
          <cell r="G2342">
            <v>0</v>
          </cell>
          <cell r="I2342" t="str">
            <v>JL062</v>
          </cell>
          <cell r="L2342">
            <v>16.100000000000001</v>
          </cell>
          <cell r="M2342">
            <v>0.23300000000000001</v>
          </cell>
          <cell r="N2342" t="str">
            <v>5W</v>
          </cell>
          <cell r="P2342" t="str">
            <v>PONCVL</v>
          </cell>
          <cell r="Q2342" t="str">
            <v>/  /</v>
          </cell>
        </row>
        <row r="2343">
          <cell r="A2343">
            <v>4632560</v>
          </cell>
          <cell r="B2343">
            <v>44217</v>
          </cell>
          <cell r="C2343" t="str">
            <v>PON</v>
          </cell>
          <cell r="D2343">
            <v>641078057</v>
          </cell>
          <cell r="E2343" t="str">
            <v>C21 Aspero GRX Black/Gold 56</v>
          </cell>
          <cell r="F2343">
            <v>1</v>
          </cell>
          <cell r="G2343">
            <v>0</v>
          </cell>
          <cell r="I2343" t="str">
            <v>JL071</v>
          </cell>
          <cell r="L2343">
            <v>14.6</v>
          </cell>
          <cell r="M2343">
            <v>0.23300000000000001</v>
          </cell>
          <cell r="N2343" t="str">
            <v>5W</v>
          </cell>
          <cell r="P2343" t="str">
            <v>PONCVL</v>
          </cell>
          <cell r="Q2343" t="str">
            <v>/  /</v>
          </cell>
        </row>
        <row r="2344">
          <cell r="A2344">
            <v>4632561</v>
          </cell>
          <cell r="B2344">
            <v>44217</v>
          </cell>
          <cell r="C2344" t="str">
            <v>PON</v>
          </cell>
          <cell r="D2344">
            <v>641078057</v>
          </cell>
          <cell r="E2344" t="str">
            <v>C21 Aspero GRX Black/Gold 56</v>
          </cell>
          <cell r="F2344">
            <v>1</v>
          </cell>
          <cell r="G2344">
            <v>0</v>
          </cell>
          <cell r="I2344" t="str">
            <v>JL071</v>
          </cell>
          <cell r="L2344">
            <v>14.6</v>
          </cell>
          <cell r="M2344">
            <v>0.23300000000000001</v>
          </cell>
          <cell r="N2344" t="str">
            <v>5W</v>
          </cell>
          <cell r="P2344" t="str">
            <v>PONCVL</v>
          </cell>
          <cell r="Q2344" t="str">
            <v>/  /</v>
          </cell>
        </row>
        <row r="2345">
          <cell r="A2345">
            <v>4632672</v>
          </cell>
          <cell r="B2345">
            <v>44217</v>
          </cell>
          <cell r="C2345" t="str">
            <v>PON</v>
          </cell>
          <cell r="D2345">
            <v>641078312</v>
          </cell>
          <cell r="E2345" t="str">
            <v>C21 ULT DI2 Blue Chameleon 54</v>
          </cell>
          <cell r="F2345">
            <v>1</v>
          </cell>
          <cell r="G2345">
            <v>0</v>
          </cell>
          <cell r="I2345" t="str">
            <v>JL072</v>
          </cell>
          <cell r="L2345">
            <v>13.9</v>
          </cell>
          <cell r="M2345">
            <v>0.23300000000000001</v>
          </cell>
          <cell r="N2345" t="str">
            <v>5W</v>
          </cell>
          <cell r="P2345" t="str">
            <v>PONCVL</v>
          </cell>
          <cell r="Q2345" t="str">
            <v>/  /</v>
          </cell>
        </row>
        <row r="2346">
          <cell r="A2346">
            <v>3936875</v>
          </cell>
          <cell r="B2346">
            <v>43782</v>
          </cell>
          <cell r="C2346" t="str">
            <v>PON</v>
          </cell>
          <cell r="D2346">
            <v>633078230</v>
          </cell>
          <cell r="E2346" t="str">
            <v>CV C19S5 DscUlt48CMBlk/Rvr/Slt</v>
          </cell>
          <cell r="F2346">
            <v>1</v>
          </cell>
          <cell r="G2346">
            <v>0</v>
          </cell>
          <cell r="I2346" t="str">
            <v>JL081</v>
          </cell>
          <cell r="L2346">
            <v>13.7</v>
          </cell>
          <cell r="M2346">
            <v>0.247</v>
          </cell>
          <cell r="N2346" t="str">
            <v>5W</v>
          </cell>
          <cell r="P2346" t="str">
            <v>PONCVL</v>
          </cell>
          <cell r="Q2346" t="str">
            <v>/  /</v>
          </cell>
        </row>
        <row r="2347">
          <cell r="A2347">
            <v>4081424</v>
          </cell>
          <cell r="B2347">
            <v>43782</v>
          </cell>
          <cell r="C2347" t="str">
            <v>PON</v>
          </cell>
          <cell r="D2347">
            <v>633078230</v>
          </cell>
          <cell r="E2347" t="str">
            <v>CV C19S5 DscUlt48CMBlk/Rvr/Slt</v>
          </cell>
          <cell r="F2347">
            <v>1</v>
          </cell>
          <cell r="G2347">
            <v>0</v>
          </cell>
          <cell r="I2347" t="str">
            <v>JL081</v>
          </cell>
          <cell r="L2347">
            <v>13.7</v>
          </cell>
          <cell r="M2347">
            <v>0.247</v>
          </cell>
          <cell r="N2347" t="str">
            <v>5W</v>
          </cell>
          <cell r="P2347" t="str">
            <v>PONCVL</v>
          </cell>
          <cell r="Q2347" t="str">
            <v>/  /</v>
          </cell>
        </row>
        <row r="2348">
          <cell r="A2348">
            <v>3940224</v>
          </cell>
          <cell r="B2348">
            <v>43783</v>
          </cell>
          <cell r="C2348" t="str">
            <v>PON</v>
          </cell>
          <cell r="D2348">
            <v>633078230</v>
          </cell>
          <cell r="E2348" t="str">
            <v>CV C19S5 DscUlt48CMBlk/Rvr/Slt</v>
          </cell>
          <cell r="F2348">
            <v>1</v>
          </cell>
          <cell r="G2348">
            <v>0</v>
          </cell>
          <cell r="I2348" t="str">
            <v>JL081</v>
          </cell>
          <cell r="L2348">
            <v>13.7</v>
          </cell>
          <cell r="M2348">
            <v>0.247</v>
          </cell>
          <cell r="N2348" t="str">
            <v>5W</v>
          </cell>
          <cell r="P2348" t="str">
            <v>PONCVL</v>
          </cell>
          <cell r="Q2348" t="str">
            <v>/  /</v>
          </cell>
        </row>
        <row r="2349">
          <cell r="A2349">
            <v>4632600</v>
          </cell>
          <cell r="B2349">
            <v>44217</v>
          </cell>
          <cell r="C2349" t="str">
            <v>PON</v>
          </cell>
          <cell r="D2349">
            <v>641078133</v>
          </cell>
          <cell r="E2349" t="str">
            <v>C21 C/Donia Ult Red/White 51</v>
          </cell>
          <cell r="F2349">
            <v>1</v>
          </cell>
          <cell r="G2349">
            <v>0</v>
          </cell>
          <cell r="I2349" t="str">
            <v>JL081</v>
          </cell>
          <cell r="L2349">
            <v>13.7</v>
          </cell>
          <cell r="M2349">
            <v>0.23</v>
          </cell>
          <cell r="N2349" t="str">
            <v>5W</v>
          </cell>
          <cell r="P2349" t="str">
            <v>PONCVL</v>
          </cell>
          <cell r="Q2349" t="str">
            <v>/  /</v>
          </cell>
        </row>
        <row r="2350">
          <cell r="A2350">
            <v>4632601</v>
          </cell>
          <cell r="B2350">
            <v>44217</v>
          </cell>
          <cell r="C2350" t="str">
            <v>PON</v>
          </cell>
          <cell r="D2350">
            <v>641078133</v>
          </cell>
          <cell r="E2350" t="str">
            <v>C21 C/Donia Ult Red/White 51</v>
          </cell>
          <cell r="F2350">
            <v>1</v>
          </cell>
          <cell r="G2350">
            <v>0</v>
          </cell>
          <cell r="I2350" t="str">
            <v>JL081</v>
          </cell>
          <cell r="L2350">
            <v>13.7</v>
          </cell>
          <cell r="M2350">
            <v>0.23</v>
          </cell>
          <cell r="N2350" t="str">
            <v>5W</v>
          </cell>
          <cell r="P2350" t="str">
            <v>PONCVL</v>
          </cell>
          <cell r="Q2350" t="str">
            <v>/  /</v>
          </cell>
        </row>
        <row r="2351">
          <cell r="A2351">
            <v>4632582</v>
          </cell>
          <cell r="B2351">
            <v>44217</v>
          </cell>
          <cell r="C2351" t="str">
            <v>PON</v>
          </cell>
          <cell r="D2351">
            <v>641078062</v>
          </cell>
          <cell r="E2351" t="str">
            <v>C21 Aspero GRX Seabreeze/Blu54</v>
          </cell>
          <cell r="F2351">
            <v>1</v>
          </cell>
          <cell r="G2351">
            <v>0</v>
          </cell>
          <cell r="I2351" t="str">
            <v>JL082</v>
          </cell>
          <cell r="L2351">
            <v>14.5</v>
          </cell>
          <cell r="M2351">
            <v>0.23200000000000001</v>
          </cell>
          <cell r="N2351" t="str">
            <v>5W</v>
          </cell>
          <cell r="P2351" t="str">
            <v>PONCVL</v>
          </cell>
          <cell r="Q2351" t="str">
            <v>/  /</v>
          </cell>
        </row>
        <row r="2352">
          <cell r="A2352">
            <v>4632583</v>
          </cell>
          <cell r="B2352">
            <v>44217</v>
          </cell>
          <cell r="C2352" t="str">
            <v>PON</v>
          </cell>
          <cell r="D2352">
            <v>641078062</v>
          </cell>
          <cell r="E2352" t="str">
            <v>C21 Aspero GRX Seabreeze/Blu54</v>
          </cell>
          <cell r="F2352">
            <v>1</v>
          </cell>
          <cell r="G2352">
            <v>0</v>
          </cell>
          <cell r="I2352" t="str">
            <v>JL082</v>
          </cell>
          <cell r="L2352">
            <v>14.5</v>
          </cell>
          <cell r="M2352">
            <v>0.23200000000000001</v>
          </cell>
          <cell r="N2352" t="str">
            <v>5W</v>
          </cell>
          <cell r="P2352" t="str">
            <v>PONCVL</v>
          </cell>
          <cell r="Q2352" t="str">
            <v>/  /</v>
          </cell>
        </row>
        <row r="2353">
          <cell r="A2353">
            <v>4632584</v>
          </cell>
          <cell r="B2353">
            <v>44217</v>
          </cell>
          <cell r="C2353" t="str">
            <v>PON</v>
          </cell>
          <cell r="D2353">
            <v>641078062</v>
          </cell>
          <cell r="E2353" t="str">
            <v>C21 Aspero GRX Seabreeze/Blu54</v>
          </cell>
          <cell r="F2353">
            <v>1</v>
          </cell>
          <cell r="G2353">
            <v>0</v>
          </cell>
          <cell r="I2353" t="str">
            <v>JL082</v>
          </cell>
          <cell r="L2353">
            <v>14.5</v>
          </cell>
          <cell r="M2353">
            <v>0.23200000000000001</v>
          </cell>
          <cell r="N2353" t="str">
            <v>5W</v>
          </cell>
          <cell r="P2353" t="str">
            <v>PONCVL</v>
          </cell>
          <cell r="Q2353" t="str">
            <v>/  /</v>
          </cell>
        </row>
        <row r="2354">
          <cell r="A2354">
            <v>4632591</v>
          </cell>
          <cell r="B2354">
            <v>44217</v>
          </cell>
          <cell r="C2354" t="str">
            <v>PON</v>
          </cell>
          <cell r="D2354">
            <v>641078064</v>
          </cell>
          <cell r="E2354" t="str">
            <v>C21 Aspero GRX Seabreeze/Blu58</v>
          </cell>
          <cell r="F2354">
            <v>1</v>
          </cell>
          <cell r="G2354">
            <v>0</v>
          </cell>
          <cell r="I2354" t="str">
            <v>JL082</v>
          </cell>
          <cell r="L2354">
            <v>14.6</v>
          </cell>
          <cell r="M2354">
            <v>0.23200000000000001</v>
          </cell>
          <cell r="N2354" t="str">
            <v>5W</v>
          </cell>
          <cell r="P2354" t="str">
            <v>PONCVL</v>
          </cell>
          <cell r="Q2354" t="str">
            <v>/  /</v>
          </cell>
        </row>
        <row r="2355">
          <cell r="A2355">
            <v>4632592</v>
          </cell>
          <cell r="B2355">
            <v>44217</v>
          </cell>
          <cell r="C2355" t="str">
            <v>PON</v>
          </cell>
          <cell r="D2355">
            <v>641078064</v>
          </cell>
          <cell r="E2355" t="str">
            <v>C21 Aspero GRX Seabreeze/Blu58</v>
          </cell>
          <cell r="F2355">
            <v>1</v>
          </cell>
          <cell r="G2355">
            <v>0</v>
          </cell>
          <cell r="I2355" t="str">
            <v>JL082</v>
          </cell>
          <cell r="L2355">
            <v>14.6</v>
          </cell>
          <cell r="M2355">
            <v>0.23200000000000001</v>
          </cell>
          <cell r="N2355" t="str">
            <v>5W</v>
          </cell>
          <cell r="P2355" t="str">
            <v>PONCVL</v>
          </cell>
          <cell r="Q2355" t="str">
            <v>/  /</v>
          </cell>
        </row>
        <row r="2356">
          <cell r="A2356">
            <v>4632593</v>
          </cell>
          <cell r="B2356">
            <v>44217</v>
          </cell>
          <cell r="C2356" t="str">
            <v>PON</v>
          </cell>
          <cell r="D2356">
            <v>641078064</v>
          </cell>
          <cell r="E2356" t="str">
            <v>C21 Aspero GRX Seabreeze/Blu58</v>
          </cell>
          <cell r="F2356">
            <v>1</v>
          </cell>
          <cell r="G2356">
            <v>0</v>
          </cell>
          <cell r="I2356" t="str">
            <v>JL082</v>
          </cell>
          <cell r="L2356">
            <v>14.6</v>
          </cell>
          <cell r="M2356">
            <v>0.23200000000000001</v>
          </cell>
          <cell r="N2356" t="str">
            <v>5W</v>
          </cell>
          <cell r="P2356" t="str">
            <v>PONCVL</v>
          </cell>
          <cell r="Q2356" t="str">
            <v>/  /</v>
          </cell>
        </row>
        <row r="2357">
          <cell r="A2357">
            <v>3926980</v>
          </cell>
          <cell r="B2357">
            <v>43776</v>
          </cell>
          <cell r="C2357" t="str">
            <v>PON</v>
          </cell>
          <cell r="D2357">
            <v>633078045</v>
          </cell>
          <cell r="E2357" t="str">
            <v>CV C19R5 DscDA Di2 61CMBlk/Gph</v>
          </cell>
          <cell r="F2357">
            <v>1</v>
          </cell>
          <cell r="G2357">
            <v>0</v>
          </cell>
          <cell r="I2357" t="str">
            <v>JL091</v>
          </cell>
          <cell r="L2357">
            <v>13</v>
          </cell>
          <cell r="M2357">
            <v>0.249</v>
          </cell>
          <cell r="N2357" t="str">
            <v>5W</v>
          </cell>
          <cell r="P2357" t="str">
            <v>PONCVL</v>
          </cell>
          <cell r="Q2357" t="str">
            <v>/  /</v>
          </cell>
        </row>
        <row r="2358">
          <cell r="A2358">
            <v>4632517</v>
          </cell>
          <cell r="B2358">
            <v>44217</v>
          </cell>
          <cell r="C2358" t="str">
            <v>PON</v>
          </cell>
          <cell r="D2358">
            <v>641078039</v>
          </cell>
          <cell r="E2358" t="str">
            <v>C21 Aspero GRX Black/Gold 56</v>
          </cell>
          <cell r="F2358">
            <v>1</v>
          </cell>
          <cell r="G2358">
            <v>0</v>
          </cell>
          <cell r="I2358" t="str">
            <v>JL091</v>
          </cell>
          <cell r="L2358">
            <v>15.2</v>
          </cell>
          <cell r="M2358">
            <v>0.23200000000000001</v>
          </cell>
          <cell r="N2358" t="str">
            <v>5W</v>
          </cell>
          <cell r="P2358" t="str">
            <v>PONCVL</v>
          </cell>
          <cell r="Q2358" t="str">
            <v>/  /</v>
          </cell>
        </row>
        <row r="2359">
          <cell r="A2359">
            <v>4632521</v>
          </cell>
          <cell r="B2359">
            <v>44217</v>
          </cell>
          <cell r="C2359" t="str">
            <v>PON</v>
          </cell>
          <cell r="D2359">
            <v>641078040</v>
          </cell>
          <cell r="E2359" t="str">
            <v>C21 Aspero GRX Black/Gold 58</v>
          </cell>
          <cell r="F2359">
            <v>1</v>
          </cell>
          <cell r="G2359">
            <v>0</v>
          </cell>
          <cell r="I2359" t="str">
            <v>JL092</v>
          </cell>
          <cell r="L2359">
            <v>15.3</v>
          </cell>
          <cell r="M2359">
            <v>0.23200000000000001</v>
          </cell>
          <cell r="N2359" t="str">
            <v>5W</v>
          </cell>
          <cell r="P2359" t="str">
            <v>PONCVL</v>
          </cell>
          <cell r="Q2359" t="str">
            <v>/  /</v>
          </cell>
        </row>
        <row r="2360">
          <cell r="A2360">
            <v>4632522</v>
          </cell>
          <cell r="B2360">
            <v>44217</v>
          </cell>
          <cell r="C2360" t="str">
            <v>PON</v>
          </cell>
          <cell r="D2360">
            <v>641078040</v>
          </cell>
          <cell r="E2360" t="str">
            <v>C21 Aspero GRX Black/Gold 58</v>
          </cell>
          <cell r="F2360">
            <v>1</v>
          </cell>
          <cell r="G2360">
            <v>0</v>
          </cell>
          <cell r="I2360" t="str">
            <v>JL092</v>
          </cell>
          <cell r="L2360">
            <v>15.3</v>
          </cell>
          <cell r="M2360">
            <v>0.23200000000000001</v>
          </cell>
          <cell r="N2360" t="str">
            <v>5W</v>
          </cell>
          <cell r="P2360" t="str">
            <v>PONCVL</v>
          </cell>
          <cell r="Q2360" t="str">
            <v>/  /</v>
          </cell>
        </row>
        <row r="2361">
          <cell r="A2361">
            <v>4632523</v>
          </cell>
          <cell r="B2361">
            <v>44217</v>
          </cell>
          <cell r="C2361" t="str">
            <v>PON</v>
          </cell>
          <cell r="D2361">
            <v>641078040</v>
          </cell>
          <cell r="E2361" t="str">
            <v>C21 Aspero GRX Black/Gold 58</v>
          </cell>
          <cell r="F2361">
            <v>1</v>
          </cell>
          <cell r="G2361">
            <v>0</v>
          </cell>
          <cell r="I2361" t="str">
            <v>JL092</v>
          </cell>
          <cell r="L2361">
            <v>15.3</v>
          </cell>
          <cell r="M2361">
            <v>0.23200000000000001</v>
          </cell>
          <cell r="N2361" t="str">
            <v>5W</v>
          </cell>
          <cell r="P2361" t="str">
            <v>PONCVL</v>
          </cell>
          <cell r="Q2361" t="str">
            <v>/  /</v>
          </cell>
        </row>
        <row r="2362">
          <cell r="A2362">
            <v>4632525</v>
          </cell>
          <cell r="B2362">
            <v>44217</v>
          </cell>
          <cell r="C2362" t="str">
            <v>PON</v>
          </cell>
          <cell r="D2362">
            <v>641078040</v>
          </cell>
          <cell r="E2362" t="str">
            <v>C21 Aspero GRX Black/Gold 58</v>
          </cell>
          <cell r="F2362">
            <v>1</v>
          </cell>
          <cell r="G2362">
            <v>0</v>
          </cell>
          <cell r="I2362" t="str">
            <v>JL092</v>
          </cell>
          <cell r="L2362">
            <v>15.3</v>
          </cell>
          <cell r="M2362">
            <v>0.23200000000000001</v>
          </cell>
          <cell r="N2362" t="str">
            <v>5W</v>
          </cell>
          <cell r="P2362" t="str">
            <v>PONCVL</v>
          </cell>
          <cell r="Q2362" t="str">
            <v>/  /</v>
          </cell>
        </row>
        <row r="2363">
          <cell r="A2363">
            <v>4632604</v>
          </cell>
          <cell r="B2363">
            <v>44217</v>
          </cell>
          <cell r="C2363" t="str">
            <v>PON</v>
          </cell>
          <cell r="D2363">
            <v>641078188</v>
          </cell>
          <cell r="E2363" t="str">
            <v>C21 P5 D/Ace Crbn/Blk/Slv 51</v>
          </cell>
          <cell r="F2363">
            <v>1</v>
          </cell>
          <cell r="G2363">
            <v>0</v>
          </cell>
          <cell r="I2363" t="str">
            <v>JL092</v>
          </cell>
          <cell r="L2363">
            <v>15.4</v>
          </cell>
          <cell r="M2363">
            <v>0.26300000000000001</v>
          </cell>
          <cell r="N2363" t="str">
            <v>5W</v>
          </cell>
          <cell r="P2363" t="str">
            <v>PONCVL</v>
          </cell>
          <cell r="Q2363" t="str">
            <v>/  /</v>
          </cell>
        </row>
        <row r="2364">
          <cell r="A2364">
            <v>4632605</v>
          </cell>
          <cell r="B2364">
            <v>44217</v>
          </cell>
          <cell r="C2364" t="str">
            <v>PON</v>
          </cell>
          <cell r="D2364">
            <v>641078188</v>
          </cell>
          <cell r="E2364" t="str">
            <v>C21 P5 D/Ace Crbn/Blk/Slv 51</v>
          </cell>
          <cell r="F2364">
            <v>1</v>
          </cell>
          <cell r="G2364">
            <v>0</v>
          </cell>
          <cell r="I2364" t="str">
            <v>JL092</v>
          </cell>
          <cell r="L2364">
            <v>15.4</v>
          </cell>
          <cell r="M2364">
            <v>0.26300000000000001</v>
          </cell>
          <cell r="N2364" t="str">
            <v>5W</v>
          </cell>
          <cell r="P2364" t="str">
            <v>PONCVL</v>
          </cell>
          <cell r="Q2364" t="str">
            <v>/  /</v>
          </cell>
        </row>
        <row r="2365">
          <cell r="A2365">
            <v>4632544</v>
          </cell>
          <cell r="B2365">
            <v>44217</v>
          </cell>
          <cell r="C2365" t="str">
            <v>PON</v>
          </cell>
          <cell r="D2365">
            <v>641078055</v>
          </cell>
          <cell r="E2365" t="str">
            <v>C21 Aspero GRX Black/Gold 51</v>
          </cell>
          <cell r="F2365">
            <v>1</v>
          </cell>
          <cell r="G2365">
            <v>0</v>
          </cell>
          <cell r="I2365" t="str">
            <v>JL101</v>
          </cell>
          <cell r="L2365">
            <v>14.5</v>
          </cell>
          <cell r="M2365">
            <v>0.23300000000000001</v>
          </cell>
          <cell r="N2365" t="str">
            <v>5W</v>
          </cell>
          <cell r="P2365" t="str">
            <v>PONCVL</v>
          </cell>
          <cell r="Q2365" t="str">
            <v>/  /</v>
          </cell>
        </row>
        <row r="2366">
          <cell r="A2366">
            <v>4632545</v>
          </cell>
          <cell r="B2366">
            <v>44217</v>
          </cell>
          <cell r="C2366" t="str">
            <v>PON</v>
          </cell>
          <cell r="D2366">
            <v>641078055</v>
          </cell>
          <cell r="E2366" t="str">
            <v>C21 Aspero GRX Black/Gold 51</v>
          </cell>
          <cell r="F2366">
            <v>1</v>
          </cell>
          <cell r="G2366">
            <v>0</v>
          </cell>
          <cell r="I2366" t="str">
            <v>JL101</v>
          </cell>
          <cell r="L2366">
            <v>14.5</v>
          </cell>
          <cell r="M2366">
            <v>0.23300000000000001</v>
          </cell>
          <cell r="N2366" t="str">
            <v>5W</v>
          </cell>
          <cell r="P2366" t="str">
            <v>PONCVL</v>
          </cell>
          <cell r="Q2366" t="str">
            <v>/  /</v>
          </cell>
        </row>
        <row r="2367">
          <cell r="A2367">
            <v>4632586</v>
          </cell>
          <cell r="B2367">
            <v>44217</v>
          </cell>
          <cell r="C2367" t="str">
            <v>PON</v>
          </cell>
          <cell r="D2367">
            <v>641078063</v>
          </cell>
          <cell r="E2367" t="str">
            <v>C21 Aspero GRX Seabreeze/Blu56</v>
          </cell>
          <cell r="F2367">
            <v>1</v>
          </cell>
          <cell r="G2367">
            <v>0</v>
          </cell>
          <cell r="I2367" t="str">
            <v>JL101</v>
          </cell>
          <cell r="L2367">
            <v>14.6</v>
          </cell>
          <cell r="M2367">
            <v>0.23200000000000001</v>
          </cell>
          <cell r="N2367" t="str">
            <v>5W</v>
          </cell>
          <cell r="P2367" t="str">
            <v>PONCVL</v>
          </cell>
          <cell r="Q2367" t="str">
            <v>/  /</v>
          </cell>
        </row>
        <row r="2368">
          <cell r="A2368">
            <v>4632587</v>
          </cell>
          <cell r="B2368">
            <v>44217</v>
          </cell>
          <cell r="C2368" t="str">
            <v>PON</v>
          </cell>
          <cell r="D2368">
            <v>641078063</v>
          </cell>
          <cell r="E2368" t="str">
            <v>C21 Aspero GRX Seabreeze/Blu56</v>
          </cell>
          <cell r="F2368">
            <v>1</v>
          </cell>
          <cell r="G2368">
            <v>0</v>
          </cell>
          <cell r="I2368" t="str">
            <v>JL101</v>
          </cell>
          <cell r="L2368">
            <v>14.6</v>
          </cell>
          <cell r="M2368">
            <v>0.23200000000000001</v>
          </cell>
          <cell r="N2368" t="str">
            <v>5W</v>
          </cell>
          <cell r="P2368" t="str">
            <v>PONCVL</v>
          </cell>
          <cell r="Q2368" t="str">
            <v>/  /</v>
          </cell>
        </row>
        <row r="2369">
          <cell r="A2369">
            <v>4632588</v>
          </cell>
          <cell r="B2369">
            <v>44217</v>
          </cell>
          <cell r="C2369" t="str">
            <v>PON</v>
          </cell>
          <cell r="D2369">
            <v>641078063</v>
          </cell>
          <cell r="E2369" t="str">
            <v>C21 Aspero GRX Seabreeze/Blu56</v>
          </cell>
          <cell r="F2369">
            <v>1</v>
          </cell>
          <cell r="G2369">
            <v>0</v>
          </cell>
          <cell r="I2369" t="str">
            <v>JL101</v>
          </cell>
          <cell r="L2369">
            <v>14.6</v>
          </cell>
          <cell r="M2369">
            <v>0.23200000000000001</v>
          </cell>
          <cell r="N2369" t="str">
            <v>5W</v>
          </cell>
          <cell r="P2369" t="str">
            <v>PONCVL</v>
          </cell>
          <cell r="Q2369" t="str">
            <v>/  /</v>
          </cell>
        </row>
        <row r="2370">
          <cell r="A2370">
            <v>3946332</v>
          </cell>
          <cell r="B2370">
            <v>43787</v>
          </cell>
          <cell r="C2370" t="str">
            <v>PON</v>
          </cell>
          <cell r="D2370">
            <v>628078194</v>
          </cell>
          <cell r="E2370" t="str">
            <v>C18 R5 DA 9100 58 XL</v>
          </cell>
          <cell r="F2370">
            <v>1</v>
          </cell>
          <cell r="G2370">
            <v>0</v>
          </cell>
          <cell r="I2370" t="str">
            <v>JL102</v>
          </cell>
          <cell r="L2370">
            <v>11.9</v>
          </cell>
          <cell r="M2370">
            <v>0.218</v>
          </cell>
          <cell r="N2370" t="str">
            <v>5W</v>
          </cell>
          <cell r="P2370" t="str">
            <v>PONCVL</v>
          </cell>
          <cell r="Q2370" t="str">
            <v>/  /</v>
          </cell>
        </row>
        <row r="2371">
          <cell r="A2371">
            <v>3971872</v>
          </cell>
          <cell r="B2371">
            <v>43802</v>
          </cell>
          <cell r="C2371" t="str">
            <v>PON</v>
          </cell>
          <cell r="D2371">
            <v>633006302</v>
          </cell>
          <cell r="E2371" t="str">
            <v>Focus F19 Mares 9.9 54M Orange</v>
          </cell>
          <cell r="F2371">
            <v>1</v>
          </cell>
          <cell r="G2371">
            <v>0</v>
          </cell>
          <cell r="I2371" t="str">
            <v>JL102</v>
          </cell>
          <cell r="L2371">
            <v>13.8</v>
          </cell>
          <cell r="M2371">
            <v>0.24299999999999999</v>
          </cell>
          <cell r="N2371" t="str">
            <v>5W</v>
          </cell>
          <cell r="P2371" t="str">
            <v>PONFCS</v>
          </cell>
          <cell r="Q2371" t="str">
            <v>/  /</v>
          </cell>
        </row>
        <row r="2372">
          <cell r="A2372">
            <v>4632608</v>
          </cell>
          <cell r="B2372">
            <v>44217</v>
          </cell>
          <cell r="C2372" t="str">
            <v>PON</v>
          </cell>
          <cell r="D2372">
            <v>641078190</v>
          </cell>
          <cell r="E2372" t="str">
            <v>C21 P5 D/Ace Crbn/Blk/Slv 56</v>
          </cell>
          <cell r="F2372">
            <v>1</v>
          </cell>
          <cell r="G2372">
            <v>0</v>
          </cell>
          <cell r="I2372" t="str">
            <v>JL102</v>
          </cell>
          <cell r="L2372">
            <v>15.6</v>
          </cell>
          <cell r="M2372">
            <v>0.26300000000000001</v>
          </cell>
          <cell r="N2372" t="str">
            <v>5W</v>
          </cell>
          <cell r="P2372" t="str">
            <v>PONCVL</v>
          </cell>
          <cell r="Q2372" t="str">
            <v>/  /</v>
          </cell>
        </row>
        <row r="2373">
          <cell r="A2373">
            <v>4632609</v>
          </cell>
          <cell r="B2373">
            <v>44217</v>
          </cell>
          <cell r="C2373" t="str">
            <v>PON</v>
          </cell>
          <cell r="D2373">
            <v>641078190</v>
          </cell>
          <cell r="E2373" t="str">
            <v>C21 P5 D/Ace Crbn/Blk/Slv 56</v>
          </cell>
          <cell r="F2373">
            <v>1</v>
          </cell>
          <cell r="G2373">
            <v>0</v>
          </cell>
          <cell r="I2373" t="str">
            <v>JL102</v>
          </cell>
          <cell r="L2373">
            <v>15.6</v>
          </cell>
          <cell r="M2373">
            <v>0.26300000000000001</v>
          </cell>
          <cell r="N2373" t="str">
            <v>5W</v>
          </cell>
          <cell r="P2373" t="str">
            <v>PONCVL</v>
          </cell>
          <cell r="Q2373" t="str">
            <v>/  /</v>
          </cell>
        </row>
        <row r="2374">
          <cell r="A2374">
            <v>4632511</v>
          </cell>
          <cell r="B2374">
            <v>44217</v>
          </cell>
          <cell r="C2374" t="str">
            <v>PON</v>
          </cell>
          <cell r="D2374">
            <v>641078039</v>
          </cell>
          <cell r="E2374" t="str">
            <v>C21 Aspero GRX Black/Gold 56</v>
          </cell>
          <cell r="F2374">
            <v>1</v>
          </cell>
          <cell r="G2374">
            <v>0</v>
          </cell>
          <cell r="I2374" t="str">
            <v>JL111</v>
          </cell>
          <cell r="L2374">
            <v>15.2</v>
          </cell>
          <cell r="M2374">
            <v>0.23200000000000001</v>
          </cell>
          <cell r="N2374" t="str">
            <v>5W</v>
          </cell>
          <cell r="P2374" t="str">
            <v>PONCVL</v>
          </cell>
          <cell r="Q2374" t="str">
            <v>/  /</v>
          </cell>
        </row>
        <row r="2375">
          <cell r="A2375">
            <v>4632507</v>
          </cell>
          <cell r="B2375">
            <v>44217</v>
          </cell>
          <cell r="C2375" t="str">
            <v>PON</v>
          </cell>
          <cell r="D2375">
            <v>641078038</v>
          </cell>
          <cell r="E2375" t="str">
            <v>C21 Aspero GRX Black/Gold 54</v>
          </cell>
          <cell r="F2375">
            <v>1</v>
          </cell>
          <cell r="G2375">
            <v>0</v>
          </cell>
          <cell r="I2375" t="str">
            <v>JL112</v>
          </cell>
          <cell r="L2375">
            <v>14.6</v>
          </cell>
          <cell r="M2375">
            <v>0.23200000000000001</v>
          </cell>
          <cell r="N2375" t="str">
            <v>5W</v>
          </cell>
          <cell r="P2375" t="str">
            <v>PONCVL</v>
          </cell>
          <cell r="Q2375" t="str">
            <v>/  /</v>
          </cell>
        </row>
        <row r="2376">
          <cell r="A2376">
            <v>4632508</v>
          </cell>
          <cell r="B2376">
            <v>44217</v>
          </cell>
          <cell r="C2376" t="str">
            <v>PON</v>
          </cell>
          <cell r="D2376">
            <v>641078038</v>
          </cell>
          <cell r="E2376" t="str">
            <v>C21 Aspero GRX Black/Gold 54</v>
          </cell>
          <cell r="F2376">
            <v>1</v>
          </cell>
          <cell r="G2376">
            <v>0</v>
          </cell>
          <cell r="I2376" t="str">
            <v>JL112</v>
          </cell>
          <cell r="L2376">
            <v>14.6</v>
          </cell>
          <cell r="M2376">
            <v>0.23200000000000001</v>
          </cell>
          <cell r="N2376" t="str">
            <v>5W</v>
          </cell>
          <cell r="P2376" t="str">
            <v>PONCVL</v>
          </cell>
          <cell r="Q2376" t="str">
            <v>/  /</v>
          </cell>
        </row>
        <row r="2377">
          <cell r="A2377">
            <v>4632509</v>
          </cell>
          <cell r="B2377">
            <v>44217</v>
          </cell>
          <cell r="C2377" t="str">
            <v>PON</v>
          </cell>
          <cell r="D2377">
            <v>641078038</v>
          </cell>
          <cell r="E2377" t="str">
            <v>C21 Aspero GRX Black/Gold 54</v>
          </cell>
          <cell r="F2377">
            <v>1</v>
          </cell>
          <cell r="G2377">
            <v>0</v>
          </cell>
          <cell r="I2377" t="str">
            <v>JL112</v>
          </cell>
          <cell r="L2377">
            <v>14.6</v>
          </cell>
          <cell r="M2377">
            <v>0.23200000000000001</v>
          </cell>
          <cell r="N2377" t="str">
            <v>5W</v>
          </cell>
          <cell r="P2377" t="str">
            <v>PONCVL</v>
          </cell>
          <cell r="Q2377" t="str">
            <v>/  /</v>
          </cell>
        </row>
        <row r="2378">
          <cell r="A2378">
            <v>4632565</v>
          </cell>
          <cell r="B2378">
            <v>44217</v>
          </cell>
          <cell r="C2378" t="str">
            <v>PON</v>
          </cell>
          <cell r="D2378">
            <v>641078058</v>
          </cell>
          <cell r="E2378" t="str">
            <v>C21 Aspero GRX Black/Gold 58</v>
          </cell>
          <cell r="F2378">
            <v>1</v>
          </cell>
          <cell r="G2378">
            <v>0</v>
          </cell>
          <cell r="I2378" t="str">
            <v>JL121</v>
          </cell>
          <cell r="L2378">
            <v>14.8</v>
          </cell>
          <cell r="M2378">
            <v>0.23300000000000001</v>
          </cell>
          <cell r="N2378" t="str">
            <v>5W</v>
          </cell>
          <cell r="P2378" t="str">
            <v>PONCVL</v>
          </cell>
          <cell r="Q2378" t="str">
            <v>/  /</v>
          </cell>
        </row>
        <row r="2379">
          <cell r="A2379">
            <v>4632566</v>
          </cell>
          <cell r="B2379">
            <v>44217</v>
          </cell>
          <cell r="C2379" t="str">
            <v>PON</v>
          </cell>
          <cell r="D2379">
            <v>641078058</v>
          </cell>
          <cell r="E2379" t="str">
            <v>C21 Aspero GRX Black/Gold 58</v>
          </cell>
          <cell r="F2379">
            <v>1</v>
          </cell>
          <cell r="G2379">
            <v>0</v>
          </cell>
          <cell r="I2379" t="str">
            <v>JL121</v>
          </cell>
          <cell r="L2379">
            <v>14.8</v>
          </cell>
          <cell r="M2379">
            <v>0.23300000000000001</v>
          </cell>
          <cell r="N2379" t="str">
            <v>5W</v>
          </cell>
          <cell r="P2379" t="str">
            <v>PONCVL</v>
          </cell>
          <cell r="Q2379" t="str">
            <v>/  /</v>
          </cell>
        </row>
        <row r="2380">
          <cell r="A2380">
            <v>4632567</v>
          </cell>
          <cell r="B2380">
            <v>44217</v>
          </cell>
          <cell r="C2380" t="str">
            <v>PON</v>
          </cell>
          <cell r="D2380">
            <v>641078058</v>
          </cell>
          <cell r="E2380" t="str">
            <v>C21 Aspero GRX Black/Gold 58</v>
          </cell>
          <cell r="F2380">
            <v>1</v>
          </cell>
          <cell r="G2380">
            <v>0</v>
          </cell>
          <cell r="I2380" t="str">
            <v>JL121</v>
          </cell>
          <cell r="L2380">
            <v>14.8</v>
          </cell>
          <cell r="M2380">
            <v>0.23300000000000001</v>
          </cell>
          <cell r="N2380" t="str">
            <v>5W</v>
          </cell>
          <cell r="P2380" t="str">
            <v>PONCVL</v>
          </cell>
          <cell r="Q2380" t="str">
            <v>/  /</v>
          </cell>
        </row>
        <row r="2381">
          <cell r="A2381">
            <v>4632611</v>
          </cell>
          <cell r="B2381">
            <v>44217</v>
          </cell>
          <cell r="C2381" t="str">
            <v>PON</v>
          </cell>
          <cell r="D2381">
            <v>641078242</v>
          </cell>
          <cell r="E2381" t="str">
            <v>C21 R5 Disc D/A Grn/Gld/Wht 51</v>
          </cell>
          <cell r="F2381">
            <v>1</v>
          </cell>
          <cell r="G2381">
            <v>0</v>
          </cell>
          <cell r="I2381" t="str">
            <v>JL121</v>
          </cell>
          <cell r="L2381">
            <v>13</v>
          </cell>
          <cell r="M2381">
            <v>0.22900000000000001</v>
          </cell>
          <cell r="N2381" t="str">
            <v>5W</v>
          </cell>
          <cell r="P2381" t="str">
            <v>PONCVL</v>
          </cell>
          <cell r="Q2381" t="str">
            <v>/  /</v>
          </cell>
        </row>
        <row r="2382">
          <cell r="A2382">
            <v>4632612</v>
          </cell>
          <cell r="B2382">
            <v>44217</v>
          </cell>
          <cell r="C2382" t="str">
            <v>PON</v>
          </cell>
          <cell r="D2382">
            <v>641078242</v>
          </cell>
          <cell r="E2382" t="str">
            <v>C21 R5 Disc D/A Grn/Gld/Wht 51</v>
          </cell>
          <cell r="F2382">
            <v>1</v>
          </cell>
          <cell r="G2382">
            <v>0</v>
          </cell>
          <cell r="I2382" t="str">
            <v>JL121</v>
          </cell>
          <cell r="L2382">
            <v>13</v>
          </cell>
          <cell r="M2382">
            <v>0.22900000000000001</v>
          </cell>
          <cell r="N2382" t="str">
            <v>5W</v>
          </cell>
          <cell r="P2382" t="str">
            <v>PONCVL</v>
          </cell>
          <cell r="Q2382" t="str">
            <v>/  /</v>
          </cell>
        </row>
        <row r="2383">
          <cell r="A2383">
            <v>4632613</v>
          </cell>
          <cell r="B2383">
            <v>44217</v>
          </cell>
          <cell r="C2383" t="str">
            <v>PON</v>
          </cell>
          <cell r="D2383">
            <v>641078242</v>
          </cell>
          <cell r="E2383" t="str">
            <v>C21 R5 Disc D/A Grn/Gld/Wht 51</v>
          </cell>
          <cell r="F2383">
            <v>1</v>
          </cell>
          <cell r="G2383">
            <v>0</v>
          </cell>
          <cell r="I2383" t="str">
            <v>JL121</v>
          </cell>
          <cell r="L2383">
            <v>13</v>
          </cell>
          <cell r="M2383">
            <v>0.22900000000000001</v>
          </cell>
          <cell r="N2383" t="str">
            <v>5W</v>
          </cell>
          <cell r="P2383" t="str">
            <v>PONCVL</v>
          </cell>
          <cell r="Q2383" t="str">
            <v>/  /</v>
          </cell>
        </row>
        <row r="2384">
          <cell r="A2384">
            <v>3946328</v>
          </cell>
          <cell r="B2384">
            <v>43787</v>
          </cell>
          <cell r="C2384" t="str">
            <v>PON</v>
          </cell>
          <cell r="D2384">
            <v>628078161</v>
          </cell>
          <cell r="E2384" t="str">
            <v>CV C18 R5 Disc DA Di2 51 SM</v>
          </cell>
          <cell r="F2384">
            <v>1</v>
          </cell>
          <cell r="G2384">
            <v>0</v>
          </cell>
          <cell r="I2384" t="str">
            <v>JL122</v>
          </cell>
          <cell r="L2384">
            <v>12.4</v>
          </cell>
          <cell r="M2384">
            <v>0.23599999999999999</v>
          </cell>
          <cell r="N2384" t="str">
            <v>5W</v>
          </cell>
          <cell r="P2384" t="str">
            <v>PONCVL</v>
          </cell>
          <cell r="Q2384" t="str">
            <v>/  /</v>
          </cell>
        </row>
        <row r="2385">
          <cell r="A2385">
            <v>4081116</v>
          </cell>
          <cell r="B2385">
            <v>43787</v>
          </cell>
          <cell r="C2385" t="str">
            <v>PON</v>
          </cell>
          <cell r="D2385">
            <v>628078161</v>
          </cell>
          <cell r="E2385" t="str">
            <v>CV C18 R5 Disc DA Di2 51 SM</v>
          </cell>
          <cell r="F2385">
            <v>1</v>
          </cell>
          <cell r="G2385">
            <v>0</v>
          </cell>
          <cell r="I2385" t="str">
            <v>JL122</v>
          </cell>
          <cell r="L2385">
            <v>12.4</v>
          </cell>
          <cell r="M2385">
            <v>0.23599999999999999</v>
          </cell>
          <cell r="N2385" t="str">
            <v>5W</v>
          </cell>
          <cell r="P2385" t="str">
            <v>PONCVL</v>
          </cell>
          <cell r="Q2385" t="str">
            <v>/  /</v>
          </cell>
        </row>
        <row r="2386">
          <cell r="A2386">
            <v>4087829</v>
          </cell>
          <cell r="B2386">
            <v>43815</v>
          </cell>
          <cell r="C2386" t="str">
            <v>PON</v>
          </cell>
          <cell r="D2386">
            <v>637078241</v>
          </cell>
          <cell r="E2386" t="str">
            <v>CV C20 S5 Dsc Ult Blk/D-L/T56</v>
          </cell>
          <cell r="F2386">
            <v>1</v>
          </cell>
          <cell r="G2386">
            <v>0</v>
          </cell>
          <cell r="I2386" t="str">
            <v>JL122</v>
          </cell>
          <cell r="L2386">
            <v>13.8</v>
          </cell>
          <cell r="M2386">
            <v>0.24399999999999999</v>
          </cell>
          <cell r="N2386" t="str">
            <v>5W</v>
          </cell>
          <cell r="P2386" t="str">
            <v>PONCVL</v>
          </cell>
          <cell r="Q2386" t="str">
            <v>/  /</v>
          </cell>
        </row>
        <row r="2387">
          <cell r="A2387">
            <v>4089556</v>
          </cell>
          <cell r="B2387">
            <v>43815</v>
          </cell>
          <cell r="C2387" t="str">
            <v>PON</v>
          </cell>
          <cell r="D2387">
            <v>637078241</v>
          </cell>
          <cell r="E2387" t="str">
            <v>CV C20 S5 Dsc Ult Blk/D-L/T56</v>
          </cell>
          <cell r="F2387">
            <v>1</v>
          </cell>
          <cell r="G2387">
            <v>0</v>
          </cell>
          <cell r="I2387" t="str">
            <v>JL122</v>
          </cell>
          <cell r="L2387">
            <v>13.8</v>
          </cell>
          <cell r="M2387">
            <v>0.24399999999999999</v>
          </cell>
          <cell r="N2387" t="str">
            <v>5W</v>
          </cell>
          <cell r="P2387" t="str">
            <v>PONCVL</v>
          </cell>
          <cell r="Q2387" t="str">
            <v>/  /</v>
          </cell>
        </row>
        <row r="2388">
          <cell r="A2388">
            <v>4577211</v>
          </cell>
          <cell r="B2388">
            <v>44175</v>
          </cell>
          <cell r="C2388" t="str">
            <v>PON</v>
          </cell>
          <cell r="D2388">
            <v>637006016</v>
          </cell>
          <cell r="E2388" t="str">
            <v>F21 IZ MAX DISC 9.8 61 XXL</v>
          </cell>
          <cell r="F2388">
            <v>1</v>
          </cell>
          <cell r="G2388">
            <v>0</v>
          </cell>
          <cell r="I2388" t="str">
            <v>JL131</v>
          </cell>
          <cell r="L2388">
            <v>13.7</v>
          </cell>
          <cell r="M2388">
            <v>0.25800000000000001</v>
          </cell>
          <cell r="N2388" t="str">
            <v>5W</v>
          </cell>
          <cell r="P2388" t="str">
            <v>PONFCS</v>
          </cell>
          <cell r="Q2388" t="str">
            <v>/  /</v>
          </cell>
        </row>
        <row r="2389">
          <cell r="A2389">
            <v>4632506</v>
          </cell>
          <cell r="B2389">
            <v>44217</v>
          </cell>
          <cell r="C2389" t="str">
            <v>PON</v>
          </cell>
          <cell r="D2389">
            <v>641078038</v>
          </cell>
          <cell r="E2389" t="str">
            <v>C21 Aspero GRX Black/Gold 54</v>
          </cell>
          <cell r="F2389">
            <v>1</v>
          </cell>
          <cell r="G2389">
            <v>0</v>
          </cell>
          <cell r="I2389" t="str">
            <v>JL131</v>
          </cell>
          <cell r="L2389">
            <v>14.6</v>
          </cell>
          <cell r="M2389">
            <v>0.23200000000000001</v>
          </cell>
          <cell r="N2389" t="str">
            <v>5W</v>
          </cell>
          <cell r="P2389" t="str">
            <v>PONCVL</v>
          </cell>
          <cell r="Q2389" t="str">
            <v>/  /</v>
          </cell>
        </row>
        <row r="2390">
          <cell r="A2390">
            <v>4632578</v>
          </cell>
          <cell r="B2390">
            <v>44217</v>
          </cell>
          <cell r="C2390" t="str">
            <v>PON</v>
          </cell>
          <cell r="D2390">
            <v>641078061</v>
          </cell>
          <cell r="E2390" t="str">
            <v>C21 Aspero GRX Seabreeze/Blu51</v>
          </cell>
          <cell r="F2390">
            <v>1</v>
          </cell>
          <cell r="G2390">
            <v>0</v>
          </cell>
          <cell r="I2390" t="str">
            <v>JL131</v>
          </cell>
          <cell r="L2390">
            <v>14.6</v>
          </cell>
          <cell r="M2390">
            <v>0.23200000000000001</v>
          </cell>
          <cell r="N2390" t="str">
            <v>5W</v>
          </cell>
          <cell r="P2390" t="str">
            <v>PONCVL</v>
          </cell>
          <cell r="Q2390" t="str">
            <v>/  /</v>
          </cell>
        </row>
        <row r="2391">
          <cell r="A2391">
            <v>4632579</v>
          </cell>
          <cell r="B2391">
            <v>44217</v>
          </cell>
          <cell r="C2391" t="str">
            <v>PON</v>
          </cell>
          <cell r="D2391">
            <v>641078061</v>
          </cell>
          <cell r="E2391" t="str">
            <v>C21 Aspero GRX Seabreeze/Blu51</v>
          </cell>
          <cell r="F2391">
            <v>1</v>
          </cell>
          <cell r="G2391">
            <v>0</v>
          </cell>
          <cell r="I2391" t="str">
            <v>JL131</v>
          </cell>
          <cell r="L2391">
            <v>14.6</v>
          </cell>
          <cell r="M2391">
            <v>0.23200000000000001</v>
          </cell>
          <cell r="N2391" t="str">
            <v>5W</v>
          </cell>
          <cell r="P2391" t="str">
            <v>PONCVL</v>
          </cell>
          <cell r="Q2391" t="str">
            <v>/  /</v>
          </cell>
        </row>
        <row r="2392">
          <cell r="A2392">
            <v>3932932</v>
          </cell>
          <cell r="B2392">
            <v>43780</v>
          </cell>
          <cell r="C2392" t="str">
            <v>PON</v>
          </cell>
          <cell r="D2392">
            <v>633078613</v>
          </cell>
          <cell r="E2392" t="str">
            <v>CV C19P3X UltDi2XL Rvr/Flu/Blk</v>
          </cell>
          <cell r="F2392">
            <v>1</v>
          </cell>
          <cell r="G2392">
            <v>0</v>
          </cell>
          <cell r="I2392" t="str">
            <v>JL132</v>
          </cell>
          <cell r="L2392">
            <v>17.7</v>
          </cell>
          <cell r="M2392">
            <v>0.26</v>
          </cell>
          <cell r="N2392" t="str">
            <v>5W</v>
          </cell>
          <cell r="P2392" t="str">
            <v>PONCVL</v>
          </cell>
          <cell r="Q2392" t="str">
            <v>/  /</v>
          </cell>
        </row>
        <row r="2393">
          <cell r="A2393">
            <v>4041251</v>
          </cell>
          <cell r="B2393">
            <v>43853</v>
          </cell>
          <cell r="C2393" t="str">
            <v>PON</v>
          </cell>
          <cell r="D2393">
            <v>633006064</v>
          </cell>
          <cell r="E2393" t="str">
            <v>FC F19 IZ Max Disc 8.7 56L Slv</v>
          </cell>
          <cell r="F2393">
            <v>1</v>
          </cell>
          <cell r="G2393">
            <v>0</v>
          </cell>
          <cell r="I2393" t="str">
            <v>JL141</v>
          </cell>
          <cell r="L2393">
            <v>14</v>
          </cell>
          <cell r="M2393">
            <v>0.21</v>
          </cell>
          <cell r="N2393" t="str">
            <v>5W</v>
          </cell>
          <cell r="P2393" t="str">
            <v>PONFCS</v>
          </cell>
          <cell r="Q2393" t="str">
            <v>/  /</v>
          </cell>
        </row>
        <row r="2394">
          <cell r="A2394">
            <v>4081310</v>
          </cell>
          <cell r="B2394">
            <v>43762</v>
          </cell>
          <cell r="C2394" t="str">
            <v>PON</v>
          </cell>
          <cell r="D2394">
            <v>633006335</v>
          </cell>
          <cell r="E2394" t="str">
            <v>FC F19 Mare 9.7Ltd 60XXLSalmon</v>
          </cell>
          <cell r="F2394">
            <v>1</v>
          </cell>
          <cell r="G2394">
            <v>0</v>
          </cell>
          <cell r="I2394" t="str">
            <v>JL141</v>
          </cell>
          <cell r="L2394">
            <v>14.4</v>
          </cell>
          <cell r="M2394">
            <v>0.23200000000000001</v>
          </cell>
          <cell r="N2394" t="str">
            <v>5W</v>
          </cell>
          <cell r="P2394" t="str">
            <v>PONFCS</v>
          </cell>
          <cell r="Q2394" t="str">
            <v>/  /</v>
          </cell>
        </row>
        <row r="2395">
          <cell r="A2395">
            <v>4632485</v>
          </cell>
          <cell r="B2395">
            <v>44217</v>
          </cell>
          <cell r="C2395" t="str">
            <v>PON</v>
          </cell>
          <cell r="D2395">
            <v>641078015</v>
          </cell>
          <cell r="E2395" t="str">
            <v>C21 ASPERO FCE BLACK/GOLD 56</v>
          </cell>
          <cell r="F2395">
            <v>1</v>
          </cell>
          <cell r="G2395">
            <v>0</v>
          </cell>
          <cell r="I2395" t="str">
            <v>JL141</v>
          </cell>
          <cell r="L2395">
            <v>14.4</v>
          </cell>
          <cell r="M2395">
            <v>0.23300000000000001</v>
          </cell>
          <cell r="N2395" t="str">
            <v>5W</v>
          </cell>
          <cell r="P2395" t="str">
            <v>PONCVL</v>
          </cell>
          <cell r="Q2395" t="str">
            <v>/  /</v>
          </cell>
        </row>
        <row r="2396">
          <cell r="A2396">
            <v>4632486</v>
          </cell>
          <cell r="B2396">
            <v>44217</v>
          </cell>
          <cell r="C2396" t="str">
            <v>PON</v>
          </cell>
          <cell r="D2396">
            <v>641078015</v>
          </cell>
          <cell r="E2396" t="str">
            <v>C21 ASPERO FCE BLACK/GOLD 56</v>
          </cell>
          <cell r="F2396">
            <v>1</v>
          </cell>
          <cell r="G2396">
            <v>0</v>
          </cell>
          <cell r="I2396" t="str">
            <v>JL141</v>
          </cell>
          <cell r="L2396">
            <v>14.4</v>
          </cell>
          <cell r="M2396">
            <v>0.23300000000000001</v>
          </cell>
          <cell r="N2396" t="str">
            <v>5W</v>
          </cell>
          <cell r="P2396" t="str">
            <v>PONCVL</v>
          </cell>
          <cell r="Q2396" t="str">
            <v>/  /</v>
          </cell>
        </row>
        <row r="2397">
          <cell r="A2397">
            <v>4632487</v>
          </cell>
          <cell r="B2397">
            <v>44217</v>
          </cell>
          <cell r="C2397" t="str">
            <v>PON</v>
          </cell>
          <cell r="D2397">
            <v>641078015</v>
          </cell>
          <cell r="E2397" t="str">
            <v>C21 ASPERO FCE BLACK/GOLD 56</v>
          </cell>
          <cell r="F2397">
            <v>1</v>
          </cell>
          <cell r="G2397">
            <v>0</v>
          </cell>
          <cell r="I2397" t="str">
            <v>JL141</v>
          </cell>
          <cell r="L2397">
            <v>14.4</v>
          </cell>
          <cell r="M2397">
            <v>0.23300000000000001</v>
          </cell>
          <cell r="N2397" t="str">
            <v>5W</v>
          </cell>
          <cell r="P2397" t="str">
            <v>PONCVL</v>
          </cell>
          <cell r="Q2397" t="str">
            <v>/  /</v>
          </cell>
        </row>
        <row r="2398">
          <cell r="A2398">
            <v>4577453</v>
          </cell>
          <cell r="B2398">
            <v>44175</v>
          </cell>
          <cell r="C2398" t="str">
            <v>PON</v>
          </cell>
          <cell r="D2398">
            <v>641080002</v>
          </cell>
          <cell r="E2398" t="str">
            <v>F21 IZ MAX DISC F/S 9 52S CBN</v>
          </cell>
          <cell r="F2398">
            <v>1</v>
          </cell>
          <cell r="G2398">
            <v>0</v>
          </cell>
          <cell r="I2398" t="str">
            <v>JL141</v>
          </cell>
          <cell r="L2398">
            <v>5.9</v>
          </cell>
          <cell r="M2398">
            <v>0.13800000000000001</v>
          </cell>
          <cell r="N2398" t="str">
            <v>5W</v>
          </cell>
          <cell r="P2398" t="str">
            <v>PONFCS</v>
          </cell>
          <cell r="Q2398" t="str">
            <v>/  /</v>
          </cell>
        </row>
        <row r="2399">
          <cell r="A2399">
            <v>4577455</v>
          </cell>
          <cell r="B2399">
            <v>44175</v>
          </cell>
          <cell r="C2399" t="str">
            <v>PON</v>
          </cell>
          <cell r="D2399">
            <v>641080013</v>
          </cell>
          <cell r="E2399" t="str">
            <v>F21 IZ MAX DISC F/S 54M L/G</v>
          </cell>
          <cell r="F2399">
            <v>1</v>
          </cell>
          <cell r="G2399">
            <v>0</v>
          </cell>
          <cell r="I2399" t="str">
            <v>JL141</v>
          </cell>
          <cell r="L2399">
            <v>5.9</v>
          </cell>
          <cell r="M2399">
            <v>0.14799999999999999</v>
          </cell>
          <cell r="N2399" t="str">
            <v>5W</v>
          </cell>
          <cell r="P2399" t="str">
            <v>PONFCS</v>
          </cell>
          <cell r="Q2399" t="str">
            <v>/  /</v>
          </cell>
        </row>
        <row r="2400">
          <cell r="A2400">
            <v>4032960</v>
          </cell>
          <cell r="B2400">
            <v>43850</v>
          </cell>
          <cell r="C2400" t="str">
            <v>PON</v>
          </cell>
          <cell r="D2400">
            <v>613508062</v>
          </cell>
          <cell r="E2400" t="str">
            <v>FC F13 FS Mares CX 3.0 56 LG</v>
          </cell>
          <cell r="F2400">
            <v>1</v>
          </cell>
          <cell r="G2400">
            <v>0</v>
          </cell>
          <cell r="I2400" t="str">
            <v>JL142</v>
          </cell>
          <cell r="L2400">
            <v>6.2</v>
          </cell>
          <cell r="M2400">
            <v>0.17</v>
          </cell>
          <cell r="N2400" t="str">
            <v>5W</v>
          </cell>
          <cell r="P2400" t="str">
            <v>PONFCS</v>
          </cell>
          <cell r="Q2400" t="str">
            <v>/  /</v>
          </cell>
        </row>
        <row r="2401">
          <cell r="A2401">
            <v>4086067</v>
          </cell>
          <cell r="B2401">
            <v>43850</v>
          </cell>
          <cell r="C2401" t="str">
            <v>PON</v>
          </cell>
          <cell r="D2401">
            <v>613508062</v>
          </cell>
          <cell r="E2401" t="str">
            <v>FC F13 FS Mares CX 3.0 56 LG</v>
          </cell>
          <cell r="F2401">
            <v>1</v>
          </cell>
          <cell r="G2401">
            <v>0</v>
          </cell>
          <cell r="I2401" t="str">
            <v>JL142</v>
          </cell>
          <cell r="L2401">
            <v>6.2</v>
          </cell>
          <cell r="M2401">
            <v>0.17</v>
          </cell>
          <cell r="N2401" t="str">
            <v>5W</v>
          </cell>
          <cell r="P2401" t="str">
            <v>PONFCS</v>
          </cell>
          <cell r="Q2401" t="str">
            <v>/  /</v>
          </cell>
        </row>
        <row r="2402">
          <cell r="A2402">
            <v>4087257</v>
          </cell>
          <cell r="B2402">
            <v>43850</v>
          </cell>
          <cell r="C2402" t="str">
            <v>PON</v>
          </cell>
          <cell r="D2402">
            <v>613508062</v>
          </cell>
          <cell r="E2402" t="str">
            <v>FC F13 FS Mares CX 3.0 56 LG</v>
          </cell>
          <cell r="F2402">
            <v>1</v>
          </cell>
          <cell r="G2402">
            <v>0</v>
          </cell>
          <cell r="I2402" t="str">
            <v>JL142</v>
          </cell>
          <cell r="L2402">
            <v>6.2</v>
          </cell>
          <cell r="M2402">
            <v>0.17</v>
          </cell>
          <cell r="N2402" t="str">
            <v>5W</v>
          </cell>
          <cell r="P2402" t="str">
            <v>PONFCS</v>
          </cell>
          <cell r="Q2402" t="str">
            <v>/  /</v>
          </cell>
        </row>
        <row r="2403">
          <cell r="A2403">
            <v>4088511</v>
          </cell>
          <cell r="B2403">
            <v>43850</v>
          </cell>
          <cell r="C2403" t="str">
            <v>PON</v>
          </cell>
          <cell r="D2403">
            <v>613508062</v>
          </cell>
          <cell r="E2403" t="str">
            <v>FC F13 FS Mares CX 3.0 56 LG</v>
          </cell>
          <cell r="F2403">
            <v>1</v>
          </cell>
          <cell r="G2403">
            <v>0</v>
          </cell>
          <cell r="I2403" t="str">
            <v>JL142</v>
          </cell>
          <cell r="L2403">
            <v>6.2</v>
          </cell>
          <cell r="M2403">
            <v>0.17</v>
          </cell>
          <cell r="N2403" t="str">
            <v>5W</v>
          </cell>
          <cell r="P2403" t="str">
            <v>PONFCS</v>
          </cell>
          <cell r="Q2403" t="str">
            <v>/  /</v>
          </cell>
        </row>
        <row r="2404">
          <cell r="A2404">
            <v>4586908</v>
          </cell>
          <cell r="B2404">
            <v>44181</v>
          </cell>
          <cell r="C2404" t="str">
            <v>PON</v>
          </cell>
          <cell r="D2404">
            <v>637019314</v>
          </cell>
          <cell r="E2404" t="str">
            <v>F21 Whistler 3.8 L48 F Green</v>
          </cell>
          <cell r="F2404">
            <v>1</v>
          </cell>
          <cell r="G2404">
            <v>0</v>
          </cell>
          <cell r="I2404" t="str">
            <v>JO022</v>
          </cell>
          <cell r="L2404">
            <v>21</v>
          </cell>
          <cell r="M2404">
            <v>0.38700000000000001</v>
          </cell>
          <cell r="N2404" t="str">
            <v>5W</v>
          </cell>
          <cell r="P2404" t="str">
            <v>PONFCS</v>
          </cell>
          <cell r="Q2404" t="str">
            <v>/  /</v>
          </cell>
        </row>
        <row r="2405">
          <cell r="A2405">
            <v>4586909</v>
          </cell>
          <cell r="B2405">
            <v>44181</v>
          </cell>
          <cell r="C2405" t="str">
            <v>PON</v>
          </cell>
          <cell r="D2405">
            <v>637019314</v>
          </cell>
          <cell r="E2405" t="str">
            <v>F21 Whistler 3.8 L48 F Green</v>
          </cell>
          <cell r="F2405">
            <v>1</v>
          </cell>
          <cell r="G2405">
            <v>0</v>
          </cell>
          <cell r="I2405" t="str">
            <v>JO022</v>
          </cell>
          <cell r="L2405">
            <v>21</v>
          </cell>
          <cell r="M2405">
            <v>0.38700000000000001</v>
          </cell>
          <cell r="N2405" t="str">
            <v>5W</v>
          </cell>
          <cell r="P2405" t="str">
            <v>PONFCS</v>
          </cell>
          <cell r="Q2405" t="str">
            <v>/  /</v>
          </cell>
        </row>
        <row r="2406">
          <cell r="A2406">
            <v>3999081</v>
          </cell>
          <cell r="B2406">
            <v>43815</v>
          </cell>
          <cell r="C2406" t="str">
            <v>PON</v>
          </cell>
          <cell r="D2406">
            <v>637006020</v>
          </cell>
          <cell r="E2406" t="str">
            <v>F20 IZ Max Disc 9.7 AXS 47 XXS</v>
          </cell>
          <cell r="F2406">
            <v>1</v>
          </cell>
          <cell r="G2406">
            <v>0</v>
          </cell>
          <cell r="I2406" t="str">
            <v>JO031</v>
          </cell>
          <cell r="L2406">
            <v>13.4</v>
          </cell>
          <cell r="M2406">
            <v>0.215</v>
          </cell>
          <cell r="N2406" t="str">
            <v>5W</v>
          </cell>
          <cell r="P2406" t="str">
            <v>PONFCS</v>
          </cell>
          <cell r="Q2406" t="str">
            <v>/  /</v>
          </cell>
        </row>
        <row r="2407">
          <cell r="A2407">
            <v>3921554</v>
          </cell>
          <cell r="B2407">
            <v>43773</v>
          </cell>
          <cell r="C2407" t="str">
            <v>PON</v>
          </cell>
          <cell r="D2407">
            <v>628078160</v>
          </cell>
          <cell r="E2407" t="str">
            <v>CV C18 R5 Disc DA Di2 48 XS</v>
          </cell>
          <cell r="F2407">
            <v>1</v>
          </cell>
          <cell r="G2407">
            <v>0</v>
          </cell>
          <cell r="I2407" t="str">
            <v>JO041</v>
          </cell>
          <cell r="L2407">
            <v>12.2</v>
          </cell>
          <cell r="M2407">
            <v>0.23200000000000001</v>
          </cell>
          <cell r="N2407" t="str">
            <v>5W</v>
          </cell>
          <cell r="P2407" t="str">
            <v>PONCVL</v>
          </cell>
          <cell r="Q2407" t="str">
            <v>/  /</v>
          </cell>
        </row>
        <row r="2408">
          <cell r="A2408">
            <v>4081302</v>
          </cell>
          <cell r="B2408">
            <v>43801</v>
          </cell>
          <cell r="C2408" t="str">
            <v>PON</v>
          </cell>
          <cell r="D2408">
            <v>633006302</v>
          </cell>
          <cell r="E2408" t="str">
            <v>Focus F19 Mares 9.9 54M Orange</v>
          </cell>
          <cell r="F2408">
            <v>1</v>
          </cell>
          <cell r="G2408">
            <v>0</v>
          </cell>
          <cell r="I2408" t="str">
            <v>JO041</v>
          </cell>
          <cell r="L2408">
            <v>13.8</v>
          </cell>
          <cell r="M2408">
            <v>0.24299999999999999</v>
          </cell>
          <cell r="N2408" t="str">
            <v>5W</v>
          </cell>
          <cell r="P2408" t="str">
            <v>PONFCS</v>
          </cell>
          <cell r="Q2408" t="str">
            <v>/  /</v>
          </cell>
        </row>
        <row r="2409">
          <cell r="A2409">
            <v>3951693</v>
          </cell>
          <cell r="B2409">
            <v>43789</v>
          </cell>
          <cell r="C2409" t="str">
            <v>PON</v>
          </cell>
          <cell r="D2409">
            <v>628078191</v>
          </cell>
          <cell r="E2409" t="str">
            <v>C18 R5 DA 9100 51 SM</v>
          </cell>
          <cell r="F2409">
            <v>1</v>
          </cell>
          <cell r="G2409">
            <v>0</v>
          </cell>
          <cell r="I2409" t="str">
            <v>JO051</v>
          </cell>
          <cell r="L2409">
            <v>11.6</v>
          </cell>
          <cell r="M2409">
            <v>0.20200000000000001</v>
          </cell>
          <cell r="N2409" t="str">
            <v>5W</v>
          </cell>
          <cell r="P2409" t="str">
            <v>PONCVL</v>
          </cell>
          <cell r="Q2409" t="str">
            <v>/  /</v>
          </cell>
        </row>
        <row r="2410">
          <cell r="A2410">
            <v>4587115</v>
          </cell>
          <cell r="B2410">
            <v>44181</v>
          </cell>
          <cell r="C2410" t="str">
            <v>PON</v>
          </cell>
          <cell r="D2410">
            <v>637019381</v>
          </cell>
          <cell r="E2410" t="str">
            <v>F21 Whistler 3.5 S40 F Orange</v>
          </cell>
          <cell r="F2410">
            <v>1</v>
          </cell>
          <cell r="G2410">
            <v>0</v>
          </cell>
          <cell r="I2410" t="str">
            <v>JO062</v>
          </cell>
          <cell r="L2410">
            <v>19.600000000000001</v>
          </cell>
          <cell r="M2410">
            <v>0.38700000000000001</v>
          </cell>
          <cell r="N2410" t="str">
            <v>5W</v>
          </cell>
          <cell r="P2410" t="str">
            <v>PONFCS</v>
          </cell>
          <cell r="Q2410" t="str">
            <v>/  /</v>
          </cell>
        </row>
        <row r="2411">
          <cell r="A2411">
            <v>4587116</v>
          </cell>
          <cell r="B2411">
            <v>44181</v>
          </cell>
          <cell r="C2411" t="str">
            <v>PON</v>
          </cell>
          <cell r="D2411">
            <v>637019381</v>
          </cell>
          <cell r="E2411" t="str">
            <v>F21 Whistler 3.5 S40 F Orange</v>
          </cell>
          <cell r="F2411">
            <v>1</v>
          </cell>
          <cell r="G2411">
            <v>0</v>
          </cell>
          <cell r="I2411" t="str">
            <v>JO062</v>
          </cell>
          <cell r="L2411">
            <v>19.600000000000001</v>
          </cell>
          <cell r="M2411">
            <v>0.38700000000000001</v>
          </cell>
          <cell r="N2411" t="str">
            <v>5W</v>
          </cell>
          <cell r="P2411" t="str">
            <v>PONFCS</v>
          </cell>
          <cell r="Q2411" t="str">
            <v>/  /</v>
          </cell>
        </row>
        <row r="2412">
          <cell r="A2412">
            <v>3940251</v>
          </cell>
          <cell r="B2412">
            <v>43783</v>
          </cell>
          <cell r="C2412" t="str">
            <v>PON</v>
          </cell>
          <cell r="D2412">
            <v>628078191</v>
          </cell>
          <cell r="E2412" t="str">
            <v>C18 R5 DA 9100 51 SM</v>
          </cell>
          <cell r="F2412">
            <v>1</v>
          </cell>
          <cell r="G2412">
            <v>0</v>
          </cell>
          <cell r="I2412" t="str">
            <v>JO072</v>
          </cell>
          <cell r="L2412">
            <v>11.6</v>
          </cell>
          <cell r="M2412">
            <v>0.20200000000000001</v>
          </cell>
          <cell r="N2412" t="str">
            <v>5W</v>
          </cell>
          <cell r="P2412" t="str">
            <v>PONCVL</v>
          </cell>
          <cell r="Q2412" t="str">
            <v>/  /</v>
          </cell>
        </row>
        <row r="2413">
          <cell r="A2413">
            <v>3940676</v>
          </cell>
          <cell r="B2413">
            <v>43784</v>
          </cell>
          <cell r="C2413" t="str">
            <v>PON</v>
          </cell>
          <cell r="D2413">
            <v>633078613</v>
          </cell>
          <cell r="E2413" t="str">
            <v>CV C19P3X UltDi2XL Rvr/Flu/Blk</v>
          </cell>
          <cell r="F2413">
            <v>1</v>
          </cell>
          <cell r="G2413">
            <v>0</v>
          </cell>
          <cell r="I2413" t="str">
            <v>JO072</v>
          </cell>
          <cell r="L2413">
            <v>17.7</v>
          </cell>
          <cell r="M2413">
            <v>0.26</v>
          </cell>
          <cell r="N2413" t="str">
            <v>5W</v>
          </cell>
          <cell r="P2413" t="str">
            <v>PONCVL</v>
          </cell>
          <cell r="Q2413" t="str">
            <v>/  /</v>
          </cell>
        </row>
        <row r="2414">
          <cell r="A2414">
            <v>4081459</v>
          </cell>
          <cell r="B2414">
            <v>43784</v>
          </cell>
          <cell r="C2414" t="str">
            <v>PON</v>
          </cell>
          <cell r="D2414">
            <v>633078613</v>
          </cell>
          <cell r="E2414" t="str">
            <v>CV C19P3X UltDi2XL Rvr/Flu/Blk</v>
          </cell>
          <cell r="F2414">
            <v>1</v>
          </cell>
          <cell r="G2414">
            <v>0</v>
          </cell>
          <cell r="I2414" t="str">
            <v>JO072</v>
          </cell>
          <cell r="L2414">
            <v>17.7</v>
          </cell>
          <cell r="M2414">
            <v>0.26</v>
          </cell>
          <cell r="N2414" t="str">
            <v>5W</v>
          </cell>
          <cell r="P2414" t="str">
            <v>PONCVL</v>
          </cell>
          <cell r="Q2414" t="str">
            <v>/  /</v>
          </cell>
        </row>
        <row r="2415">
          <cell r="A2415">
            <v>4577448</v>
          </cell>
          <cell r="B2415">
            <v>44175</v>
          </cell>
          <cell r="C2415" t="str">
            <v>PON</v>
          </cell>
          <cell r="D2415">
            <v>641006412</v>
          </cell>
          <cell r="E2415" t="str">
            <v>F21 Atlas 6.8 M 54Cm</v>
          </cell>
          <cell r="F2415">
            <v>1</v>
          </cell>
          <cell r="G2415">
            <v>0</v>
          </cell>
          <cell r="I2415" t="str">
            <v>JO072</v>
          </cell>
          <cell r="L2415">
            <v>17.2</v>
          </cell>
          <cell r="M2415">
            <v>0.37</v>
          </cell>
          <cell r="N2415" t="str">
            <v>5W</v>
          </cell>
          <cell r="P2415" t="str">
            <v>PONFCS</v>
          </cell>
          <cell r="Q2415" t="str">
            <v>/  /</v>
          </cell>
        </row>
        <row r="2416">
          <cell r="A2416">
            <v>4577449</v>
          </cell>
          <cell r="B2416">
            <v>44175</v>
          </cell>
          <cell r="C2416" t="str">
            <v>PON</v>
          </cell>
          <cell r="D2416">
            <v>641006412</v>
          </cell>
          <cell r="E2416" t="str">
            <v>F21 Atlas 6.8 M 54Cm</v>
          </cell>
          <cell r="F2416">
            <v>1</v>
          </cell>
          <cell r="G2416">
            <v>0</v>
          </cell>
          <cell r="I2416" t="str">
            <v>JO072</v>
          </cell>
          <cell r="L2416">
            <v>17.2</v>
          </cell>
          <cell r="M2416">
            <v>0.37</v>
          </cell>
          <cell r="N2416" t="str">
            <v>5W</v>
          </cell>
          <cell r="P2416" t="str">
            <v>PONFCS</v>
          </cell>
          <cell r="Q2416" t="str">
            <v>/  /</v>
          </cell>
        </row>
        <row r="2417">
          <cell r="A2417">
            <v>4081119</v>
          </cell>
          <cell r="B2417">
            <v>43783</v>
          </cell>
          <cell r="C2417" t="str">
            <v>PON</v>
          </cell>
          <cell r="D2417">
            <v>628078175</v>
          </cell>
          <cell r="E2417" t="str">
            <v>C18 R5 DA Di2 9150 61 XXL</v>
          </cell>
          <cell r="F2417">
            <v>1</v>
          </cell>
          <cell r="G2417">
            <v>0</v>
          </cell>
          <cell r="I2417" t="str">
            <v>JO081</v>
          </cell>
          <cell r="L2417">
            <v>11.8</v>
          </cell>
          <cell r="M2417">
            <v>0.20300000000000001</v>
          </cell>
          <cell r="N2417" t="str">
            <v>5W</v>
          </cell>
          <cell r="P2417" t="str">
            <v>PONCVL</v>
          </cell>
          <cell r="Q2417" t="str">
            <v>/  /</v>
          </cell>
        </row>
        <row r="2418">
          <cell r="A2418">
            <v>4577451</v>
          </cell>
          <cell r="B2418">
            <v>44175</v>
          </cell>
          <cell r="C2418" t="str">
            <v>PON</v>
          </cell>
          <cell r="D2418">
            <v>641006413</v>
          </cell>
          <cell r="E2418" t="str">
            <v>F21 Atlas 6.8 L 57Cm</v>
          </cell>
          <cell r="F2418">
            <v>1</v>
          </cell>
          <cell r="G2418">
            <v>0</v>
          </cell>
          <cell r="I2418" t="str">
            <v>JO082</v>
          </cell>
          <cell r="L2418">
            <v>17.3</v>
          </cell>
          <cell r="M2418">
            <v>0.37</v>
          </cell>
          <cell r="N2418" t="str">
            <v>5W</v>
          </cell>
          <cell r="P2418" t="str">
            <v>PONFCS</v>
          </cell>
          <cell r="Q2418" t="str">
            <v>/  /</v>
          </cell>
        </row>
        <row r="2419">
          <cell r="A2419">
            <v>3940674</v>
          </cell>
          <cell r="B2419">
            <v>43784</v>
          </cell>
          <cell r="C2419" t="str">
            <v>PON</v>
          </cell>
          <cell r="D2419">
            <v>633078612</v>
          </cell>
          <cell r="E2419" t="str">
            <v>CV C19P3X UltDi2LG Rvr/Flu/Blk</v>
          </cell>
          <cell r="F2419">
            <v>1</v>
          </cell>
          <cell r="G2419">
            <v>0</v>
          </cell>
          <cell r="I2419" t="str">
            <v>JO101</v>
          </cell>
          <cell r="L2419">
            <v>15</v>
          </cell>
          <cell r="M2419">
            <v>0.23</v>
          </cell>
          <cell r="N2419" t="str">
            <v>5W</v>
          </cell>
          <cell r="P2419" t="str">
            <v>PONCVL</v>
          </cell>
          <cell r="Q2419" t="str">
            <v>/  /</v>
          </cell>
        </row>
        <row r="2420">
          <cell r="A2420">
            <v>4087603</v>
          </cell>
          <cell r="B2420">
            <v>43784</v>
          </cell>
          <cell r="C2420" t="str">
            <v>PON</v>
          </cell>
          <cell r="D2420">
            <v>633078612</v>
          </cell>
          <cell r="E2420" t="str">
            <v>CV C19P3X UltDi2LG Rvr/Flu/Blk</v>
          </cell>
          <cell r="F2420">
            <v>1</v>
          </cell>
          <cell r="G2420">
            <v>0</v>
          </cell>
          <cell r="I2420" t="str">
            <v>JO101</v>
          </cell>
          <cell r="L2420">
            <v>15</v>
          </cell>
          <cell r="M2420">
            <v>0.23</v>
          </cell>
          <cell r="N2420" t="str">
            <v>5W</v>
          </cell>
          <cell r="P2420" t="str">
            <v>PONCVL</v>
          </cell>
          <cell r="Q2420" t="str">
            <v>/  /</v>
          </cell>
        </row>
        <row r="2421">
          <cell r="A2421">
            <v>4089399</v>
          </cell>
          <cell r="B2421">
            <v>43784</v>
          </cell>
          <cell r="C2421" t="str">
            <v>PON</v>
          </cell>
          <cell r="D2421">
            <v>633078612</v>
          </cell>
          <cell r="E2421" t="str">
            <v>CV C19P3X UltDi2LG Rvr/Flu/Blk</v>
          </cell>
          <cell r="F2421">
            <v>1</v>
          </cell>
          <cell r="G2421">
            <v>0</v>
          </cell>
          <cell r="I2421" t="str">
            <v>JO101</v>
          </cell>
          <cell r="L2421">
            <v>15</v>
          </cell>
          <cell r="M2421">
            <v>0.23</v>
          </cell>
          <cell r="N2421" t="str">
            <v>5W</v>
          </cell>
          <cell r="P2421" t="str">
            <v>PONCVL</v>
          </cell>
          <cell r="Q2421" t="str">
            <v>/  /</v>
          </cell>
        </row>
        <row r="2422">
          <cell r="A2422">
            <v>3940163</v>
          </cell>
          <cell r="B2422">
            <v>43783</v>
          </cell>
          <cell r="C2422" t="str">
            <v>PON</v>
          </cell>
          <cell r="D2422">
            <v>628078191</v>
          </cell>
          <cell r="E2422" t="str">
            <v>C18 R5 DA 9100 51 SM</v>
          </cell>
          <cell r="F2422">
            <v>1</v>
          </cell>
          <cell r="G2422">
            <v>0</v>
          </cell>
          <cell r="I2422" t="str">
            <v>JO102</v>
          </cell>
          <cell r="L2422">
            <v>11.6</v>
          </cell>
          <cell r="M2422">
            <v>0.20200000000000001</v>
          </cell>
          <cell r="N2422" t="str">
            <v>5W</v>
          </cell>
          <cell r="P2422" t="str">
            <v>PONCVL</v>
          </cell>
          <cell r="Q2422" t="str">
            <v>/  /</v>
          </cell>
        </row>
        <row r="2423">
          <cell r="A2423">
            <v>3962921</v>
          </cell>
          <cell r="B2423">
            <v>43795</v>
          </cell>
          <cell r="C2423" t="str">
            <v>PON</v>
          </cell>
          <cell r="D2423">
            <v>633012301</v>
          </cell>
          <cell r="E2423" t="str">
            <v>FC F19 Mare 9.9 51s Ornge Team</v>
          </cell>
          <cell r="F2423">
            <v>1</v>
          </cell>
          <cell r="G2423">
            <v>0</v>
          </cell>
          <cell r="I2423" t="str">
            <v>JO111</v>
          </cell>
          <cell r="L2423">
            <v>12.4</v>
          </cell>
          <cell r="M2423">
            <v>0.35299999999999998</v>
          </cell>
          <cell r="N2423" t="str">
            <v>5W</v>
          </cell>
          <cell r="P2423" t="str">
            <v>PONFCS</v>
          </cell>
          <cell r="Q2423" t="str">
            <v>/  /</v>
          </cell>
        </row>
        <row r="2424">
          <cell r="A2424">
            <v>4087503</v>
          </cell>
          <cell r="B2424">
            <v>43795</v>
          </cell>
          <cell r="C2424" t="str">
            <v>PON</v>
          </cell>
          <cell r="D2424">
            <v>633012301</v>
          </cell>
          <cell r="E2424" t="str">
            <v>FC F19 Mare 9.9 51s Ornge Team</v>
          </cell>
          <cell r="F2424">
            <v>1</v>
          </cell>
          <cell r="G2424">
            <v>0</v>
          </cell>
          <cell r="I2424" t="str">
            <v>JO111</v>
          </cell>
          <cell r="L2424">
            <v>12.4</v>
          </cell>
          <cell r="M2424">
            <v>0.35299999999999998</v>
          </cell>
          <cell r="N2424" t="str">
            <v>5W</v>
          </cell>
          <cell r="P2424" t="str">
            <v>PONFCS</v>
          </cell>
          <cell r="Q2424" t="str">
            <v>/  /</v>
          </cell>
        </row>
        <row r="2425">
          <cell r="A2425">
            <v>4088839</v>
          </cell>
          <cell r="B2425">
            <v>43795</v>
          </cell>
          <cell r="C2425" t="str">
            <v>PON</v>
          </cell>
          <cell r="D2425">
            <v>633012301</v>
          </cell>
          <cell r="E2425" t="str">
            <v>FC F19 Mare 9.9 51s Ornge Team</v>
          </cell>
          <cell r="F2425">
            <v>1</v>
          </cell>
          <cell r="G2425">
            <v>0</v>
          </cell>
          <cell r="I2425" t="str">
            <v>JO111</v>
          </cell>
          <cell r="L2425">
            <v>12.4</v>
          </cell>
          <cell r="M2425">
            <v>0.35299999999999998</v>
          </cell>
          <cell r="N2425" t="str">
            <v>5W</v>
          </cell>
          <cell r="P2425" t="str">
            <v>PONFCS</v>
          </cell>
          <cell r="Q2425" t="str">
            <v>/  /</v>
          </cell>
        </row>
        <row r="2426">
          <cell r="A2426">
            <v>4011605</v>
          </cell>
          <cell r="B2426">
            <v>43822</v>
          </cell>
          <cell r="C2426" t="str">
            <v>PON</v>
          </cell>
          <cell r="D2426">
            <v>633012342</v>
          </cell>
          <cell r="E2426" t="str">
            <v>Focus F19 Mares 6.9 54M Show</v>
          </cell>
          <cell r="F2426">
            <v>1</v>
          </cell>
          <cell r="G2426">
            <v>0</v>
          </cell>
          <cell r="I2426" t="str">
            <v>JO111</v>
          </cell>
          <cell r="L2426">
            <v>13.5</v>
          </cell>
          <cell r="M2426">
            <v>0.33</v>
          </cell>
          <cell r="N2426" t="str">
            <v>5W</v>
          </cell>
          <cell r="P2426" t="str">
            <v>PONFCS</v>
          </cell>
          <cell r="Q2426" t="str">
            <v>/  /</v>
          </cell>
        </row>
        <row r="2427">
          <cell r="A2427">
            <v>4577287</v>
          </cell>
          <cell r="B2427">
            <v>44175</v>
          </cell>
          <cell r="C2427" t="str">
            <v>PON</v>
          </cell>
          <cell r="D2427">
            <v>637007052</v>
          </cell>
          <cell r="E2427" t="str">
            <v>F20 Jam 6.7 Nine 48 L</v>
          </cell>
          <cell r="F2427">
            <v>1</v>
          </cell>
          <cell r="G2427">
            <v>0</v>
          </cell>
          <cell r="I2427" t="str">
            <v>JO121</v>
          </cell>
          <cell r="L2427">
            <v>22</v>
          </cell>
          <cell r="M2427">
            <v>0.32300000000000001</v>
          </cell>
          <cell r="N2427" t="str">
            <v>5W</v>
          </cell>
          <cell r="P2427" t="str">
            <v>PONFCS</v>
          </cell>
          <cell r="Q2427" t="str">
            <v>/  /</v>
          </cell>
        </row>
        <row r="2428">
          <cell r="A2428">
            <v>4577288</v>
          </cell>
          <cell r="B2428">
            <v>44175</v>
          </cell>
          <cell r="C2428" t="str">
            <v>PON</v>
          </cell>
          <cell r="D2428">
            <v>637007052</v>
          </cell>
          <cell r="E2428" t="str">
            <v>F20 Jam 6.7 Nine 48 L</v>
          </cell>
          <cell r="F2428">
            <v>1</v>
          </cell>
          <cell r="G2428">
            <v>0</v>
          </cell>
          <cell r="I2428" t="str">
            <v>JO121</v>
          </cell>
          <cell r="L2428">
            <v>22</v>
          </cell>
          <cell r="M2428">
            <v>0.32300000000000001</v>
          </cell>
          <cell r="N2428" t="str">
            <v>5W</v>
          </cell>
          <cell r="P2428" t="str">
            <v>PONFCS</v>
          </cell>
          <cell r="Q2428" t="str">
            <v>/  /</v>
          </cell>
        </row>
        <row r="2429">
          <cell r="A2429">
            <v>4577289</v>
          </cell>
          <cell r="B2429">
            <v>44175</v>
          </cell>
          <cell r="C2429" t="str">
            <v>PON</v>
          </cell>
          <cell r="D2429">
            <v>637007052</v>
          </cell>
          <cell r="E2429" t="str">
            <v>F20 Jam 6.7 Nine 48 L</v>
          </cell>
          <cell r="F2429">
            <v>1</v>
          </cell>
          <cell r="G2429">
            <v>0</v>
          </cell>
          <cell r="I2429" t="str">
            <v>JO121</v>
          </cell>
          <cell r="L2429">
            <v>22</v>
          </cell>
          <cell r="M2429">
            <v>0.32300000000000001</v>
          </cell>
          <cell r="N2429" t="str">
            <v>5W</v>
          </cell>
          <cell r="P2429" t="str">
            <v>PONFCS</v>
          </cell>
          <cell r="Q2429" t="str">
            <v>/  /</v>
          </cell>
        </row>
        <row r="2430">
          <cell r="A2430">
            <v>4028503</v>
          </cell>
          <cell r="B2430">
            <v>43845</v>
          </cell>
          <cell r="C2430" t="str">
            <v>PON</v>
          </cell>
          <cell r="D2430">
            <v>633012302</v>
          </cell>
          <cell r="E2430" t="str">
            <v>FC F19 Mare 9.9 54m Ornge Team</v>
          </cell>
          <cell r="F2430">
            <v>1</v>
          </cell>
          <cell r="G2430">
            <v>0</v>
          </cell>
          <cell r="I2430" t="str">
            <v>JO131</v>
          </cell>
          <cell r="L2430">
            <v>12.16</v>
          </cell>
          <cell r="M2430">
            <v>0.33800000000000002</v>
          </cell>
          <cell r="N2430" t="str">
            <v>5W</v>
          </cell>
          <cell r="P2430" t="str">
            <v>PONFCS</v>
          </cell>
          <cell r="Q2430" t="str">
            <v>/  /</v>
          </cell>
        </row>
        <row r="2431">
          <cell r="A2431">
            <v>3962945</v>
          </cell>
          <cell r="B2431">
            <v>43795</v>
          </cell>
          <cell r="C2431" t="str">
            <v>PON</v>
          </cell>
          <cell r="D2431">
            <v>637012010</v>
          </cell>
          <cell r="E2431" t="str">
            <v>F20 IZ MAX DISC 9.8 48XXS</v>
          </cell>
          <cell r="F2431">
            <v>1</v>
          </cell>
          <cell r="G2431">
            <v>0</v>
          </cell>
          <cell r="I2431" t="str">
            <v>JO131</v>
          </cell>
          <cell r="L2431">
            <v>12</v>
          </cell>
          <cell r="M2431">
            <v>0.34</v>
          </cell>
          <cell r="N2431" t="str">
            <v>5W</v>
          </cell>
          <cell r="P2431" t="str">
            <v>PONFCS</v>
          </cell>
          <cell r="Q2431" t="str">
            <v>/  /</v>
          </cell>
        </row>
        <row r="2432">
          <cell r="A2432">
            <v>3940214</v>
          </cell>
          <cell r="B2432">
            <v>43783</v>
          </cell>
          <cell r="C2432" t="str">
            <v>PON</v>
          </cell>
          <cell r="D2432">
            <v>633078042</v>
          </cell>
          <cell r="E2432" t="str">
            <v>CV C19R5 DscDA Di2 54CMBlk/Gph</v>
          </cell>
          <cell r="F2432">
            <v>1</v>
          </cell>
          <cell r="G2432">
            <v>0</v>
          </cell>
          <cell r="I2432" t="str">
            <v>JO132</v>
          </cell>
          <cell r="L2432">
            <v>12.7</v>
          </cell>
          <cell r="M2432">
            <v>0.22500000000000001</v>
          </cell>
          <cell r="N2432" t="str">
            <v>5W</v>
          </cell>
          <cell r="P2432" t="str">
            <v>PONCVL</v>
          </cell>
          <cell r="Q2432" t="str">
            <v>/  /</v>
          </cell>
        </row>
        <row r="2433">
          <cell r="A2433">
            <v>4586957</v>
          </cell>
          <cell r="B2433">
            <v>44181</v>
          </cell>
          <cell r="C2433" t="str">
            <v>PON</v>
          </cell>
          <cell r="D2433">
            <v>641019323</v>
          </cell>
          <cell r="E2433" t="str">
            <v>F21 Whistler 3.7 M44 F Grey</v>
          </cell>
          <cell r="F2433">
            <v>1</v>
          </cell>
          <cell r="G2433">
            <v>0</v>
          </cell>
          <cell r="I2433" t="str">
            <v>JO132</v>
          </cell>
          <cell r="L2433">
            <v>19.899999999999999</v>
          </cell>
          <cell r="M2433">
            <v>0.38700000000000001</v>
          </cell>
          <cell r="N2433" t="str">
            <v>5W</v>
          </cell>
          <cell r="P2433" t="str">
            <v>PONFCS</v>
          </cell>
          <cell r="Q2433" t="str">
            <v>/  /</v>
          </cell>
        </row>
        <row r="2434">
          <cell r="A2434">
            <v>4011355</v>
          </cell>
          <cell r="B2434">
            <v>43822</v>
          </cell>
          <cell r="C2434" t="str">
            <v>PON</v>
          </cell>
          <cell r="D2434">
            <v>633078611</v>
          </cell>
          <cell r="E2434" t="str">
            <v>CV C19P3X UltDi2MD Rvr/Flu/Blk</v>
          </cell>
          <cell r="F2434">
            <v>1</v>
          </cell>
          <cell r="G2434">
            <v>0</v>
          </cell>
          <cell r="I2434" t="str">
            <v>JO142</v>
          </cell>
          <cell r="L2434">
            <v>16.100000000000001</v>
          </cell>
          <cell r="M2434">
            <v>0.23300000000000001</v>
          </cell>
          <cell r="N2434" t="str">
            <v>5W</v>
          </cell>
          <cell r="P2434" t="str">
            <v>PONCVL</v>
          </cell>
          <cell r="Q2434" t="str">
            <v>/  /</v>
          </cell>
        </row>
        <row r="2435">
          <cell r="A2435">
            <v>4586952</v>
          </cell>
          <cell r="B2435">
            <v>44181</v>
          </cell>
          <cell r="C2435" t="str">
            <v>PON</v>
          </cell>
          <cell r="D2435">
            <v>641019323</v>
          </cell>
          <cell r="E2435" t="str">
            <v>F21 Whistler 3.7 M44 F Grey</v>
          </cell>
          <cell r="F2435">
            <v>1</v>
          </cell>
          <cell r="G2435">
            <v>0</v>
          </cell>
          <cell r="I2435" t="str">
            <v>JO142</v>
          </cell>
          <cell r="L2435">
            <v>19.899999999999999</v>
          </cell>
          <cell r="M2435">
            <v>0.38700000000000001</v>
          </cell>
          <cell r="N2435" t="str">
            <v>5W</v>
          </cell>
          <cell r="P2435" t="str">
            <v>PONFCS</v>
          </cell>
          <cell r="Q2435" t="str">
            <v>/  /</v>
          </cell>
        </row>
        <row r="2436">
          <cell r="A2436">
            <v>4586953</v>
          </cell>
          <cell r="B2436">
            <v>44181</v>
          </cell>
          <cell r="C2436" t="str">
            <v>PON</v>
          </cell>
          <cell r="D2436">
            <v>641019323</v>
          </cell>
          <cell r="E2436" t="str">
            <v>F21 Whistler 3.7 M44 F Grey</v>
          </cell>
          <cell r="F2436">
            <v>1</v>
          </cell>
          <cell r="G2436">
            <v>0</v>
          </cell>
          <cell r="I2436" t="str">
            <v>JO142</v>
          </cell>
          <cell r="L2436">
            <v>19.899999999999999</v>
          </cell>
          <cell r="M2436">
            <v>0.38700000000000001</v>
          </cell>
          <cell r="N2436" t="str">
            <v>5W</v>
          </cell>
          <cell r="P2436" t="str">
            <v>PONFCS</v>
          </cell>
          <cell r="Q2436" t="str">
            <v>/  /</v>
          </cell>
        </row>
        <row r="2437">
          <cell r="A2437">
            <v>4586956</v>
          </cell>
          <cell r="B2437">
            <v>44181</v>
          </cell>
          <cell r="C2437" t="str">
            <v>PON</v>
          </cell>
          <cell r="D2437">
            <v>641019323</v>
          </cell>
          <cell r="E2437" t="str">
            <v>F21 Whistler 3.7 M44 F Grey</v>
          </cell>
          <cell r="F2437">
            <v>1</v>
          </cell>
          <cell r="G2437">
            <v>0</v>
          </cell>
          <cell r="I2437" t="str">
            <v>JO142</v>
          </cell>
          <cell r="L2437">
            <v>19.899999999999999</v>
          </cell>
          <cell r="M2437">
            <v>0.38700000000000001</v>
          </cell>
          <cell r="N2437" t="str">
            <v>5W</v>
          </cell>
          <cell r="P2437" t="str">
            <v>PONFCS</v>
          </cell>
          <cell r="Q2437" t="str">
            <v>/  /</v>
          </cell>
        </row>
        <row r="2438">
          <cell r="A2438">
            <v>4011369</v>
          </cell>
          <cell r="B2438">
            <v>43822</v>
          </cell>
          <cell r="C2438" t="str">
            <v>PON</v>
          </cell>
          <cell r="D2438" t="str">
            <v>FS628008213</v>
          </cell>
          <cell r="E2438" t="str">
            <v>Focus F18 IZ Race F/S 57L</v>
          </cell>
          <cell r="F2438">
            <v>1</v>
          </cell>
          <cell r="G2438">
            <v>0</v>
          </cell>
          <cell r="I2438" t="str">
            <v>JO142</v>
          </cell>
          <cell r="L2438">
            <v>7</v>
          </cell>
          <cell r="M2438">
            <v>0.24299999999999999</v>
          </cell>
          <cell r="N2438" t="str">
            <v>5W</v>
          </cell>
          <cell r="P2438" t="str">
            <v>PONFCS</v>
          </cell>
          <cell r="Q2438" t="str">
            <v>/  /</v>
          </cell>
        </row>
      </sheetData>
      <sheetData sheetId="3" refreshError="1"/>
      <sheetData sheetId="4" refreshError="1"/>
      <sheetData sheetId="5"/>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7" Type="http://schemas.openxmlformats.org/officeDocument/2006/relationships/ctrlProp" Target="../ctrlProps/ctrlProp4.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vmlDrawing" Target="../drawings/vmlDrawing2.vml"/><Relationship Id="rId16" Type="http://schemas.openxmlformats.org/officeDocument/2006/relationships/ctrlProp" Target="../ctrlProps/ctrlProp18.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7" Type="http://schemas.openxmlformats.org/officeDocument/2006/relationships/ctrlProp" Target="../ctrlProps/ctrlProp25.xml"/><Relationship Id="rId12" Type="http://schemas.openxmlformats.org/officeDocument/2006/relationships/ctrlProp" Target="../ctrlProps/ctrlProp30.xml"/><Relationship Id="rId2" Type="http://schemas.openxmlformats.org/officeDocument/2006/relationships/vmlDrawing" Target="../drawings/vmlDrawing5.vml"/><Relationship Id="rId16" Type="http://schemas.openxmlformats.org/officeDocument/2006/relationships/ctrlProp" Target="../ctrlProps/ctrlProp34.xml"/><Relationship Id="rId1" Type="http://schemas.openxmlformats.org/officeDocument/2006/relationships/printerSettings" Target="../printerSettings/printerSettings9.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4"/>
  <dimension ref="A1:X39"/>
  <sheetViews>
    <sheetView showGridLines="0" workbookViewId="0">
      <selection activeCell="B4" sqref="B4"/>
    </sheetView>
  </sheetViews>
  <sheetFormatPr defaultRowHeight="14.5"/>
  <cols>
    <col min="1" max="1" width="6.6328125" customWidth="1"/>
    <col min="2" max="2" width="32.453125" customWidth="1"/>
    <col min="3" max="3" width="10.1796875" customWidth="1"/>
    <col min="5" max="5" width="27.08984375" customWidth="1"/>
    <col min="9" max="9" width="11.08984375" customWidth="1"/>
  </cols>
  <sheetData>
    <row r="1" spans="1:24" ht="15" thickBot="1">
      <c r="A1" s="66"/>
      <c r="B1" s="66"/>
      <c r="C1" s="66"/>
      <c r="D1" s="66"/>
      <c r="E1" s="106"/>
      <c r="F1" s="66"/>
      <c r="G1" s="66"/>
      <c r="H1" s="66"/>
      <c r="I1" s="66"/>
      <c r="J1" s="66"/>
      <c r="K1" s="66"/>
      <c r="L1" s="66"/>
      <c r="M1" s="66"/>
      <c r="N1" s="66"/>
      <c r="O1" s="66"/>
      <c r="P1" s="66"/>
      <c r="Q1" s="66"/>
      <c r="R1" s="66"/>
      <c r="S1" s="66"/>
      <c r="T1" s="66"/>
      <c r="U1" s="66"/>
      <c r="V1" s="66"/>
      <c r="W1" s="66"/>
      <c r="X1" s="66"/>
    </row>
    <row r="2" spans="1:24" ht="16" thickBot="1">
      <c r="A2" s="66"/>
      <c r="B2" s="232" t="s">
        <v>86</v>
      </c>
      <c r="C2" s="233"/>
      <c r="D2" s="66"/>
      <c r="E2" s="102" t="s">
        <v>87</v>
      </c>
      <c r="F2" s="66"/>
      <c r="G2" s="66"/>
      <c r="H2" s="66"/>
      <c r="I2" s="66"/>
      <c r="J2" s="66"/>
      <c r="K2" s="66"/>
      <c r="L2" s="66"/>
      <c r="M2" s="66"/>
      <c r="N2" s="66"/>
      <c r="O2" s="66"/>
      <c r="P2" s="66"/>
      <c r="Q2" s="66"/>
      <c r="R2" s="66"/>
      <c r="S2" s="66"/>
      <c r="T2" s="66"/>
      <c r="U2" s="66"/>
      <c r="V2" s="66"/>
      <c r="W2" s="66"/>
      <c r="X2" s="66"/>
    </row>
    <row r="3" spans="1:24" ht="21.5" thickBot="1">
      <c r="A3" s="66"/>
      <c r="B3" s="103" t="s">
        <v>0</v>
      </c>
      <c r="C3" s="104" t="s">
        <v>10</v>
      </c>
      <c r="D3" s="66"/>
      <c r="E3" s="105" t="s">
        <v>88</v>
      </c>
      <c r="F3" s="66"/>
      <c r="G3" s="66"/>
      <c r="H3" s="66"/>
      <c r="I3" s="66"/>
      <c r="J3" s="66"/>
      <c r="K3" s="66"/>
      <c r="L3" s="66"/>
      <c r="M3" s="66"/>
      <c r="N3" s="66"/>
      <c r="O3" s="66"/>
      <c r="P3" s="66"/>
      <c r="Q3" s="66"/>
      <c r="R3" s="66"/>
      <c r="S3" s="66"/>
      <c r="T3" s="66"/>
      <c r="U3" s="66"/>
      <c r="V3" s="66"/>
      <c r="W3" s="66"/>
      <c r="X3" s="66"/>
    </row>
    <row r="4" spans="1:24" ht="50.5" customHeight="1" thickBot="1">
      <c r="A4" s="66"/>
      <c r="B4" s="32"/>
      <c r="C4" s="21" t="s">
        <v>97</v>
      </c>
      <c r="D4" s="66"/>
      <c r="E4" s="32"/>
      <c r="F4" s="66"/>
      <c r="G4" s="66"/>
      <c r="H4" s="66"/>
      <c r="I4" s="66"/>
      <c r="J4" s="66"/>
      <c r="K4" s="66"/>
      <c r="L4" s="66"/>
      <c r="M4" s="66"/>
      <c r="N4" s="66"/>
      <c r="O4" s="66"/>
      <c r="P4" s="66"/>
      <c r="Q4" s="66"/>
      <c r="R4" s="66"/>
      <c r="S4" s="66"/>
      <c r="T4" s="66"/>
      <c r="U4" s="66"/>
      <c r="V4" s="66"/>
      <c r="W4" s="66"/>
      <c r="X4" s="66"/>
    </row>
    <row r="5" spans="1:24" ht="50.5" customHeight="1">
      <c r="A5" s="66"/>
      <c r="B5" s="222" t="s">
        <v>132</v>
      </c>
      <c r="C5" s="66"/>
      <c r="D5" s="66"/>
      <c r="E5" s="222" t="s">
        <v>131</v>
      </c>
      <c r="F5" s="66"/>
      <c r="G5" s="66"/>
      <c r="H5" s="66"/>
      <c r="I5" s="66"/>
      <c r="J5" s="66"/>
      <c r="K5" s="66"/>
      <c r="L5" s="66"/>
      <c r="M5" s="66"/>
      <c r="N5" s="66"/>
      <c r="O5" s="66"/>
      <c r="P5" s="66"/>
      <c r="Q5" s="66"/>
      <c r="R5" s="66"/>
      <c r="S5" s="66"/>
      <c r="T5" s="66"/>
      <c r="U5" s="66"/>
      <c r="V5" s="66"/>
      <c r="W5" s="66"/>
      <c r="X5" s="66"/>
    </row>
    <row r="6" spans="1:24" ht="15" thickBot="1">
      <c r="A6" s="66"/>
      <c r="B6" s="66"/>
      <c r="C6" s="66"/>
      <c r="D6" s="66"/>
      <c r="E6" s="66"/>
      <c r="F6" s="66"/>
      <c r="G6" s="66"/>
      <c r="H6" s="66"/>
      <c r="I6" s="66"/>
      <c r="J6" s="66"/>
      <c r="K6" s="66"/>
      <c r="L6" s="66"/>
      <c r="M6" s="66"/>
      <c r="N6" s="66"/>
      <c r="O6" s="66"/>
      <c r="P6" s="66"/>
      <c r="Q6" s="66"/>
      <c r="R6" s="66"/>
      <c r="S6" s="66"/>
      <c r="T6" s="66"/>
      <c r="U6" s="66"/>
      <c r="V6" s="66"/>
      <c r="W6" s="66"/>
      <c r="X6" s="66"/>
    </row>
    <row r="7" spans="1:24" ht="16" thickBot="1">
      <c r="A7" s="66"/>
      <c r="B7" s="66"/>
      <c r="C7" s="66"/>
      <c r="D7" s="66"/>
      <c r="E7" s="235" t="s">
        <v>66</v>
      </c>
      <c r="F7" s="236"/>
      <c r="G7" s="236"/>
      <c r="H7" s="236"/>
      <c r="I7" s="237"/>
      <c r="J7" s="66"/>
      <c r="K7" s="66"/>
      <c r="L7" s="66"/>
      <c r="M7" s="66"/>
      <c r="N7" s="66"/>
      <c r="O7" s="66"/>
      <c r="P7" s="66"/>
      <c r="Q7" s="66"/>
      <c r="R7" s="66"/>
      <c r="S7" s="66"/>
      <c r="T7" s="66"/>
      <c r="U7" s="66"/>
      <c r="V7" s="66"/>
      <c r="W7" s="66"/>
      <c r="X7" s="66"/>
    </row>
    <row r="8" spans="1:24" ht="15" thickBot="1">
      <c r="A8" s="66"/>
      <c r="B8" s="66"/>
      <c r="C8" s="66"/>
      <c r="D8" s="66"/>
      <c r="E8" s="238" t="str">
        <f>IF(Toggle9="on","New Location mode is active. Turn off if you are not wanting to set locations")</f>
        <v>New Location mode is active. Turn off if you are not wanting to set locations</v>
      </c>
      <c r="F8" s="239"/>
      <c r="G8" s="239"/>
      <c r="H8" s="239"/>
      <c r="I8" s="240"/>
      <c r="J8" s="66"/>
      <c r="K8" s="66"/>
      <c r="L8" s="66"/>
      <c r="M8" s="66"/>
      <c r="N8" s="66"/>
      <c r="O8" s="66"/>
      <c r="P8" s="66"/>
      <c r="Q8" s="66"/>
      <c r="R8" s="66"/>
      <c r="S8" s="66"/>
      <c r="T8" s="66"/>
      <c r="U8" s="66"/>
      <c r="V8" s="66"/>
      <c r="W8" s="66"/>
      <c r="X8" s="66"/>
    </row>
    <row r="9" spans="1:24">
      <c r="A9" s="66"/>
      <c r="B9" s="66"/>
      <c r="C9" s="66"/>
      <c r="D9" s="66"/>
      <c r="E9" s="66"/>
      <c r="F9" s="66"/>
      <c r="G9" s="66"/>
      <c r="H9" s="66"/>
      <c r="I9" s="66"/>
      <c r="J9" s="66"/>
      <c r="K9" s="66"/>
      <c r="L9" s="66"/>
      <c r="M9" s="66"/>
      <c r="N9" s="66"/>
      <c r="O9" s="66"/>
      <c r="P9" s="66"/>
      <c r="Q9" s="66"/>
      <c r="R9" s="66"/>
      <c r="S9" s="66"/>
      <c r="T9" s="66"/>
      <c r="U9" s="66"/>
      <c r="V9" s="66"/>
      <c r="W9" s="66"/>
      <c r="X9" s="66"/>
    </row>
    <row r="10" spans="1:24">
      <c r="A10" s="66"/>
      <c r="B10" s="234" t="s">
        <v>133</v>
      </c>
      <c r="C10" s="234"/>
      <c r="D10" s="66"/>
      <c r="E10" s="66"/>
      <c r="F10" s="66"/>
      <c r="G10" s="66"/>
      <c r="H10" s="66"/>
      <c r="I10" s="66"/>
      <c r="J10" s="66"/>
      <c r="K10" s="66"/>
      <c r="L10" s="66"/>
      <c r="M10" s="66"/>
      <c r="N10" s="66"/>
      <c r="O10" s="66"/>
      <c r="P10" s="66"/>
      <c r="Q10" s="66"/>
      <c r="R10" s="66"/>
      <c r="S10" s="66"/>
      <c r="T10" s="66"/>
      <c r="U10" s="66"/>
      <c r="V10" s="66"/>
      <c r="W10" s="66"/>
      <c r="X10" s="66"/>
    </row>
    <row r="11" spans="1:24">
      <c r="A11" s="66"/>
      <c r="B11" s="66"/>
      <c r="C11" s="66"/>
      <c r="D11" s="66"/>
      <c r="E11" s="66"/>
      <c r="F11" s="66"/>
      <c r="G11" s="66"/>
      <c r="H11" s="66"/>
      <c r="I11" s="66"/>
      <c r="J11" s="66"/>
      <c r="K11" s="66"/>
      <c r="L11" s="66"/>
      <c r="M11" s="66"/>
      <c r="N11" s="66"/>
      <c r="O11" s="66"/>
      <c r="P11" s="66"/>
      <c r="Q11" s="66"/>
      <c r="R11" s="66"/>
      <c r="S11" s="66"/>
      <c r="T11" s="66"/>
      <c r="U11" s="66"/>
      <c r="V11" s="66"/>
      <c r="W11" s="66"/>
      <c r="X11" s="66"/>
    </row>
    <row r="12" spans="1:24" ht="15" thickBot="1">
      <c r="A12" s="66"/>
      <c r="B12" s="83" t="s">
        <v>123</v>
      </c>
      <c r="C12" s="66"/>
      <c r="D12" s="66"/>
      <c r="E12" s="66"/>
      <c r="F12" s="66"/>
      <c r="G12" s="66"/>
      <c r="H12" s="66"/>
      <c r="I12" s="66"/>
      <c r="J12" s="66"/>
      <c r="K12" s="66"/>
      <c r="L12" s="66"/>
      <c r="M12" s="66"/>
      <c r="N12" s="66"/>
      <c r="O12" s="66"/>
      <c r="P12" s="66"/>
      <c r="Q12" s="66"/>
      <c r="R12" s="66"/>
      <c r="S12" s="66"/>
      <c r="T12" s="66"/>
      <c r="U12" s="66"/>
      <c r="V12" s="66"/>
      <c r="W12" s="66"/>
      <c r="X12" s="66"/>
    </row>
    <row r="13" spans="1:24" ht="36.5" thickBot="1">
      <c r="A13" s="66"/>
      <c r="B13" s="9" t="str">
        <f>Mov_Loc</f>
        <v/>
      </c>
      <c r="C13" s="66"/>
      <c r="D13" s="66"/>
      <c r="E13" s="66"/>
      <c r="F13" s="66"/>
      <c r="G13" s="66"/>
      <c r="H13" s="66"/>
      <c r="I13" s="66"/>
      <c r="J13" s="66"/>
      <c r="K13" s="66"/>
      <c r="L13" s="66"/>
      <c r="M13" s="66"/>
      <c r="N13" s="66"/>
      <c r="O13" s="66"/>
      <c r="P13" s="66"/>
      <c r="Q13" s="66"/>
      <c r="R13" s="66"/>
      <c r="S13" s="66"/>
      <c r="T13" s="66"/>
      <c r="U13" s="66"/>
      <c r="V13" s="66"/>
      <c r="W13" s="66"/>
      <c r="X13" s="66"/>
    </row>
    <row r="14" spans="1:24">
      <c r="A14" s="66"/>
      <c r="B14" s="66"/>
      <c r="C14" s="66"/>
      <c r="D14" s="66"/>
      <c r="E14" s="66"/>
      <c r="F14" s="66"/>
      <c r="G14" s="66"/>
      <c r="H14" s="66"/>
      <c r="I14" s="66"/>
      <c r="J14" s="66"/>
      <c r="K14" s="66"/>
      <c r="L14" s="66"/>
      <c r="M14" s="66"/>
      <c r="N14" s="66"/>
      <c r="O14" s="66"/>
      <c r="P14" s="66"/>
      <c r="Q14" s="66"/>
      <c r="R14" s="66"/>
      <c r="S14" s="66"/>
      <c r="T14" s="66"/>
      <c r="U14" s="66"/>
      <c r="V14" s="66"/>
      <c r="W14" s="66"/>
      <c r="X14" s="66"/>
    </row>
    <row r="15" spans="1:24">
      <c r="A15" s="66"/>
      <c r="B15" s="85" t="e">
        <f>LEFT(Location,4)&amp;RIGHT(Location,1)+1</f>
        <v>#VALUE!</v>
      </c>
      <c r="C15" s="66"/>
      <c r="D15" s="66"/>
      <c r="E15" s="66"/>
      <c r="F15" s="66"/>
      <c r="G15" s="66"/>
      <c r="H15" s="66"/>
      <c r="I15" s="66"/>
      <c r="J15" s="66"/>
      <c r="K15" s="66"/>
      <c r="L15" s="66"/>
      <c r="M15" s="66"/>
      <c r="N15" s="66"/>
      <c r="O15" s="66"/>
      <c r="P15" s="66"/>
      <c r="Q15" s="66"/>
      <c r="R15" s="66"/>
      <c r="S15" s="66"/>
      <c r="T15" s="66"/>
      <c r="U15" s="66"/>
      <c r="V15" s="66"/>
      <c r="W15" s="66"/>
      <c r="X15" s="66"/>
    </row>
    <row r="16" spans="1:24">
      <c r="A16" s="66"/>
      <c r="B16" s="85" t="e">
        <f>LEFT(Location,4)&amp;RIGHT(Location,1)-1</f>
        <v>#VALUE!</v>
      </c>
      <c r="C16" s="66"/>
      <c r="D16" s="66"/>
      <c r="E16" s="66"/>
      <c r="F16" s="66"/>
      <c r="G16" s="66"/>
      <c r="H16" s="66"/>
      <c r="I16" s="66"/>
      <c r="J16" s="66"/>
      <c r="K16" s="66"/>
      <c r="L16" s="66"/>
      <c r="M16" s="66"/>
      <c r="N16" s="66"/>
      <c r="O16" s="66"/>
      <c r="P16" s="66"/>
      <c r="Q16" s="66"/>
      <c r="R16" s="66"/>
      <c r="S16" s="66"/>
      <c r="T16" s="66"/>
      <c r="U16" s="66"/>
      <c r="V16" s="66"/>
      <c r="W16" s="66"/>
      <c r="X16" s="66"/>
    </row>
    <row r="17" spans="1:24">
      <c r="A17" s="66"/>
      <c r="B17" s="85" t="e">
        <f>LEFT(Location,2)&amp;RIGHT("0"&amp;MID(Location,3,2)+1,2)&amp;RIGHT(Location,1)</f>
        <v>#VALUE!</v>
      </c>
      <c r="C17" s="66"/>
      <c r="D17" s="66"/>
      <c r="E17" s="66"/>
      <c r="F17" s="66"/>
      <c r="G17" s="66"/>
      <c r="H17" s="66"/>
      <c r="I17" s="66"/>
      <c r="J17" s="66"/>
      <c r="K17" s="66"/>
      <c r="L17" s="66"/>
      <c r="M17" s="66"/>
      <c r="N17" s="66"/>
      <c r="O17" s="66"/>
      <c r="P17" s="66"/>
      <c r="Q17" s="66"/>
      <c r="R17" s="66"/>
      <c r="S17" s="66"/>
      <c r="T17" s="66"/>
      <c r="U17" s="66"/>
      <c r="V17" s="66"/>
      <c r="W17" s="66"/>
      <c r="X17" s="66"/>
    </row>
    <row r="18" spans="1:24">
      <c r="A18" s="66"/>
      <c r="B18" s="85" t="e">
        <f>LEFT(Location,2)&amp;RIGHT("0"&amp;MID(Location,3,2)-1,2)&amp;RIGHT(Location,1)</f>
        <v>#VALUE!</v>
      </c>
      <c r="C18" s="66"/>
      <c r="D18" s="66"/>
      <c r="E18" s="66"/>
      <c r="F18" s="66"/>
      <c r="G18" s="66"/>
      <c r="H18" s="66"/>
      <c r="I18" s="66"/>
      <c r="J18" s="66"/>
      <c r="K18" s="66"/>
      <c r="L18" s="66"/>
      <c r="M18" s="66"/>
      <c r="N18" s="66"/>
      <c r="O18" s="66"/>
      <c r="P18" s="66"/>
      <c r="Q18" s="66"/>
      <c r="R18" s="66"/>
      <c r="S18" s="66"/>
      <c r="T18" s="66"/>
      <c r="U18" s="66"/>
      <c r="V18" s="66"/>
      <c r="W18" s="66"/>
      <c r="X18" s="66"/>
    </row>
    <row r="19" spans="1:24">
      <c r="A19" s="66"/>
      <c r="B19" s="66"/>
      <c r="C19" s="66"/>
      <c r="D19" s="66"/>
      <c r="E19" s="66"/>
      <c r="F19" s="66"/>
      <c r="G19" s="66"/>
      <c r="H19" s="66"/>
      <c r="I19" s="66"/>
      <c r="J19" s="66"/>
      <c r="K19" s="66"/>
      <c r="L19" s="66"/>
      <c r="M19" s="66"/>
      <c r="N19" s="66"/>
      <c r="O19" s="66"/>
      <c r="P19" s="66"/>
      <c r="Q19" s="66"/>
      <c r="R19" s="66"/>
      <c r="S19" s="66"/>
      <c r="T19" s="66"/>
      <c r="U19" s="66"/>
      <c r="V19" s="66"/>
      <c r="W19" s="66"/>
      <c r="X19" s="66"/>
    </row>
    <row r="20" spans="1:24">
      <c r="A20" s="66"/>
      <c r="B20" s="66"/>
      <c r="C20" s="66"/>
      <c r="D20" s="66"/>
      <c r="E20" s="66"/>
      <c r="F20" s="66"/>
      <c r="G20" s="66"/>
      <c r="H20" s="66"/>
      <c r="I20" s="66"/>
      <c r="J20" s="66"/>
      <c r="K20" s="66"/>
      <c r="L20" s="66"/>
      <c r="M20" s="66"/>
      <c r="N20" s="66"/>
      <c r="O20" s="66"/>
      <c r="P20" s="66"/>
      <c r="Q20" s="66"/>
      <c r="R20" s="66"/>
      <c r="S20" s="66"/>
      <c r="T20" s="66"/>
      <c r="U20" s="66"/>
      <c r="V20" s="66"/>
      <c r="W20" s="66"/>
      <c r="X20" s="66"/>
    </row>
    <row r="21" spans="1:24">
      <c r="A21" s="66"/>
      <c r="B21" s="66"/>
      <c r="C21" s="66"/>
      <c r="D21" s="66"/>
      <c r="E21" s="66"/>
      <c r="F21" s="66"/>
      <c r="G21" s="66"/>
      <c r="H21" s="66"/>
      <c r="I21" s="66"/>
      <c r="J21" s="66"/>
      <c r="K21" s="66"/>
      <c r="L21" s="66"/>
      <c r="M21" s="66"/>
      <c r="N21" s="66"/>
      <c r="O21" s="66"/>
      <c r="P21" s="66"/>
      <c r="Q21" s="66"/>
      <c r="R21" s="66"/>
      <c r="S21" s="66"/>
      <c r="T21" s="66"/>
      <c r="U21" s="66"/>
      <c r="V21" s="66"/>
      <c r="W21" s="66"/>
      <c r="X21" s="66"/>
    </row>
    <row r="22" spans="1:24">
      <c r="A22" s="66"/>
      <c r="B22" s="66"/>
      <c r="C22" s="66"/>
      <c r="D22" s="66"/>
      <c r="E22" s="66"/>
      <c r="F22" s="66"/>
      <c r="G22" s="66"/>
      <c r="H22" s="66"/>
      <c r="I22" s="66"/>
      <c r="J22" s="66"/>
      <c r="K22" s="66"/>
      <c r="L22" s="66"/>
      <c r="M22" s="66"/>
      <c r="N22" s="66"/>
      <c r="O22" s="66"/>
      <c r="P22" s="66"/>
      <c r="Q22" s="66"/>
      <c r="R22" s="66"/>
      <c r="S22" s="66"/>
      <c r="T22" s="66"/>
      <c r="U22" s="66"/>
      <c r="V22" s="66"/>
      <c r="W22" s="66"/>
      <c r="X22" s="66"/>
    </row>
    <row r="23" spans="1:24">
      <c r="A23" s="66"/>
      <c r="B23" s="66"/>
      <c r="C23" s="66"/>
      <c r="D23" s="66"/>
      <c r="E23" s="66"/>
      <c r="F23" s="66"/>
      <c r="G23" s="66"/>
      <c r="H23" s="66"/>
      <c r="I23" s="66"/>
      <c r="J23" s="66"/>
      <c r="K23" s="66"/>
      <c r="L23" s="66"/>
      <c r="M23" s="66"/>
      <c r="N23" s="66"/>
      <c r="O23" s="66"/>
      <c r="P23" s="66"/>
      <c r="Q23" s="66"/>
      <c r="R23" s="66"/>
      <c r="S23" s="66"/>
      <c r="T23" s="66"/>
      <c r="U23" s="66"/>
      <c r="V23" s="66"/>
      <c r="W23" s="66"/>
      <c r="X23" s="66"/>
    </row>
    <row r="24" spans="1:24">
      <c r="A24" s="66"/>
      <c r="B24" s="66"/>
      <c r="C24" s="66"/>
      <c r="D24" s="66"/>
      <c r="E24" s="66"/>
      <c r="F24" s="66"/>
      <c r="G24" s="66"/>
      <c r="H24" s="66"/>
      <c r="I24" s="66"/>
      <c r="J24" s="66"/>
      <c r="K24" s="66"/>
      <c r="L24" s="66"/>
      <c r="M24" s="66"/>
      <c r="N24" s="66"/>
      <c r="O24" s="66"/>
      <c r="P24" s="66"/>
      <c r="Q24" s="66"/>
      <c r="R24" s="66"/>
      <c r="S24" s="66"/>
      <c r="T24" s="66"/>
      <c r="U24" s="66"/>
      <c r="V24" s="66"/>
      <c r="W24" s="66"/>
      <c r="X24" s="66"/>
    </row>
    <row r="25" spans="1:24">
      <c r="A25" s="66"/>
      <c r="B25" s="66"/>
      <c r="C25" s="66"/>
      <c r="D25" s="66"/>
      <c r="E25" s="66"/>
      <c r="F25" s="66"/>
      <c r="G25" s="66"/>
      <c r="H25" s="66"/>
      <c r="I25" s="66"/>
      <c r="J25" s="66"/>
      <c r="K25" s="66"/>
      <c r="L25" s="66"/>
      <c r="M25" s="66"/>
      <c r="N25" s="66"/>
      <c r="O25" s="66"/>
      <c r="P25" s="66"/>
      <c r="Q25" s="66"/>
      <c r="R25" s="66"/>
      <c r="S25" s="66"/>
      <c r="T25" s="66"/>
      <c r="U25" s="66"/>
      <c r="V25" s="66"/>
      <c r="W25" s="66"/>
      <c r="X25" s="66"/>
    </row>
    <row r="26" spans="1:24">
      <c r="A26" s="66"/>
      <c r="B26" s="66"/>
      <c r="C26" s="66"/>
      <c r="D26" s="66"/>
      <c r="E26" s="66"/>
      <c r="F26" s="66"/>
      <c r="G26" s="66"/>
      <c r="H26" s="66"/>
      <c r="I26" s="66"/>
      <c r="J26" s="66"/>
      <c r="K26" s="66"/>
      <c r="L26" s="66"/>
      <c r="M26" s="66"/>
      <c r="N26" s="66"/>
      <c r="O26" s="66"/>
      <c r="P26" s="66"/>
      <c r="Q26" s="66"/>
      <c r="R26" s="66"/>
      <c r="S26" s="66"/>
      <c r="T26" s="66"/>
      <c r="U26" s="66"/>
      <c r="V26" s="66"/>
      <c r="W26" s="66"/>
      <c r="X26" s="66"/>
    </row>
    <row r="27" spans="1:24">
      <c r="A27" s="66"/>
      <c r="B27" s="66"/>
      <c r="C27" s="66"/>
      <c r="D27" s="66"/>
      <c r="E27" s="66"/>
      <c r="F27" s="66"/>
      <c r="G27" s="66"/>
      <c r="H27" s="66"/>
      <c r="I27" s="66"/>
      <c r="J27" s="66"/>
      <c r="K27" s="66"/>
      <c r="L27" s="66"/>
      <c r="M27" s="66"/>
      <c r="N27" s="66"/>
      <c r="O27" s="66"/>
      <c r="P27" s="66"/>
      <c r="Q27" s="66"/>
      <c r="R27" s="66"/>
      <c r="S27" s="66"/>
      <c r="T27" s="66"/>
      <c r="U27" s="66"/>
      <c r="V27" s="66"/>
      <c r="W27" s="66"/>
      <c r="X27" s="66"/>
    </row>
    <row r="28" spans="1:24">
      <c r="A28" s="66"/>
      <c r="B28" s="66"/>
      <c r="C28" s="66"/>
      <c r="D28" s="66"/>
      <c r="E28" s="66"/>
      <c r="F28" s="66"/>
      <c r="G28" s="66"/>
      <c r="H28" s="66"/>
      <c r="I28" s="66"/>
      <c r="J28" s="66"/>
      <c r="K28" s="66"/>
      <c r="L28" s="66"/>
      <c r="M28" s="66"/>
      <c r="N28" s="66"/>
      <c r="O28" s="66"/>
      <c r="P28" s="66"/>
      <c r="Q28" s="66"/>
      <c r="R28" s="66"/>
      <c r="S28" s="66"/>
      <c r="T28" s="66"/>
      <c r="U28" s="66"/>
      <c r="V28" s="66"/>
      <c r="W28" s="66"/>
      <c r="X28" s="66"/>
    </row>
    <row r="29" spans="1:24">
      <c r="A29" s="66"/>
      <c r="B29" s="66"/>
      <c r="C29" s="66"/>
      <c r="D29" s="66"/>
      <c r="E29" s="66"/>
      <c r="F29" s="66"/>
      <c r="G29" s="66"/>
      <c r="H29" s="66"/>
      <c r="I29" s="66"/>
      <c r="J29" s="66"/>
      <c r="K29" s="66"/>
      <c r="L29" s="66"/>
      <c r="M29" s="66"/>
      <c r="N29" s="66"/>
      <c r="O29" s="66"/>
      <c r="P29" s="66"/>
      <c r="Q29" s="66"/>
      <c r="R29" s="66"/>
      <c r="S29" s="66"/>
      <c r="T29" s="66"/>
      <c r="U29" s="66"/>
      <c r="V29" s="66"/>
      <c r="W29" s="66"/>
      <c r="X29" s="66"/>
    </row>
    <row r="30" spans="1:24">
      <c r="A30" s="66"/>
      <c r="B30" s="66"/>
      <c r="C30" s="66"/>
      <c r="D30" s="66"/>
      <c r="E30" s="66"/>
      <c r="F30" s="66"/>
      <c r="G30" s="66"/>
      <c r="H30" s="66"/>
      <c r="I30" s="66"/>
      <c r="J30" s="66"/>
      <c r="K30" s="66"/>
      <c r="L30" s="66"/>
      <c r="M30" s="66"/>
      <c r="N30" s="66"/>
      <c r="O30" s="66"/>
      <c r="P30" s="66"/>
      <c r="Q30" s="66"/>
      <c r="R30" s="66"/>
      <c r="S30" s="66"/>
      <c r="T30" s="66"/>
      <c r="U30" s="66"/>
      <c r="V30" s="66"/>
      <c r="W30" s="66"/>
      <c r="X30" s="66"/>
    </row>
    <row r="31" spans="1:24">
      <c r="A31" s="66"/>
      <c r="B31" s="66"/>
      <c r="C31" s="66"/>
      <c r="D31" s="66"/>
      <c r="E31" s="66"/>
      <c r="F31" s="66"/>
      <c r="G31" s="66"/>
      <c r="H31" s="66"/>
      <c r="I31" s="66"/>
      <c r="J31" s="66"/>
      <c r="K31" s="66"/>
      <c r="L31" s="66"/>
      <c r="M31" s="66"/>
      <c r="N31" s="66"/>
      <c r="O31" s="66"/>
      <c r="P31" s="66"/>
      <c r="Q31" s="66"/>
      <c r="R31" s="66"/>
      <c r="S31" s="66"/>
      <c r="T31" s="66"/>
      <c r="U31" s="66"/>
      <c r="V31" s="66"/>
      <c r="W31" s="66"/>
      <c r="X31" s="66"/>
    </row>
    <row r="32" spans="1:24">
      <c r="A32" s="66"/>
      <c r="B32" s="66"/>
      <c r="C32" s="66"/>
      <c r="D32" s="66"/>
      <c r="E32" s="66"/>
      <c r="F32" s="66"/>
      <c r="G32" s="66"/>
      <c r="H32" s="66"/>
      <c r="I32" s="66"/>
      <c r="J32" s="66"/>
      <c r="K32" s="66"/>
      <c r="L32" s="66"/>
      <c r="M32" s="66"/>
      <c r="N32" s="66"/>
      <c r="O32" s="66"/>
      <c r="P32" s="66"/>
      <c r="Q32" s="66"/>
      <c r="R32" s="66"/>
      <c r="S32" s="66"/>
      <c r="T32" s="66"/>
      <c r="U32" s="66"/>
      <c r="V32" s="66"/>
      <c r="W32" s="66"/>
      <c r="X32" s="66"/>
    </row>
    <row r="33" spans="1:24">
      <c r="A33" s="66"/>
      <c r="B33" s="66"/>
      <c r="C33" s="66"/>
      <c r="D33" s="66"/>
      <c r="E33" s="66"/>
      <c r="F33" s="66"/>
      <c r="G33" s="66"/>
      <c r="H33" s="66"/>
      <c r="I33" s="66"/>
      <c r="J33" s="66"/>
      <c r="K33" s="66"/>
      <c r="L33" s="66"/>
      <c r="M33" s="66"/>
      <c r="N33" s="66"/>
      <c r="O33" s="66"/>
      <c r="P33" s="66"/>
      <c r="Q33" s="66"/>
      <c r="R33" s="66"/>
      <c r="S33" s="66"/>
      <c r="T33" s="66"/>
      <c r="U33" s="66"/>
      <c r="V33" s="66"/>
      <c r="W33" s="66"/>
      <c r="X33" s="66"/>
    </row>
    <row r="34" spans="1:24">
      <c r="A34" s="66"/>
      <c r="B34" s="66"/>
      <c r="C34" s="66"/>
      <c r="D34" s="66"/>
      <c r="E34" s="66"/>
      <c r="F34" s="66"/>
      <c r="G34" s="66"/>
      <c r="H34" s="66"/>
      <c r="I34" s="66"/>
      <c r="J34" s="66"/>
      <c r="K34" s="66"/>
      <c r="L34" s="66"/>
      <c r="M34" s="66"/>
      <c r="N34" s="66"/>
      <c r="O34" s="66"/>
      <c r="P34" s="66"/>
      <c r="Q34" s="66"/>
      <c r="R34" s="66"/>
      <c r="S34" s="66"/>
      <c r="T34" s="66"/>
      <c r="U34" s="66"/>
      <c r="V34" s="66"/>
      <c r="W34" s="66"/>
      <c r="X34" s="66"/>
    </row>
    <row r="35" spans="1:24">
      <c r="A35" s="66"/>
      <c r="B35" s="66"/>
      <c r="C35" s="66"/>
      <c r="D35" s="66"/>
      <c r="E35" s="66"/>
      <c r="F35" s="66"/>
      <c r="G35" s="66"/>
      <c r="H35" s="66"/>
      <c r="I35" s="66"/>
      <c r="J35" s="66"/>
      <c r="K35" s="66"/>
      <c r="L35" s="66"/>
      <c r="M35" s="66"/>
      <c r="N35" s="66"/>
      <c r="O35" s="66"/>
      <c r="P35" s="66"/>
      <c r="Q35" s="66"/>
      <c r="R35" s="66"/>
      <c r="S35" s="66"/>
      <c r="T35" s="66"/>
      <c r="U35" s="66"/>
      <c r="V35" s="66"/>
      <c r="W35" s="66"/>
      <c r="X35" s="66"/>
    </row>
    <row r="36" spans="1:24">
      <c r="A36" s="66"/>
      <c r="B36" s="66"/>
      <c r="C36" s="66"/>
      <c r="D36" s="66"/>
      <c r="E36" s="66"/>
      <c r="F36" s="66"/>
      <c r="G36" s="66"/>
      <c r="H36" s="66"/>
      <c r="I36" s="66"/>
      <c r="J36" s="66"/>
      <c r="K36" s="66"/>
      <c r="L36" s="66"/>
      <c r="M36" s="66"/>
      <c r="N36" s="66"/>
      <c r="O36" s="66"/>
      <c r="P36" s="66"/>
      <c r="Q36" s="66"/>
      <c r="R36" s="66"/>
      <c r="S36" s="66"/>
      <c r="T36" s="66"/>
      <c r="U36" s="66"/>
      <c r="V36" s="66"/>
      <c r="W36" s="66"/>
      <c r="X36" s="66"/>
    </row>
    <row r="37" spans="1:24">
      <c r="A37" s="66"/>
      <c r="B37" s="66"/>
      <c r="C37" s="66"/>
      <c r="D37" s="66"/>
      <c r="E37" s="66"/>
      <c r="F37" s="66"/>
      <c r="G37" s="66"/>
      <c r="H37" s="66"/>
      <c r="I37" s="66"/>
      <c r="J37" s="66"/>
      <c r="K37" s="66"/>
      <c r="L37" s="66"/>
      <c r="M37" s="66"/>
      <c r="N37" s="66"/>
      <c r="O37" s="66"/>
      <c r="P37" s="66"/>
      <c r="Q37" s="66"/>
      <c r="R37" s="66"/>
      <c r="S37" s="66"/>
      <c r="T37" s="66"/>
      <c r="U37" s="66"/>
      <c r="V37" s="66"/>
      <c r="W37" s="66"/>
      <c r="X37" s="66"/>
    </row>
    <row r="38" spans="1:24">
      <c r="A38" s="66"/>
      <c r="B38" s="66"/>
      <c r="C38" s="66"/>
      <c r="D38" s="66"/>
      <c r="E38" s="66"/>
      <c r="F38" s="66"/>
      <c r="G38" s="66"/>
      <c r="H38" s="66"/>
      <c r="I38" s="66"/>
      <c r="J38" s="66"/>
      <c r="K38" s="66"/>
      <c r="L38" s="66"/>
      <c r="M38" s="66"/>
      <c r="N38" s="66"/>
      <c r="O38" s="66"/>
      <c r="P38" s="66"/>
      <c r="Q38" s="66"/>
      <c r="R38" s="66"/>
      <c r="S38" s="66"/>
      <c r="T38" s="66"/>
      <c r="U38" s="66"/>
      <c r="V38" s="66"/>
      <c r="W38" s="66"/>
      <c r="X38" s="66"/>
    </row>
    <row r="39" spans="1:24">
      <c r="A39" s="66"/>
      <c r="B39" s="66"/>
      <c r="C39" s="66"/>
      <c r="D39" s="66"/>
      <c r="E39" s="66"/>
      <c r="F39" s="66"/>
      <c r="G39" s="66"/>
      <c r="H39" s="66"/>
      <c r="I39" s="66"/>
      <c r="J39" s="66"/>
      <c r="K39" s="66"/>
      <c r="L39" s="66"/>
      <c r="M39" s="66"/>
      <c r="N39" s="66"/>
      <c r="O39" s="66"/>
      <c r="P39" s="66"/>
      <c r="Q39" s="66"/>
      <c r="R39" s="66"/>
      <c r="S39" s="66"/>
      <c r="T39" s="66"/>
      <c r="U39" s="66"/>
      <c r="V39" s="66"/>
      <c r="W39" s="66"/>
      <c r="X39" s="66"/>
    </row>
  </sheetData>
  <sheetProtection sheet="1" selectLockedCells="1"/>
  <mergeCells count="4">
    <mergeCell ref="B2:C2"/>
    <mergeCell ref="B10:C10"/>
    <mergeCell ref="E7:I7"/>
    <mergeCell ref="E8:I8"/>
  </mergeCells>
  <conditionalFormatting sqref="B13 E4 B4:C4">
    <cfRule type="expression" dxfId="44" priority="11" stopIfTrue="1">
      <formula>AND($M$4="No",$M$8="No")</formula>
    </cfRule>
    <cfRule type="expression" dxfId="43" priority="12" stopIfTrue="1">
      <formula>AND($M$4="Yes",$M$8="No")</formula>
    </cfRule>
  </conditionalFormatting>
  <conditionalFormatting sqref="E2:E4">
    <cfRule type="expression" dxfId="42" priority="1" stopIfTrue="1">
      <formula>Toggle9="off"</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1">
    <tabColor rgb="FF002060"/>
  </sheetPr>
  <dimension ref="A1:AL32"/>
  <sheetViews>
    <sheetView showGridLines="0" tabSelected="1" zoomScaleNormal="100" workbookViewId="0">
      <selection activeCell="B8" sqref="B8"/>
    </sheetView>
  </sheetViews>
  <sheetFormatPr defaultRowHeight="14.5"/>
  <cols>
    <col min="1" max="1" width="4.08984375" customWidth="1"/>
    <col min="2" max="2" width="21.08984375" customWidth="1"/>
    <col min="3" max="3" width="37.08984375" customWidth="1"/>
    <col min="4" max="4" width="32.08984375" customWidth="1"/>
    <col min="5" max="5" width="10.36328125" customWidth="1"/>
    <col min="6" max="6" width="1.81640625" customWidth="1"/>
    <col min="7" max="7" width="2.36328125" customWidth="1"/>
    <col min="8" max="8" width="6.6328125" customWidth="1"/>
    <col min="9" max="9" width="12" customWidth="1"/>
    <col min="10" max="10" width="8.36328125" customWidth="1"/>
    <col min="11" max="11" width="9.81640625" customWidth="1"/>
    <col min="12" max="14" width="11.36328125" customWidth="1"/>
    <col min="15" max="21" width="8.81640625" customWidth="1"/>
    <col min="25" max="25" width="11.26953125" bestFit="1" customWidth="1"/>
    <col min="27" max="27" width="3.6328125" bestFit="1" customWidth="1"/>
    <col min="28" max="28" width="11.08984375" bestFit="1" customWidth="1"/>
    <col min="29" max="29" width="21.08984375" bestFit="1" customWidth="1"/>
    <col min="30" max="30" width="14.1796875" customWidth="1"/>
    <col min="31" max="31" width="8" bestFit="1" customWidth="1"/>
    <col min="32" max="32" width="5.7265625" bestFit="1" customWidth="1"/>
    <col min="33" max="33" width="7.26953125" bestFit="1" customWidth="1"/>
    <col min="34" max="34" width="12" bestFit="1" customWidth="1"/>
    <col min="35" max="35" width="14.36328125" bestFit="1" customWidth="1"/>
    <col min="36" max="36" width="6.7265625" bestFit="1" customWidth="1"/>
    <col min="37" max="37" width="29.6328125" bestFit="1" customWidth="1"/>
  </cols>
  <sheetData>
    <row r="1" spans="1:38" ht="14.25" customHeight="1">
      <c r="A1" s="65" t="s">
        <v>137</v>
      </c>
      <c r="B1" s="66"/>
      <c r="C1" s="66"/>
      <c r="D1" s="66"/>
      <c r="E1" s="66"/>
      <c r="F1" s="66"/>
      <c r="G1" s="107"/>
      <c r="H1" s="108"/>
      <c r="I1" s="108"/>
      <c r="J1" s="108"/>
      <c r="K1" s="108"/>
      <c r="L1" s="108"/>
      <c r="M1" s="108"/>
      <c r="N1" s="108"/>
      <c r="O1" s="109"/>
      <c r="P1" s="66"/>
      <c r="Q1" s="66"/>
      <c r="R1" s="66"/>
      <c r="S1" s="66"/>
      <c r="T1" s="66"/>
      <c r="U1" s="66"/>
      <c r="V1" s="66"/>
      <c r="W1" s="66"/>
      <c r="X1" s="66"/>
      <c r="Y1" s="67" t="str">
        <f>IF(ISBLANK(Mov),"",IF(Toggle7="on",Z10,VLOOKUP(Mov,TLSTOCK, 4,FALSE)))</f>
        <v/>
      </c>
      <c r="Z1" s="67" t="str">
        <f>IF(LEFT(Y1,1)="D",VALUE(REPLACE(Y1,1,1,"")),Y1)</f>
        <v/>
      </c>
      <c r="AA1" s="66"/>
      <c r="AB1" s="66"/>
      <c r="AC1" s="66"/>
      <c r="AD1" s="66"/>
      <c r="AE1" s="68" t="s">
        <v>19</v>
      </c>
      <c r="AF1" s="68" t="s">
        <v>17</v>
      </c>
      <c r="AG1" s="68" t="s">
        <v>18</v>
      </c>
      <c r="AH1" s="68" t="s">
        <v>20</v>
      </c>
      <c r="AI1" s="68" t="s">
        <v>21</v>
      </c>
      <c r="AJ1" s="68" t="s">
        <v>34</v>
      </c>
      <c r="AK1" s="66" t="str">
        <f>IF(TRIM(CONCATENATE(AK2,"  ",AK3,"  ",AK4,"  ",AK5,"  ",AK6,"  ",AK7,"  ",AK8,"  ",AK9,"  ",AK10,"  ",AK11,"  ",AK12," "))="","Ready to Record","")</f>
        <v/>
      </c>
      <c r="AL1" s="66"/>
    </row>
    <row r="2" spans="1:38" ht="21.5" thickBot="1">
      <c r="A2" s="66"/>
      <c r="B2" s="82" t="s">
        <v>89</v>
      </c>
      <c r="C2" s="82" t="s">
        <v>69</v>
      </c>
      <c r="D2" s="263" t="s">
        <v>66</v>
      </c>
      <c r="E2" s="264"/>
      <c r="F2" s="66"/>
      <c r="G2" s="110"/>
      <c r="H2" s="244" t="s">
        <v>93</v>
      </c>
      <c r="I2" s="245"/>
      <c r="J2" s="245"/>
      <c r="K2" s="245"/>
      <c r="L2" s="245"/>
      <c r="M2" s="245"/>
      <c r="N2" s="246"/>
      <c r="O2" s="111"/>
      <c r="P2" s="66"/>
      <c r="Q2" s="66"/>
      <c r="R2" s="66"/>
      <c r="S2" s="66"/>
      <c r="T2" s="66"/>
      <c r="U2" s="66"/>
      <c r="V2" s="66"/>
      <c r="W2" s="66"/>
      <c r="X2" s="66"/>
      <c r="Y2" s="68" t="s">
        <v>26</v>
      </c>
      <c r="Z2" s="3" t="str">
        <f>IF(Mov="","",VLOOKUP(Mov,TLSTOCK,4,FALSE))</f>
        <v/>
      </c>
      <c r="AA2" s="69" t="str">
        <f>IF(ISBLANK(Product),"",IF(Mov_Product=Product,"Yes",IF(Toggle8="on","Yes",IF(Toggle1="on",IF(Product&lt;&gt;Mov_Product,IF(Y1=Product,"Yes",IF(Z1=Product,"Yes")),"No")))))</f>
        <v/>
      </c>
      <c r="AB2" s="70" t="b">
        <f>IFERROR(IF(AND(IF(Toggl8="on","TRUE",AA2="Yes"),AA3="Yes",AA7="No",AA8="No",AA9="No",IF(Toggl6="on","TRUE",AA11="No"),AA5="No"),TRUE,FALSE),FALSE)</f>
        <v>0</v>
      </c>
      <c r="AC2" s="66" t="s">
        <v>15</v>
      </c>
      <c r="AD2" s="66"/>
      <c r="AE2" s="68" t="str">
        <f>IF(Key=TRUE,2,"")</f>
        <v/>
      </c>
      <c r="AF2" s="68" t="str">
        <f>IF(AA2="Yes",2,"")</f>
        <v/>
      </c>
      <c r="AG2" s="68" t="str">
        <f>IF(AA2="No",3,"")</f>
        <v/>
      </c>
      <c r="AH2" s="68" t="str">
        <f>IF(AND(AA7="Yes",NOT(C3="*Scan First Mov*")),0,"")</f>
        <v/>
      </c>
      <c r="AI2" s="68" t="str">
        <f>IF(AND(Key=FALSE,NOT(ISBLANK(Serial))),3,"")</f>
        <v/>
      </c>
      <c r="AJ2" s="68" t="str">
        <f>IF(AND(Start="GO",Key=FALSE),3,"")</f>
        <v/>
      </c>
      <c r="AK2" s="68" t="str">
        <f>IF(B11&gt;1637,"STOP: you cannot exceeded 1649 scan limit","")</f>
        <v/>
      </c>
      <c r="AL2" s="66"/>
    </row>
    <row r="3" spans="1:38" ht="48" customHeight="1" thickBot="1">
      <c r="A3" s="66"/>
      <c r="B3" s="8" t="str">
        <f>IF(Location=0,"",Location)</f>
        <v/>
      </c>
      <c r="C3" s="34" t="str">
        <f>IF(Last_Mov=0,"*Scan First Mov*",Last_Mov)</f>
        <v>*Scan First Mov*</v>
      </c>
      <c r="D3" s="265" t="str">
        <f>TRIM(IFERROR(IF(CONCATENATE(AK1," ",AK2,"  ",AK3,"  ",AK4,"  ",AK5,"  ",AK6,"  ",AK7,"  ",AK8,"  ",AK9,"  ",AK10,"  ",AK11,"  ",AK12," ")="","Good to Go",CONCATENATE(AK1,"    ",AK2,"     ",AK3,"    ",AK4,"     ",AK5,"     ",AK6,"     ",AK7,"     ",AK8,"     ",AK9,"     ",AK10,"     ",AK11,"     ",AK12,"    ")),IF(C13="IMPORTED","Unknown Error - Check your Scans","Import Data first")))</f>
        <v>Get Data - Click IMPORT button to begin!</v>
      </c>
      <c r="E3" s="266"/>
      <c r="F3" s="66"/>
      <c r="G3" s="110"/>
      <c r="H3" s="247" t="s">
        <v>94</v>
      </c>
      <c r="I3" s="248"/>
      <c r="J3" s="117" t="s">
        <v>14</v>
      </c>
      <c r="K3" s="117" t="s">
        <v>92</v>
      </c>
      <c r="L3" s="247" t="s">
        <v>90</v>
      </c>
      <c r="M3" s="248"/>
      <c r="N3" s="117" t="s">
        <v>129</v>
      </c>
      <c r="O3" s="111"/>
      <c r="P3" s="66"/>
      <c r="Q3" s="66"/>
      <c r="R3" s="66"/>
      <c r="S3" s="66"/>
      <c r="T3" s="66"/>
      <c r="U3" s="66"/>
      <c r="V3" s="66"/>
      <c r="W3" s="66"/>
      <c r="X3" s="66"/>
      <c r="Y3" s="68" t="s">
        <v>1</v>
      </c>
      <c r="Z3" s="4" t="str">
        <f>IFERROR(IF(ISBLANK(Mov),"",VLOOKUP(Mov,TLSTOCK, 9,FALSE)),"NO DATA")</f>
        <v/>
      </c>
      <c r="AA3" s="68" t="str">
        <f>IF(Mov_Loc=Loc,"Yes","No")</f>
        <v>Yes</v>
      </c>
      <c r="AB3" s="68" t="b">
        <f>IFERROR(IF(AND(AA2="Yes",AA7="No",AA8="No",AA9="No",AA11="No",AA5="No"),TRUE,FALSE),FALSE)</f>
        <v>0</v>
      </c>
      <c r="AC3" s="66" t="s">
        <v>16</v>
      </c>
      <c r="AD3" s="66"/>
      <c r="AE3" s="66"/>
      <c r="AF3" s="71"/>
      <c r="AG3" s="71"/>
      <c r="AH3" s="66"/>
      <c r="AI3" s="66"/>
      <c r="AJ3" s="66"/>
      <c r="AK3" s="68" t="str">
        <f>IF(AND(Mov_Loc="NO DATA",C13="IMPORTED"),"Old data Imported! Check Wifi, Check FTPBox Open.",IF(Mov_Loc="NO DATA","Data missing, need to Click Import first",""))</f>
        <v/>
      </c>
      <c r="AL3" s="66"/>
    </row>
    <row r="4" spans="1:38" ht="22" customHeight="1">
      <c r="A4" s="66"/>
      <c r="B4" s="81" t="str">
        <f>IF(WHLOC=0,"",WHLOC)</f>
        <v/>
      </c>
      <c r="C4" s="81" t="str">
        <f ca="1">IF(OFFSET(RecordedSerials,COUNTA(RecordedSerials)-2,0,1,1)="Rec_Home","",IF(OFFSET(RecordedSerials,COUNTA(RecordedSerials)-2,0,1,1)="Move","",OFFSET(RecordedSerials,COUNTA(RecordedSerials)-2,0,1,1)))</f>
        <v/>
      </c>
      <c r="D4" s="66"/>
      <c r="E4" s="66"/>
      <c r="F4" s="66"/>
      <c r="G4" s="110"/>
      <c r="H4" s="251" t="str">
        <f>IF(Mov=0,"",Mov)</f>
        <v/>
      </c>
      <c r="I4" s="252"/>
      <c r="J4" s="241" t="str">
        <f>Mov_Loc</f>
        <v/>
      </c>
      <c r="K4" s="241" t="str">
        <f>IFERROR(IF(IF(ISBLANK(Mov),"",VLOOKUP(Mov,TLSTOCK, 22,FALSE))=J4,"",IF(ISBLANK(Mov),"",VLOOKUP(Mov,TLSTOCK, 22,FALSE))),"NO DATA")</f>
        <v/>
      </c>
      <c r="L4" s="251" t="str">
        <f>Z6</f>
        <v/>
      </c>
      <c r="M4" s="252"/>
      <c r="N4" s="241" t="str">
        <f>IFERROR(IF(ISBLANK(Mov),"",VLOOKUP(Mov,TLSTOCK, 20,FALSE)),"NO DATA")</f>
        <v/>
      </c>
      <c r="O4" s="111"/>
      <c r="P4" s="66"/>
      <c r="Q4" s="66"/>
      <c r="R4" s="66"/>
      <c r="S4" s="66"/>
      <c r="T4" s="66"/>
      <c r="U4" s="66"/>
      <c r="V4" s="66"/>
      <c r="W4" s="66"/>
      <c r="X4" s="66"/>
      <c r="Y4" s="68" t="s">
        <v>6</v>
      </c>
      <c r="Z4" s="68" t="str">
        <f>IFERROR(IF(ISBLANK(Mov),"",VLOOKUP(Mov,TLSTOCK, 10,FALSE)),"")</f>
        <v/>
      </c>
      <c r="AA4" s="68"/>
      <c r="AB4" s="66"/>
      <c r="AC4" s="66"/>
      <c r="AD4" s="66"/>
      <c r="AE4" s="66"/>
      <c r="AF4" s="71"/>
      <c r="AG4" s="71"/>
      <c r="AH4" s="66"/>
      <c r="AI4" s="66"/>
      <c r="AJ4" s="66"/>
      <c r="AK4" s="68" t="str">
        <f>IF(Toggle2="on","",IF(ISERR(IFERROR(AA3,"Yes")),"Data Missing - Click Import. ",IF(AA3="No","Location Not matching. ","")))</f>
        <v/>
      </c>
      <c r="AL4" s="66"/>
    </row>
    <row r="5" spans="1:38" ht="16" customHeight="1" thickBot="1">
      <c r="A5" s="66"/>
      <c r="B5" s="66"/>
      <c r="C5" s="66"/>
      <c r="D5" s="66"/>
      <c r="E5" s="66"/>
      <c r="F5" s="66"/>
      <c r="G5" s="112"/>
      <c r="H5" s="253"/>
      <c r="I5" s="254"/>
      <c r="J5" s="242"/>
      <c r="K5" s="242"/>
      <c r="L5" s="253"/>
      <c r="M5" s="254"/>
      <c r="N5" s="242"/>
      <c r="O5" s="111"/>
      <c r="P5" s="66"/>
      <c r="Q5" s="66"/>
      <c r="R5" s="66"/>
      <c r="S5" s="66"/>
      <c r="T5" s="66"/>
      <c r="U5" s="66"/>
      <c r="V5" s="66"/>
      <c r="W5" s="66"/>
      <c r="X5" s="66"/>
      <c r="Y5" s="68" t="s">
        <v>32</v>
      </c>
      <c r="Z5" s="68"/>
      <c r="AA5" s="68" t="str">
        <f>IFERROR(IF(OR((Product=Serial),(Serial=Mov_Product),(LONG_SKU=Serial),(CONCATENATE("D",Product)=Serial),(CONCATENATE("D",Serial)=Product)),"Yes","No"),"No")</f>
        <v>Yes</v>
      </c>
      <c r="AB5" s="66"/>
      <c r="AC5" s="66"/>
      <c r="AD5" s="66"/>
      <c r="AE5" s="66"/>
      <c r="AF5" s="68" t="s">
        <v>33</v>
      </c>
      <c r="AG5" s="68" t="s">
        <v>12</v>
      </c>
      <c r="AH5" s="68" t="s">
        <v>13</v>
      </c>
      <c r="AI5" s="68" t="s">
        <v>0</v>
      </c>
      <c r="AJ5" s="66"/>
      <c r="AK5" s="68" t="str">
        <f>IF(AA11="Yes","STOP: You've already scanned this Mov","")</f>
        <v/>
      </c>
      <c r="AL5" s="66"/>
    </row>
    <row r="6" spans="1:38" ht="19.5" customHeight="1" thickBot="1">
      <c r="A6" s="66"/>
      <c r="B6" s="66"/>
      <c r="C6" s="66"/>
      <c r="D6" s="66"/>
      <c r="E6" s="66"/>
      <c r="F6" s="66"/>
      <c r="G6" s="110"/>
      <c r="H6" s="255"/>
      <c r="I6" s="256"/>
      <c r="J6" s="243"/>
      <c r="K6" s="243"/>
      <c r="L6" s="255"/>
      <c r="M6" s="256"/>
      <c r="N6" s="243"/>
      <c r="O6" s="111"/>
      <c r="P6" s="66"/>
      <c r="Q6" s="66"/>
      <c r="R6" s="66"/>
      <c r="S6" s="66"/>
      <c r="T6" s="66"/>
      <c r="U6" s="66"/>
      <c r="V6" s="66"/>
      <c r="W6" s="66"/>
      <c r="X6" s="66"/>
      <c r="Y6" s="68" t="s">
        <v>7</v>
      </c>
      <c r="Z6" s="4" t="str">
        <f>IFERROR(IF(ISBLANK(Mov),"",IF(IF(Toggle11="on",AND(VLOOKUP(Mov,TLSTOCK,19,FALSE)&gt;=0,VLOOKUP(Mov,TLSTOCK,19,FALSE)&lt;=999),VLOOKUP(Mov,TLSTOCK,19,FALSE)=0),"",VLOOKUP(Mov,TLSTOCK,19,FALSE))),"")</f>
        <v/>
      </c>
      <c r="AA6" s="68" t="str">
        <f>IF(Z6&lt;&gt;"","Yes","No")</f>
        <v>No</v>
      </c>
      <c r="AB6" s="66"/>
      <c r="AC6" s="72" t="s">
        <v>47</v>
      </c>
      <c r="AD6" s="73"/>
      <c r="AE6" s="66"/>
      <c r="AF6" s="70" t="str">
        <f>IFERROR(IF(Toggl8="on","TRUE",IF(ISNA(Mov_Product),"FALSE",IF(OR(N4="A",N4="O"),"FALSE","TRUE"))),"FALSE")</f>
        <v>TRUE</v>
      </c>
      <c r="AG6" s="70" t="str">
        <f>IFERROR(IF(Toggl8="on","TRUE",IF(AND(AA2="Yes",AA8="No"),"TRUE","FALSE")),"FALSE")</f>
        <v>FALSE</v>
      </c>
      <c r="AH6" s="70" t="str">
        <f>IFERROR(IF(AND(AA9="No",AA11="No",AA5="No"),"TRUE","FALSE"),"FALSE")</f>
        <v>FALSE</v>
      </c>
      <c r="AI6" s="70" t="str">
        <f>IFERROR(IF(Mov_Loc=Loc,"TRUE","FALSE"),"FALSE")</f>
        <v>TRUE</v>
      </c>
      <c r="AJ6" s="66"/>
      <c r="AK6" s="68" t="str">
        <f>IF(AND(AA5="Yes",AA7="No",AA9="No"),"Serial cannot be same as Prod Code. ","")</f>
        <v/>
      </c>
      <c r="AL6" s="66"/>
    </row>
    <row r="7" spans="1:38" ht="28" customHeight="1" thickBot="1">
      <c r="A7" s="66"/>
      <c r="B7" s="82" t="s">
        <v>3</v>
      </c>
      <c r="C7" s="82" t="s">
        <v>4</v>
      </c>
      <c r="D7" s="82" t="s">
        <v>2</v>
      </c>
      <c r="E7" s="82" t="s">
        <v>10</v>
      </c>
      <c r="F7" s="66"/>
      <c r="G7" s="110"/>
      <c r="H7" s="267" t="s">
        <v>43</v>
      </c>
      <c r="I7" s="268"/>
      <c r="J7" s="118" t="s">
        <v>95</v>
      </c>
      <c r="K7" s="117" t="s">
        <v>96</v>
      </c>
      <c r="L7" s="247" t="s">
        <v>91</v>
      </c>
      <c r="M7" s="248"/>
      <c r="N7" s="117" t="s">
        <v>130</v>
      </c>
      <c r="O7" s="111"/>
      <c r="P7" s="66"/>
      <c r="Q7" s="66"/>
      <c r="R7" s="66"/>
      <c r="S7" s="66"/>
      <c r="T7" s="66"/>
      <c r="U7" s="66"/>
      <c r="V7" s="66"/>
      <c r="W7" s="66"/>
      <c r="X7" s="66"/>
      <c r="Y7" s="68" t="s">
        <v>5</v>
      </c>
      <c r="Z7" s="68"/>
      <c r="AA7" s="68" t="str">
        <f>IF(ISBLANK(Mov),"Yes","No")</f>
        <v>Yes</v>
      </c>
      <c r="AB7" s="66"/>
      <c r="AC7" s="74" t="str">
        <f ca="1">IFERROR(RIGHT(ROUNDUP(((RIGHT(C3,1)+MINUTE(NOW()))*2.658-1),0),1),"")</f>
        <v/>
      </c>
      <c r="AD7" s="75" t="str">
        <f ca="1">YEAR(TODAY())&amp;MONTH(TODAY())&amp;DAY(TODAY())&amp;"_"&amp;HOUR(NOW())&amp;MINUTE(NOW())</f>
        <v>2026729_1116</v>
      </c>
      <c r="AE7" s="66"/>
      <c r="AF7" s="66"/>
      <c r="AG7" s="66"/>
      <c r="AH7" s="66"/>
      <c r="AI7" s="66"/>
      <c r="AJ7" s="66"/>
      <c r="AK7" s="68" t="str">
        <f>IF(OR(N4="A",N4="O"),IF(L4=Serial,"",IF(AND(AA6="Yes",AA9="No"),"   CAUTION: Serial already in system. ","")),IF(Toggl8="off",IF(L4="","","WARNING: Product has been Picked on an Order! - "),"")&amp;IF(L4=Serial,"",IF(AND(AA6="Yes",AA9="No"),"   CAUTION: Serial already in system. ","")))</f>
        <v/>
      </c>
      <c r="AL7" s="66"/>
    </row>
    <row r="8" spans="1:38" ht="50.15" customHeight="1" thickBot="1">
      <c r="A8" s="66"/>
      <c r="B8" s="5"/>
      <c r="C8" s="63"/>
      <c r="D8" s="225"/>
      <c r="E8" s="5"/>
      <c r="F8" s="66"/>
      <c r="G8" s="110"/>
      <c r="H8" s="249" t="str">
        <f>Mov_Product</f>
        <v/>
      </c>
      <c r="I8" s="250"/>
      <c r="J8" s="127" t="str">
        <f>IF(SUMIF('TL Stock'!D:D,Scan!H8,'TL Stock'!F:F)=0,"",SUMIF('TL Stock'!D:D,Scan!H8,'TL Stock'!F:F))</f>
        <v/>
      </c>
      <c r="K8" s="127" t="str">
        <f>IF(ISBLANK(Mov),"",VLOOKUP(Mov,TLSTOCK, 3,FALSE))</f>
        <v/>
      </c>
      <c r="L8" s="249" t="str">
        <f>IF(Z10=0,"",Z10)</f>
        <v/>
      </c>
      <c r="M8" s="250"/>
      <c r="N8" s="127" t="str">
        <f>IFERROR(IF(ISBLANK(Mov),"",VLOOKUP(Mov,TLSTOCK, 2,FALSE)),"NO DATA")</f>
        <v/>
      </c>
      <c r="O8" s="111"/>
      <c r="P8" s="66"/>
      <c r="Q8" s="66"/>
      <c r="R8" s="66"/>
      <c r="S8" s="66"/>
      <c r="T8" s="66"/>
      <c r="U8" s="66"/>
      <c r="V8" s="66"/>
      <c r="W8" s="66"/>
      <c r="X8" s="66"/>
      <c r="Y8" s="68" t="s">
        <v>25</v>
      </c>
      <c r="Z8" s="68"/>
      <c r="AA8" s="68" t="str">
        <f>IF(ISBLANK(Product),"Yes","No")</f>
        <v>Yes</v>
      </c>
      <c r="AB8" s="66"/>
      <c r="AC8" s="66"/>
      <c r="AD8" s="66"/>
      <c r="AE8" s="66"/>
      <c r="AF8" s="66"/>
      <c r="AG8" s="66"/>
      <c r="AH8" s="66"/>
      <c r="AI8" s="66"/>
      <c r="AJ8" s="66"/>
      <c r="AK8" s="68" t="str">
        <f>IF(AA7="Yes",IF(C13="IMPORTED",IF(AND(C13="IMPORTED",B11&gt;0.01,B15=0,D13="Not Saved"),"Data Ready for Export. ",IF(AND(B11=0,AD14="UP"),"Import File Older than 6 mins. Is this okay?","Scan Movement Barcode. ")),"Get Data - Click IMPORT button to begin! "),"")</f>
        <v xml:space="preserve">Get Data - Click IMPORT button to begin! </v>
      </c>
      <c r="AL8" s="66"/>
    </row>
    <row r="9" spans="1:38" ht="24.65" customHeight="1" thickBot="1">
      <c r="A9" s="66"/>
      <c r="B9" s="66"/>
      <c r="C9" s="66"/>
      <c r="D9" s="66"/>
      <c r="E9" s="66"/>
      <c r="F9" s="66"/>
      <c r="G9" s="110"/>
      <c r="H9" s="113"/>
      <c r="I9" s="113"/>
      <c r="J9" s="113"/>
      <c r="K9" s="113"/>
      <c r="L9" s="113"/>
      <c r="M9" s="113"/>
      <c r="N9" s="113"/>
      <c r="O9" s="111"/>
      <c r="P9" s="66"/>
      <c r="Q9" s="66"/>
      <c r="R9" s="66"/>
      <c r="S9" s="66"/>
      <c r="T9" s="66"/>
      <c r="U9" s="66"/>
      <c r="V9" s="66"/>
      <c r="W9" s="66"/>
      <c r="X9" s="66"/>
      <c r="Y9" s="68" t="s">
        <v>9</v>
      </c>
      <c r="Z9" s="68"/>
      <c r="AA9" s="68" t="str">
        <f>IF(ISBLANK(Serial),"Yes","No")</f>
        <v>Yes</v>
      </c>
      <c r="AB9" s="68" t="s">
        <v>74</v>
      </c>
      <c r="AC9" s="66"/>
      <c r="AD9" s="66"/>
      <c r="AE9" s="66"/>
      <c r="AF9" s="66"/>
      <c r="AG9" s="66"/>
      <c r="AH9" s="66"/>
      <c r="AI9" s="66"/>
      <c r="AJ9" s="66"/>
      <c r="AK9" s="68" t="str">
        <f>IF(AND(AA8="Yes",AA7="No",AA11="No"),IF(Toggl12="on","","Scan a Product Barcode. "),"")</f>
        <v/>
      </c>
      <c r="AL9" s="66"/>
    </row>
    <row r="10" spans="1:38" ht="15" thickBot="1">
      <c r="A10" s="66"/>
      <c r="B10" s="130" t="s">
        <v>98</v>
      </c>
      <c r="C10" s="128"/>
      <c r="D10" s="108"/>
      <c r="E10" s="109"/>
      <c r="F10" s="66"/>
      <c r="G10" s="110"/>
      <c r="H10" s="113"/>
      <c r="I10" s="113"/>
      <c r="J10" s="113"/>
      <c r="K10" s="113"/>
      <c r="L10" s="113"/>
      <c r="M10" s="113"/>
      <c r="N10" s="113"/>
      <c r="O10" s="111"/>
      <c r="P10" s="66"/>
      <c r="Q10" s="66"/>
      <c r="R10" s="66"/>
      <c r="S10" s="66"/>
      <c r="T10" s="66"/>
      <c r="U10" s="66"/>
      <c r="V10" s="66"/>
      <c r="W10" s="66"/>
      <c r="X10" s="66"/>
      <c r="Y10" s="80" t="s">
        <v>68</v>
      </c>
      <c r="Z10" s="68" t="str">
        <f>IFERROR(IF(ISBLANK(Mov),"",VLOOKUP(Mov,TLSTOCK, 21,FALSE)),"")</f>
        <v/>
      </c>
      <c r="AA10" s="68" t="str">
        <f>IF(OR(Product=Z10,AA2="Yes"),"Yes","No")</f>
        <v>Yes</v>
      </c>
      <c r="AB10" s="70" t="str">
        <f>IFERROR(IF(SERIALIN=Serial,"TRUE",IF(Serial=Z6,"TRUE",IF(AND(SERIALIN="",Z6=""),"FALSE","TRUE"))),"FALSE")</f>
        <v>TRUE</v>
      </c>
      <c r="AC10" s="72" t="s">
        <v>48</v>
      </c>
      <c r="AD10" s="73"/>
      <c r="AE10" s="66"/>
      <c r="AF10" s="66"/>
      <c r="AG10" s="66"/>
      <c r="AH10" s="76" t="s">
        <v>53</v>
      </c>
      <c r="AI10" s="66"/>
      <c r="AJ10" s="66"/>
      <c r="AK10" s="68" t="str">
        <f>IF(AND(AA9="Yes",AA7="No",AA8="No"),"  Now Scan the Serial Barcode.  ","")</f>
        <v/>
      </c>
      <c r="AL10" s="66"/>
    </row>
    <row r="11" spans="1:38" ht="16" thickBot="1">
      <c r="A11" s="66"/>
      <c r="B11" s="131">
        <f>COUNT(Record!A3:A999)</f>
        <v>0</v>
      </c>
      <c r="C11" s="129"/>
      <c r="D11" s="113"/>
      <c r="E11" s="111"/>
      <c r="F11" s="66"/>
      <c r="G11" s="110"/>
      <c r="H11" s="113"/>
      <c r="I11" s="113"/>
      <c r="J11" s="113"/>
      <c r="K11" s="113"/>
      <c r="L11" s="113"/>
      <c r="M11" s="113"/>
      <c r="N11" s="113"/>
      <c r="O11" s="111"/>
      <c r="P11" s="66"/>
      <c r="Q11" s="66"/>
      <c r="R11" s="66"/>
      <c r="S11" s="66"/>
      <c r="T11" s="66"/>
      <c r="U11" s="66"/>
      <c r="V11" s="66"/>
      <c r="W11" s="66"/>
      <c r="X11" s="66"/>
      <c r="Y11" s="68" t="s">
        <v>73</v>
      </c>
      <c r="Z11" s="14" t="str">
        <f>IFERROR(VLOOKUP(Mov,RecordedSerialsSerials,3,FALSE),"")</f>
        <v/>
      </c>
      <c r="AA11" s="68" t="str">
        <f>IF(Toggle6="on","No",IF(OR(ISBLANK(SERIALIN),SERIALIN=""),"No","Yes"))</f>
        <v>No</v>
      </c>
      <c r="AB11" s="66"/>
      <c r="AC11" s="206" t="str">
        <f ca="1">(IF(HOUR(NOW())&gt;11.9,HOUR(NOW())+0,HOUR(NOW()))&amp;":"&amp;RIGHT(CONCATENATE("0",MINUTE(NOW())),2)&amp;IF(HOUR(NOW())&gt;11.9," PM"," AM"))</f>
        <v>11:16 AM</v>
      </c>
      <c r="AD11" s="207" t="str">
        <f ca="1">IF(DAY(TODAY())&lt;9.9,""&amp;DAY(TODAY()),DAY(TODAY()))&amp;"/"&amp;RIGHT("0"&amp;MONTH(TODAY()),2)&amp;"/"&amp;YEAR((TODAY()))</f>
        <v>29/07/2026</v>
      </c>
      <c r="AE11" s="66"/>
      <c r="AF11" s="66"/>
      <c r="AG11" s="66"/>
      <c r="AH11" s="79" t="str">
        <f>IFERROR(IF(AH2=0,SoundMe(),IF(AE2=2,SoundMe2(),IF(AF2=2,SoundMe2(),IF(AG2="3",SoundMe3(),IF(AI2=3,SoundMe3(),IF(AJ2=3,SoundMe3(),"NOT PLAYING")))))),"NOT PLAYING")</f>
        <v>NOT PLAYING</v>
      </c>
      <c r="AI11" s="66"/>
      <c r="AJ11" s="66"/>
      <c r="AK11" s="80" t="str">
        <f>IF(AA10="No","Product Code Invalid - doesn’t match system. ","")</f>
        <v/>
      </c>
      <c r="AL11" s="66"/>
    </row>
    <row r="12" spans="1:38" ht="15" thickBot="1">
      <c r="A12" s="66"/>
      <c r="B12" s="130" t="str">
        <f>IF(SECNUM="","Est. Pallets Scanned","Est. Pallets Remaining")</f>
        <v>Est. Pallets Scanned</v>
      </c>
      <c r="C12" s="137" t="s">
        <v>35</v>
      </c>
      <c r="D12" s="259" t="s">
        <v>36</v>
      </c>
      <c r="E12" s="260"/>
      <c r="F12" s="66"/>
      <c r="G12" s="110"/>
      <c r="H12" s="113"/>
      <c r="I12" s="113"/>
      <c r="J12" s="262" t="s">
        <v>125</v>
      </c>
      <c r="K12" s="262"/>
      <c r="L12" s="113"/>
      <c r="M12" s="113"/>
      <c r="N12" s="113"/>
      <c r="O12" s="111"/>
      <c r="P12" s="66"/>
      <c r="Q12" s="66"/>
      <c r="R12" s="66"/>
      <c r="S12" s="66"/>
      <c r="T12" s="66"/>
      <c r="U12" s="66"/>
      <c r="V12" s="66"/>
      <c r="W12" s="66"/>
      <c r="X12" s="66"/>
      <c r="Y12" s="66"/>
      <c r="Z12" s="66"/>
      <c r="AA12" s="66"/>
      <c r="AB12" s="66"/>
      <c r="AC12" s="204">
        <f ca="1">NOW()</f>
        <v>46232.470003009257</v>
      </c>
      <c r="AD12" s="208" t="s">
        <v>121</v>
      </c>
      <c r="AE12" s="66"/>
      <c r="AF12" s="66"/>
      <c r="AG12" s="66"/>
      <c r="AH12" s="66"/>
      <c r="AI12" s="66"/>
      <c r="AJ12" s="66"/>
      <c r="AK12" s="68" t="str">
        <f>IF(L4=Serial,IF(L4="","","Serial already in System. Try Again. "),IF(AND(AA9="No",AB10="TRUE"),"--   STOP: already have a serial recorded for this MOV",""))</f>
        <v/>
      </c>
      <c r="AL12" s="66"/>
    </row>
    <row r="13" spans="1:38" ht="15" thickBot="1">
      <c r="A13" s="66"/>
      <c r="B13" s="132">
        <f>IF(PALLTOT=0,IF(SECNUM="",(ROUNDUP(B11/4,0)),""),(IFERROR(IF(SECNUM="",(ROUNDUP(B11/4,0)),ROUNDUP(PALLTOT-(ROUNDUP(B11/(QUAN/(SECNUM-FIRNUM+1)),0)),0)),0))&amp;"  (Total:"&amp;PALLTOT&amp;")")</f>
        <v>0</v>
      </c>
      <c r="C13" s="212" t="str">
        <f>IF('TL Stock'!1:1048576&gt;1,"IMPORTED","No Data")</f>
        <v>No Data</v>
      </c>
      <c r="D13" s="257" t="str">
        <f>IF(EXPORTSTATUS="Yes","Exported","Not Saved")</f>
        <v>Not Saved</v>
      </c>
      <c r="E13" s="258"/>
      <c r="F13" s="66"/>
      <c r="G13" s="110"/>
      <c r="H13" s="113"/>
      <c r="I13" s="113"/>
      <c r="J13" s="261" t="str">
        <f>IF([0]!FIELDREM=0,"",[0]!FIELDREM)</f>
        <v/>
      </c>
      <c r="K13" s="261"/>
      <c r="L13" s="113"/>
      <c r="M13" s="113"/>
      <c r="N13" s="113"/>
      <c r="O13" s="111"/>
      <c r="P13" s="66"/>
      <c r="Q13" s="66"/>
      <c r="R13" s="66"/>
      <c r="S13" s="66"/>
      <c r="T13" s="66"/>
      <c r="U13" s="66"/>
      <c r="V13" s="66"/>
      <c r="W13" s="66"/>
      <c r="X13" s="66"/>
      <c r="Y13" s="66"/>
      <c r="Z13" s="66"/>
      <c r="AA13" s="66"/>
      <c r="AB13" s="66"/>
      <c r="AC13" s="223" t="e">
        <f ca="1">(IF(DATETIMENOW=0,"",DATETIMENOW))-(IF(IMPORTDATETIME=0,"",IMPORTDATETIME))</f>
        <v>#VALUE!</v>
      </c>
      <c r="AD13" s="205" t="s">
        <v>122</v>
      </c>
      <c r="AE13" s="66"/>
      <c r="AF13" s="66"/>
      <c r="AG13" s="66"/>
      <c r="AH13" s="66"/>
      <c r="AI13" s="66"/>
      <c r="AJ13" s="66"/>
      <c r="AK13" s="66"/>
      <c r="AL13" s="66"/>
    </row>
    <row r="14" spans="1:38" ht="15" thickBot="1">
      <c r="A14" s="66"/>
      <c r="B14" s="130" t="s">
        <v>54</v>
      </c>
      <c r="C14" s="135" t="s">
        <v>110</v>
      </c>
      <c r="D14" s="107"/>
      <c r="E14" s="136"/>
      <c r="F14" s="66"/>
      <c r="G14" s="110"/>
      <c r="H14" s="113"/>
      <c r="I14" s="113"/>
      <c r="J14" s="113"/>
      <c r="K14" s="113"/>
      <c r="L14" s="113"/>
      <c r="M14" s="113"/>
      <c r="N14" s="113"/>
      <c r="O14" s="111"/>
      <c r="P14" s="66"/>
      <c r="Q14" s="66"/>
      <c r="R14" s="66"/>
      <c r="S14" s="66"/>
      <c r="T14" s="66"/>
      <c r="U14" s="66"/>
      <c r="V14" s="66"/>
      <c r="W14" s="66"/>
      <c r="X14" s="66"/>
      <c r="Y14" s="66"/>
      <c r="Z14" s="66"/>
      <c r="AA14" s="66"/>
      <c r="AB14" s="66"/>
      <c r="AC14" s="209" t="e">
        <f ca="1">AC13-LEFT(AC13,3)</f>
        <v>#VALUE!</v>
      </c>
      <c r="AD14" s="210" t="e">
        <f ca="1">IF(AC14&gt;0.00416666666666667,"UP","DN")</f>
        <v>#VALUE!</v>
      </c>
      <c r="AE14" s="66"/>
      <c r="AF14" s="66"/>
      <c r="AG14" s="66"/>
      <c r="AH14" s="66"/>
      <c r="AI14" s="66"/>
      <c r="AJ14" s="66"/>
      <c r="AK14" s="66"/>
      <c r="AL14" s="66"/>
    </row>
    <row r="15" spans="1:38" ht="15" thickBot="1">
      <c r="A15" s="66"/>
      <c r="B15" s="133" t="str">
        <f>IF(QUAN="","0",QUAN-B11)</f>
        <v>0</v>
      </c>
      <c r="C15" s="221" t="str">
        <f>IF(C13="No Data","",DateofImp)</f>
        <v/>
      </c>
      <c r="D15" s="211" t="str">
        <f>IF(B15="0","                    Enter your total first","")</f>
        <v xml:space="preserve">                    Enter your total first</v>
      </c>
      <c r="E15" s="134"/>
      <c r="F15" s="66"/>
      <c r="G15" s="110"/>
      <c r="H15" s="113"/>
      <c r="I15" s="113"/>
      <c r="J15" s="113"/>
      <c r="K15" s="113"/>
      <c r="L15" s="113"/>
      <c r="M15" s="113"/>
      <c r="N15" s="113"/>
      <c r="O15" s="111"/>
      <c r="P15" s="66"/>
      <c r="Q15" s="66"/>
      <c r="R15" s="66"/>
      <c r="S15" s="66"/>
      <c r="T15" s="66"/>
      <c r="U15" s="66"/>
      <c r="V15" s="66"/>
      <c r="W15" s="66"/>
      <c r="X15" s="66"/>
      <c r="Y15" s="66"/>
      <c r="Z15" s="66"/>
      <c r="AA15" s="66"/>
      <c r="AB15" s="66"/>
      <c r="AC15" s="66"/>
      <c r="AD15" s="66"/>
      <c r="AE15" s="66"/>
      <c r="AF15" s="66"/>
      <c r="AG15" s="66"/>
      <c r="AH15" s="66"/>
      <c r="AI15" s="66"/>
      <c r="AJ15" s="66"/>
      <c r="AK15" s="66"/>
      <c r="AL15" s="66"/>
    </row>
    <row r="16" spans="1:38">
      <c r="A16" s="66"/>
      <c r="B16" s="66"/>
      <c r="C16" s="66"/>
      <c r="D16" s="66"/>
      <c r="E16" s="66"/>
      <c r="F16" s="66"/>
      <c r="G16" s="110"/>
      <c r="H16" s="113"/>
      <c r="I16" s="113"/>
      <c r="J16" s="113"/>
      <c r="K16" s="113"/>
      <c r="L16" s="113"/>
      <c r="M16" s="113"/>
      <c r="N16" s="113"/>
      <c r="O16" s="111"/>
      <c r="P16" s="66"/>
      <c r="Q16" s="66"/>
      <c r="R16" s="66"/>
      <c r="S16" s="66"/>
      <c r="T16" s="66"/>
      <c r="U16" s="66"/>
      <c r="V16" s="66"/>
      <c r="W16" s="66"/>
      <c r="X16" s="66"/>
      <c r="Y16" s="66"/>
      <c r="Z16" s="66"/>
      <c r="AA16" s="66"/>
      <c r="AB16" s="66"/>
      <c r="AC16" s="66"/>
      <c r="AD16" s="66"/>
      <c r="AE16" s="66"/>
      <c r="AF16" s="66"/>
      <c r="AG16" s="66"/>
      <c r="AH16" s="66"/>
      <c r="AI16" s="66"/>
      <c r="AJ16" s="66"/>
      <c r="AK16" s="66"/>
      <c r="AL16" s="66"/>
    </row>
    <row r="17" spans="1:38">
      <c r="A17" s="66"/>
      <c r="B17" s="66"/>
      <c r="C17" s="66"/>
      <c r="D17" s="66"/>
      <c r="E17" s="66"/>
      <c r="F17" s="66"/>
      <c r="G17" s="110"/>
      <c r="H17" s="113"/>
      <c r="I17" s="113"/>
      <c r="J17" s="113"/>
      <c r="K17" s="113"/>
      <c r="L17" s="113"/>
      <c r="M17" s="113"/>
      <c r="N17" s="113"/>
      <c r="O17" s="111"/>
      <c r="P17" s="66"/>
      <c r="Q17" s="66"/>
      <c r="R17" s="66"/>
      <c r="S17" s="66"/>
      <c r="T17" s="66"/>
      <c r="U17" s="66"/>
      <c r="V17" s="66"/>
      <c r="W17" s="66"/>
      <c r="X17" s="66"/>
      <c r="Y17" s="66"/>
      <c r="Z17" s="66"/>
      <c r="AA17" s="66"/>
      <c r="AB17" s="66"/>
      <c r="AC17" s="66"/>
      <c r="AD17" s="66"/>
      <c r="AE17" s="66"/>
      <c r="AF17" s="66"/>
      <c r="AG17" s="66"/>
      <c r="AH17" s="66"/>
      <c r="AI17" s="66"/>
      <c r="AJ17" s="66"/>
      <c r="AK17" s="66"/>
      <c r="AL17" s="66"/>
    </row>
    <row r="18" spans="1:38">
      <c r="A18" s="66"/>
      <c r="B18" s="66"/>
      <c r="C18" s="66"/>
      <c r="D18" s="66"/>
      <c r="E18" s="66"/>
      <c r="F18" s="66"/>
      <c r="G18" s="110"/>
      <c r="H18" s="113"/>
      <c r="I18" s="113"/>
      <c r="J18" s="113"/>
      <c r="K18" s="113"/>
      <c r="L18" s="113"/>
      <c r="M18" s="113"/>
      <c r="N18" s="113"/>
      <c r="O18" s="111"/>
      <c r="P18" s="66"/>
      <c r="Q18" s="66"/>
      <c r="R18" s="66"/>
      <c r="S18" s="66"/>
      <c r="T18" s="66"/>
      <c r="U18" s="66"/>
      <c r="V18" s="66"/>
      <c r="W18" s="66"/>
      <c r="X18" s="66"/>
      <c r="Y18" s="66"/>
      <c r="Z18" s="66"/>
      <c r="AA18" s="66"/>
      <c r="AB18" s="66"/>
      <c r="AC18" s="66"/>
      <c r="AD18" s="66"/>
      <c r="AE18" s="66"/>
      <c r="AF18" s="66"/>
      <c r="AG18" s="66"/>
      <c r="AH18" s="66"/>
      <c r="AI18" s="66"/>
      <c r="AJ18" s="66"/>
      <c r="AK18" s="66"/>
      <c r="AL18" s="66"/>
    </row>
    <row r="19" spans="1:38">
      <c r="A19" s="66"/>
      <c r="B19" s="66"/>
      <c r="C19" s="66"/>
      <c r="D19" s="66"/>
      <c r="E19" s="66"/>
      <c r="F19" s="66"/>
      <c r="G19" s="110"/>
      <c r="H19" s="113"/>
      <c r="I19" s="113"/>
      <c r="J19" s="113"/>
      <c r="K19" s="113"/>
      <c r="L19" s="113"/>
      <c r="M19" s="113"/>
      <c r="N19" s="113"/>
      <c r="O19" s="111"/>
      <c r="P19" s="66"/>
      <c r="Q19" s="66"/>
      <c r="R19" s="66"/>
      <c r="S19" s="66"/>
      <c r="T19" s="66"/>
      <c r="U19" s="66"/>
      <c r="V19" s="66"/>
      <c r="W19" s="66"/>
      <c r="X19" s="66"/>
      <c r="Y19" s="66"/>
      <c r="Z19" s="66"/>
      <c r="AA19" s="66"/>
      <c r="AB19" s="66"/>
      <c r="AC19" s="66"/>
      <c r="AD19" s="66"/>
      <c r="AE19" s="66"/>
      <c r="AF19" s="66"/>
      <c r="AG19" s="66"/>
      <c r="AH19" s="66"/>
      <c r="AI19" s="66"/>
      <c r="AJ19" s="66"/>
      <c r="AK19" s="66"/>
      <c r="AL19" s="66"/>
    </row>
    <row r="20" spans="1:38" ht="15" thickBot="1">
      <c r="A20" s="66"/>
      <c r="B20" s="66"/>
      <c r="C20" s="66"/>
      <c r="D20" s="66"/>
      <c r="E20" s="66"/>
      <c r="F20" s="66"/>
      <c r="G20" s="114"/>
      <c r="H20" s="115"/>
      <c r="I20" s="115"/>
      <c r="J20" s="115"/>
      <c r="K20" s="115"/>
      <c r="L20" s="115"/>
      <c r="M20" s="115"/>
      <c r="N20" s="115"/>
      <c r="O20" s="116"/>
      <c r="P20" s="66"/>
      <c r="Q20" s="66"/>
      <c r="R20" s="66"/>
      <c r="S20" s="66"/>
      <c r="T20" s="66"/>
      <c r="U20" s="66"/>
      <c r="V20" s="66"/>
      <c r="W20" s="66"/>
      <c r="X20" s="66"/>
      <c r="Y20" s="66"/>
      <c r="Z20" s="66"/>
      <c r="AA20" s="66"/>
      <c r="AB20" s="66"/>
      <c r="AC20" s="66"/>
      <c r="AD20" s="66"/>
      <c r="AE20" s="66"/>
      <c r="AF20" s="66"/>
      <c r="AG20" s="66"/>
      <c r="AH20" s="66"/>
      <c r="AI20" s="66"/>
      <c r="AJ20" s="66"/>
      <c r="AK20" s="66"/>
      <c r="AL20" s="66"/>
    </row>
    <row r="21" spans="1:38">
      <c r="A21" s="20"/>
      <c r="B21" s="20"/>
      <c r="C21" s="20"/>
      <c r="D21" s="28"/>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row>
    <row r="22" spans="1:38">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row>
    <row r="23" spans="1:38">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row>
    <row r="24" spans="1:38">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row>
    <row r="25" spans="1:38">
      <c r="A25" s="29"/>
      <c r="B25" s="31" t="str">
        <f>Toggl1</f>
        <v>on</v>
      </c>
      <c r="C25" s="31" t="str">
        <f>Toggl2</f>
        <v>on</v>
      </c>
      <c r="D25" s="31" t="str">
        <f>Toggl3</f>
        <v>off</v>
      </c>
      <c r="E25" s="31" t="str">
        <f>Toggl4</f>
        <v>on</v>
      </c>
      <c r="F25" s="31" t="str">
        <f>Toggl5</f>
        <v>on</v>
      </c>
      <c r="G25" s="31" t="str">
        <f>Toggl7</f>
        <v>off</v>
      </c>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row>
    <row r="26" spans="1:38">
      <c r="A26" s="30"/>
      <c r="B26" s="30"/>
      <c r="C26" s="30"/>
      <c r="D26" s="30"/>
      <c r="E26" s="30"/>
      <c r="F26" s="30"/>
      <c r="G26" s="30"/>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row>
    <row r="27" spans="1:38">
      <c r="A27" s="30"/>
      <c r="B27" s="30" t="str">
        <f>Toggl6</f>
        <v>off</v>
      </c>
      <c r="C27" s="30" t="str">
        <f>Toggl8</f>
        <v>off</v>
      </c>
      <c r="D27" s="30" t="str">
        <f>Toggl9</f>
        <v>on</v>
      </c>
      <c r="E27" s="30" t="str">
        <f>Toggl10</f>
        <v>off</v>
      </c>
      <c r="F27" s="30" t="str">
        <f>Toggl11</f>
        <v>on</v>
      </c>
      <c r="G27" s="30" t="str">
        <f>Toggl12</f>
        <v>off</v>
      </c>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row>
    <row r="28" spans="1:38">
      <c r="A28" s="30"/>
      <c r="B28" s="30"/>
      <c r="C28" s="30"/>
      <c r="D28" s="30"/>
      <c r="E28" s="30"/>
      <c r="F28" s="30"/>
      <c r="G28" s="30"/>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row>
    <row r="29" spans="1:38">
      <c r="A29" s="24"/>
      <c r="B29" s="24"/>
      <c r="C29" s="24"/>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row>
    <row r="30" spans="1:38">
      <c r="A30" s="24"/>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row>
    <row r="31" spans="1:38">
      <c r="A31" s="24"/>
      <c r="B31" s="24"/>
      <c r="C31" s="24"/>
      <c r="D31" s="2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row>
    <row r="32" spans="1:38" ht="93.75" customHeight="1">
      <c r="A32" s="24"/>
      <c r="B32" s="24"/>
      <c r="C32" s="24"/>
      <c r="D32" s="2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row>
  </sheetData>
  <sheetProtection sheet="1" selectLockedCells="1"/>
  <mergeCells count="18">
    <mergeCell ref="D13:E13"/>
    <mergeCell ref="D12:E12"/>
    <mergeCell ref="J13:K13"/>
    <mergeCell ref="J12:K12"/>
    <mergeCell ref="D2:E2"/>
    <mergeCell ref="D3:E3"/>
    <mergeCell ref="H3:I3"/>
    <mergeCell ref="H4:I6"/>
    <mergeCell ref="J4:J6"/>
    <mergeCell ref="K4:K6"/>
    <mergeCell ref="H7:I7"/>
    <mergeCell ref="H8:I8"/>
    <mergeCell ref="N4:N6"/>
    <mergeCell ref="H2:N2"/>
    <mergeCell ref="L3:M3"/>
    <mergeCell ref="L8:M8"/>
    <mergeCell ref="L7:M7"/>
    <mergeCell ref="L4:M6"/>
  </mergeCells>
  <conditionalFormatting sqref="C13">
    <cfRule type="containsText" dxfId="41" priority="30" stopIfTrue="1" operator="containsText" text="IMPORTED">
      <formula>NOT(ISERROR(SEARCH("IMPORTED",C13)))</formula>
    </cfRule>
    <cfRule type="containsText" dxfId="40" priority="31" stopIfTrue="1" operator="containsText" text="No Data">
      <formula>NOT(ISERROR(SEARCH("No Data",C13)))</formula>
    </cfRule>
  </conditionalFormatting>
  <conditionalFormatting sqref="D13">
    <cfRule type="containsText" dxfId="39" priority="28" stopIfTrue="1" operator="containsText" text="Exported">
      <formula>NOT(ISERROR(SEARCH("Exported",D13)))</formula>
    </cfRule>
    <cfRule type="containsText" dxfId="38" priority="29" stopIfTrue="1" operator="containsText" text="Not Saved">
      <formula>NOT(ISERROR(SEARCH("Not Saved",D13)))</formula>
    </cfRule>
  </conditionalFormatting>
  <conditionalFormatting sqref="C15">
    <cfRule type="expression" dxfId="37" priority="6">
      <formula>$AD$14="UP"</formula>
    </cfRule>
    <cfRule type="containsText" dxfId="36" priority="19" stopIfTrue="1" operator="containsText" text="!Error!">
      <formula>NOT(ISERROR(SEARCH("!Error!",C15)))</formula>
    </cfRule>
    <cfRule type="containsBlanks" dxfId="35" priority="62" stopIfTrue="1">
      <formula>LEN(TRIM(C15))=0</formula>
    </cfRule>
    <cfRule type="notContainsBlanks" dxfId="34" priority="88" stopIfTrue="1">
      <formula>LEN(TRIM(C15))&gt;0</formula>
    </cfRule>
  </conditionalFormatting>
  <conditionalFormatting sqref="D3:E3">
    <cfRule type="expression" dxfId="33" priority="7">
      <formula>$D$3="Import Data from Translogix first!"</formula>
    </cfRule>
    <cfRule type="expression" dxfId="32" priority="8">
      <formula>$D$3="Data Ready for Export."</formula>
    </cfRule>
    <cfRule type="expression" dxfId="31" priority="12">
      <formula>$D$3="Ready to Record"</formula>
    </cfRule>
    <cfRule type="expression" dxfId="30" priority="13">
      <formula>$D$3="Scan Movement Barcode."</formula>
    </cfRule>
    <cfRule type="expression" dxfId="29" priority="14">
      <formula>$D$3&lt;&gt;"Good to Go"</formula>
    </cfRule>
    <cfRule type="containsText" dxfId="28" priority="5" stopIfTrue="1" operator="containsText" text="Import File Older than 6 mins. Is this okay?">
      <formula>NOT(ISERROR(SEARCH("Import File Older than 6 mins. Is this okay?",D3)))</formula>
    </cfRule>
  </conditionalFormatting>
  <conditionalFormatting sqref="B3">
    <cfRule type="expression" priority="63" stopIfTrue="1">
      <formula>ISBLANK(Loc)</formula>
    </cfRule>
    <cfRule type="expression" dxfId="27" priority="64" stopIfTrue="1">
      <formula>AND(Toggle2="off",$AI$6="FALSE")</formula>
    </cfRule>
    <cfRule type="expression" dxfId="26" priority="65" stopIfTrue="1">
      <formula>AND(Toggle2="off",$AI$6="TRUE")</formula>
    </cfRule>
  </conditionalFormatting>
  <conditionalFormatting sqref="C8">
    <cfRule type="expression" priority="66" stopIfTrue="1">
      <formula>ISBLANK(Product)</formula>
    </cfRule>
    <cfRule type="expression" dxfId="25" priority="67" stopIfTrue="1">
      <formula>AND($AG$6="TRUE")</formula>
    </cfRule>
    <cfRule type="expression" dxfId="24" priority="68" stopIfTrue="1">
      <formula>AND($AG$6="FALSE")</formula>
    </cfRule>
    <cfRule type="expression" dxfId="23" priority="4" stopIfTrue="1">
      <formula>Toggl8="on"</formula>
    </cfRule>
  </conditionalFormatting>
  <conditionalFormatting sqref="D8">
    <cfRule type="expression" priority="69" stopIfTrue="1">
      <formula>ISBLANK(Serial)</formula>
    </cfRule>
    <cfRule type="expression" dxfId="22" priority="70" stopIfTrue="1">
      <formula>AND($AH$6="FALSE")</formula>
    </cfRule>
    <cfRule type="expression" dxfId="21" priority="71" stopIfTrue="1">
      <formula>AND($AH$6="TRUE")</formula>
    </cfRule>
    <cfRule type="expression" dxfId="20" priority="1" stopIfTrue="1">
      <formula>Toggl6="on"</formula>
    </cfRule>
  </conditionalFormatting>
  <conditionalFormatting sqref="B8">
    <cfRule type="expression" priority="72" stopIfTrue="1">
      <formula>ISBLANK(Mov)</formula>
    </cfRule>
    <cfRule type="expression" dxfId="19" priority="73" stopIfTrue="1">
      <formula>AND($AF$6="FALSE")</formula>
    </cfRule>
    <cfRule type="expression" dxfId="18" priority="74" stopIfTrue="1">
      <formula>AND($AF$6="TRUE")</formula>
    </cfRule>
  </conditionalFormatting>
  <conditionalFormatting sqref="B8">
    <cfRule type="expression" dxfId="17" priority="87" stopIfTrue="1">
      <formula>AND($AH$6="FALSE")</formula>
    </cfRule>
  </conditionalFormatting>
  <conditionalFormatting sqref="C7">
    <cfRule type="expression" dxfId="16" priority="3" stopIfTrue="1">
      <formula>Toggl8="on"</formula>
    </cfRule>
  </conditionalFormatting>
  <conditionalFormatting sqref="D7">
    <cfRule type="expression" dxfId="15" priority="2" stopIfTrue="1">
      <formula>Toggl6="on"</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2"/>
  <dimension ref="B1:W1"/>
  <sheetViews>
    <sheetView workbookViewId="0"/>
  </sheetViews>
  <sheetFormatPr defaultRowHeight="14.5"/>
  <cols>
    <col min="1" max="1" width="13" bestFit="1" customWidth="1"/>
    <col min="2" max="2" width="10.453125" style="16" bestFit="1" customWidth="1"/>
    <col min="3" max="3" width="14" bestFit="1" customWidth="1"/>
    <col min="4" max="4" width="20" bestFit="1" customWidth="1"/>
    <col min="5" max="5" width="44.90625" bestFit="1" customWidth="1"/>
    <col min="6" max="6" width="13.08984375" bestFit="1" customWidth="1"/>
    <col min="7" max="7" width="10.7265625" bestFit="1" customWidth="1"/>
    <col min="8" max="8" width="12" bestFit="1" customWidth="1"/>
    <col min="9" max="9" width="12.7265625" bestFit="1" customWidth="1"/>
    <col min="10" max="10" width="10" bestFit="1" customWidth="1"/>
    <col min="11" max="11" width="17.26953125" bestFit="1" customWidth="1"/>
    <col min="12" max="12" width="11.6328125" bestFit="1" customWidth="1"/>
    <col min="13" max="13" width="10.36328125" bestFit="1" customWidth="1"/>
    <col min="14" max="14" width="11" bestFit="1" customWidth="1"/>
    <col min="15" max="15" width="14.453125" bestFit="1" customWidth="1"/>
    <col min="16" max="16" width="15.453125" bestFit="1" customWidth="1"/>
    <col min="17" max="17" width="11.1796875" bestFit="1" customWidth="1"/>
    <col min="18" max="18" width="18.54296875" bestFit="1" customWidth="1"/>
    <col min="19" max="19" width="19.90625" bestFit="1" customWidth="1"/>
    <col min="20" max="20" width="11.08984375" bestFit="1" customWidth="1"/>
    <col min="21" max="21" width="27" bestFit="1" customWidth="1"/>
    <col min="22" max="22" width="25.36328125" bestFit="1" customWidth="1"/>
    <col min="23" max="23" width="18.1796875" style="180" bestFit="1" customWidth="1"/>
    <col min="24" max="24" width="7.81640625" bestFit="1" customWidth="1"/>
  </cols>
  <sheetData>
    <row r="1" spans="2:23" s="2" customFormat="1">
      <c r="B1" s="35"/>
      <c r="C1" s="7"/>
      <c r="W1" s="179"/>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sheetPr codeName="Sheet3">
    <tabColor rgb="FF002060"/>
  </sheetPr>
  <dimension ref="A1:K2"/>
  <sheetViews>
    <sheetView workbookViewId="0"/>
  </sheetViews>
  <sheetFormatPr defaultRowHeight="14.5"/>
  <cols>
    <col min="1" max="1" width="10.36328125" bestFit="1" customWidth="1"/>
    <col min="2" max="2" width="7.81640625" bestFit="1" customWidth="1"/>
    <col min="3" max="3" width="10.36328125" style="227" customWidth="1"/>
    <col min="4" max="4" width="14" customWidth="1"/>
    <col min="5" max="5" width="7.26953125" bestFit="1" customWidth="1"/>
    <col min="6" max="6" width="8" customWidth="1"/>
  </cols>
  <sheetData>
    <row r="1" spans="1:11" ht="15" thickBot="1">
      <c r="A1" t="s">
        <v>8</v>
      </c>
      <c r="B1" s="119">
        <f>Mov</f>
        <v>0</v>
      </c>
      <c r="C1" s="231">
        <f>Product</f>
        <v>0</v>
      </c>
      <c r="D1" s="226">
        <f>Serial</f>
        <v>0</v>
      </c>
      <c r="E1" s="121" t="str">
        <f>Loc</f>
        <v/>
      </c>
      <c r="F1" s="122">
        <f>WHLOC</f>
        <v>0</v>
      </c>
      <c r="G1" s="123"/>
      <c r="H1" s="124"/>
      <c r="I1" s="124"/>
      <c r="J1" s="124"/>
      <c r="K1">
        <v>0</v>
      </c>
    </row>
    <row r="2" spans="1:11">
      <c r="A2" t="s">
        <v>11</v>
      </c>
      <c r="B2" s="1" t="s">
        <v>12</v>
      </c>
      <c r="C2" s="227" t="s">
        <v>13</v>
      </c>
      <c r="D2" t="s">
        <v>14</v>
      </c>
      <c r="E2" t="s">
        <v>101</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codeName="Sheet9"/>
  <dimension ref="A1:Z38"/>
  <sheetViews>
    <sheetView showGridLines="0" workbookViewId="0">
      <selection activeCell="B3" sqref="B3"/>
    </sheetView>
  </sheetViews>
  <sheetFormatPr defaultRowHeight="14.5"/>
  <cols>
    <col min="1" max="1" width="6.6328125" customWidth="1"/>
    <col min="2" max="2" width="31.36328125" customWidth="1"/>
    <col min="3" max="3" width="16.6328125" bestFit="1" customWidth="1"/>
    <col min="4" max="4" width="16.08984375" bestFit="1" customWidth="1"/>
    <col min="5" max="5" width="6.36328125" customWidth="1"/>
    <col min="6" max="6" width="16.6328125" bestFit="1" customWidth="1"/>
    <col min="7" max="7" width="17.36328125" customWidth="1"/>
  </cols>
  <sheetData>
    <row r="1" spans="1:26" ht="15" thickBot="1">
      <c r="A1" s="66"/>
      <c r="B1" s="66"/>
      <c r="C1" s="66"/>
      <c r="D1" s="66"/>
      <c r="E1" s="66"/>
      <c r="F1" s="66"/>
      <c r="G1" s="66"/>
      <c r="H1" s="66"/>
      <c r="I1" s="66"/>
      <c r="J1" s="66"/>
      <c r="K1" s="66"/>
      <c r="L1" s="66"/>
      <c r="M1" s="66"/>
      <c r="N1" s="66"/>
      <c r="O1" s="66"/>
      <c r="P1" s="66"/>
      <c r="Q1" s="66"/>
      <c r="R1" s="66"/>
      <c r="S1" s="66"/>
      <c r="T1" s="66"/>
      <c r="U1" s="66"/>
      <c r="V1" s="66"/>
      <c r="W1" s="66"/>
      <c r="X1" s="66"/>
      <c r="Y1" s="66"/>
      <c r="Z1" s="66"/>
    </row>
    <row r="2" spans="1:26" ht="21.5" thickBot="1">
      <c r="A2" s="66"/>
      <c r="B2" s="97" t="s">
        <v>61</v>
      </c>
      <c r="C2" s="66"/>
      <c r="D2" s="66"/>
      <c r="E2" s="66"/>
      <c r="F2" s="66"/>
      <c r="G2" s="66"/>
      <c r="H2" s="66"/>
      <c r="I2" s="66"/>
      <c r="J2" s="66"/>
      <c r="K2" s="66"/>
      <c r="L2" s="66"/>
      <c r="M2" s="66"/>
      <c r="N2" s="66"/>
      <c r="O2" s="66"/>
      <c r="P2" s="66"/>
      <c r="Q2" s="66"/>
      <c r="R2" s="66"/>
      <c r="S2" s="66"/>
      <c r="T2" s="66"/>
      <c r="U2" s="66"/>
      <c r="V2" s="66"/>
      <c r="W2" s="66"/>
      <c r="X2" s="66"/>
      <c r="Y2" s="66"/>
      <c r="Z2" s="66"/>
    </row>
    <row r="3" spans="1:26" ht="62" thickBot="1">
      <c r="A3" s="66"/>
      <c r="B3" s="6"/>
      <c r="C3" s="100"/>
      <c r="D3" s="66"/>
      <c r="E3" s="66"/>
      <c r="F3" s="66"/>
      <c r="G3" s="66"/>
      <c r="H3" s="66"/>
      <c r="I3" s="66"/>
      <c r="J3" s="66"/>
      <c r="K3" s="66"/>
      <c r="L3" s="66"/>
      <c r="M3" s="66"/>
      <c r="N3" s="66"/>
      <c r="O3" s="66"/>
      <c r="P3" s="66"/>
      <c r="Q3" s="66"/>
      <c r="R3" s="66"/>
      <c r="S3" s="66"/>
      <c r="T3" s="66"/>
      <c r="U3" s="66"/>
      <c r="V3" s="66"/>
      <c r="W3" s="66"/>
      <c r="X3" s="66"/>
      <c r="Y3" s="66"/>
      <c r="Z3" s="66"/>
    </row>
    <row r="4" spans="1:26">
      <c r="A4" s="66"/>
      <c r="B4" s="98" t="s">
        <v>62</v>
      </c>
      <c r="C4" s="66"/>
      <c r="D4" s="66"/>
      <c r="E4" s="66"/>
      <c r="F4" s="66"/>
      <c r="G4" s="66"/>
      <c r="H4" s="66"/>
      <c r="I4" s="66"/>
      <c r="J4" s="66"/>
      <c r="K4" s="66"/>
      <c r="L4" s="66"/>
      <c r="M4" s="66"/>
      <c r="N4" s="66"/>
      <c r="O4" s="66"/>
      <c r="P4" s="66"/>
      <c r="Q4" s="66"/>
      <c r="R4" s="66"/>
      <c r="S4" s="66"/>
      <c r="T4" s="66"/>
      <c r="U4" s="66"/>
      <c r="V4" s="66"/>
      <c r="W4" s="66"/>
      <c r="X4" s="66"/>
      <c r="Y4" s="66"/>
      <c r="Z4" s="66"/>
    </row>
    <row r="5" spans="1:26">
      <c r="A5" s="66"/>
      <c r="B5" s="66"/>
      <c r="C5" s="99"/>
      <c r="D5" s="66"/>
      <c r="E5" s="66"/>
      <c r="F5" s="66"/>
      <c r="G5" s="66"/>
      <c r="H5" s="66"/>
      <c r="I5" s="66"/>
      <c r="J5" s="66"/>
      <c r="K5" s="66"/>
      <c r="L5" s="66"/>
      <c r="M5" s="66"/>
      <c r="N5" s="66"/>
      <c r="O5" s="66"/>
      <c r="P5" s="66"/>
      <c r="Q5" s="66"/>
      <c r="R5" s="66"/>
      <c r="S5" s="66"/>
      <c r="T5" s="66"/>
      <c r="U5" s="66"/>
      <c r="V5" s="66"/>
      <c r="W5" s="66"/>
      <c r="X5" s="66"/>
      <c r="Y5" s="66"/>
      <c r="Z5" s="66"/>
    </row>
    <row r="6" spans="1:26">
      <c r="A6" s="66"/>
      <c r="B6" s="66"/>
      <c r="C6" s="66"/>
      <c r="D6" s="66"/>
      <c r="E6" s="66"/>
      <c r="F6" s="66"/>
      <c r="G6" s="66"/>
      <c r="H6" s="66"/>
      <c r="I6" s="66"/>
      <c r="J6" s="66"/>
      <c r="K6" s="66"/>
      <c r="L6" s="66"/>
      <c r="M6" s="66"/>
      <c r="N6" s="66"/>
      <c r="O6" s="66"/>
      <c r="P6" s="66"/>
      <c r="Q6" s="66"/>
      <c r="R6" s="66"/>
      <c r="S6" s="66"/>
      <c r="T6" s="66"/>
      <c r="U6" s="66"/>
      <c r="V6" s="66"/>
      <c r="W6" s="66"/>
      <c r="X6" s="66"/>
      <c r="Y6" s="66"/>
      <c r="Z6" s="66"/>
    </row>
    <row r="7" spans="1:26" ht="15" thickBot="1">
      <c r="A7" s="66"/>
      <c r="B7" s="83"/>
      <c r="C7" s="83"/>
      <c r="D7" s="66"/>
      <c r="E7" s="66"/>
      <c r="F7" s="66"/>
      <c r="G7" s="66"/>
      <c r="H7" s="66"/>
      <c r="I7" s="66"/>
      <c r="J7" s="66"/>
      <c r="K7" s="66"/>
      <c r="L7" s="66"/>
      <c r="M7" s="66"/>
      <c r="N7" s="66"/>
      <c r="O7" s="66"/>
      <c r="P7" s="66"/>
      <c r="Q7" s="66"/>
      <c r="R7" s="66"/>
      <c r="S7" s="66"/>
      <c r="T7" s="66"/>
      <c r="U7" s="66"/>
      <c r="V7" s="66"/>
      <c r="W7" s="66"/>
      <c r="X7" s="66"/>
      <c r="Y7" s="66"/>
      <c r="Z7" s="66"/>
    </row>
    <row r="8" spans="1:26" ht="21.5" thickBot="1">
      <c r="A8" s="66"/>
      <c r="B8" s="83"/>
      <c r="C8" s="269" t="s">
        <v>64</v>
      </c>
      <c r="D8" s="270"/>
      <c r="E8" s="270"/>
      <c r="F8" s="270"/>
      <c r="G8" s="271"/>
      <c r="H8" s="66"/>
      <c r="I8" s="66"/>
      <c r="J8" s="66"/>
      <c r="K8" s="66"/>
      <c r="L8" s="66"/>
      <c r="M8" s="66"/>
      <c r="N8" s="66"/>
      <c r="O8" s="66"/>
      <c r="P8" s="66"/>
      <c r="Q8" s="66"/>
      <c r="R8" s="66"/>
      <c r="S8" s="66"/>
      <c r="T8" s="66"/>
      <c r="U8" s="66"/>
      <c r="V8" s="66"/>
      <c r="W8" s="66"/>
      <c r="X8" s="66"/>
      <c r="Y8" s="66"/>
      <c r="Z8" s="66"/>
    </row>
    <row r="9" spans="1:26" ht="62" thickBot="1">
      <c r="A9" s="66"/>
      <c r="B9" s="83"/>
      <c r="C9" s="27" t="str">
        <f>IF(FIRNUM&lt;=99,IF(FIRNUM&lt;=9,"00","0"),"")</f>
        <v>00</v>
      </c>
      <c r="D9" s="25"/>
      <c r="E9" s="26" t="s">
        <v>55</v>
      </c>
      <c r="F9" s="27" t="str">
        <f>IF(SECNUM&lt;=99,IF(FIRNUM&lt;=9,"00","0"),"")</f>
        <v>00</v>
      </c>
      <c r="G9" s="25"/>
      <c r="H9" s="66"/>
      <c r="I9" s="66"/>
      <c r="J9" s="66"/>
      <c r="K9" s="66"/>
      <c r="L9" s="66"/>
      <c r="M9" s="66"/>
      <c r="N9" s="66"/>
      <c r="O9" s="66"/>
      <c r="P9" s="66"/>
      <c r="Q9" s="66"/>
      <c r="R9" s="66"/>
      <c r="S9" s="66"/>
      <c r="T9" s="66"/>
      <c r="U9" s="66"/>
      <c r="V9" s="66"/>
      <c r="W9" s="66"/>
      <c r="X9" s="66"/>
      <c r="Y9" s="66"/>
      <c r="Z9" s="66"/>
    </row>
    <row r="10" spans="1:26">
      <c r="A10" s="66"/>
      <c r="B10" s="67"/>
      <c r="C10" s="67"/>
      <c r="D10" s="98" t="s">
        <v>58</v>
      </c>
      <c r="E10" s="67"/>
      <c r="F10" s="66"/>
      <c r="G10" s="66"/>
      <c r="H10" s="66"/>
      <c r="I10" s="66"/>
      <c r="J10" s="66"/>
      <c r="K10" s="66"/>
      <c r="L10" s="66"/>
      <c r="M10" s="66"/>
      <c r="N10" s="66"/>
      <c r="O10" s="66"/>
      <c r="P10" s="66"/>
      <c r="Q10" s="66"/>
      <c r="R10" s="66"/>
      <c r="S10" s="66"/>
      <c r="T10" s="66"/>
      <c r="U10" s="66"/>
      <c r="V10" s="66"/>
      <c r="W10" s="66"/>
      <c r="X10" s="66"/>
      <c r="Y10" s="66"/>
      <c r="Z10" s="66"/>
    </row>
    <row r="11" spans="1:26" ht="15" thickBot="1">
      <c r="A11" s="66"/>
      <c r="B11" s="67"/>
      <c r="C11" s="67"/>
      <c r="D11" s="67"/>
      <c r="E11" s="67"/>
      <c r="F11" s="66"/>
      <c r="G11" s="66"/>
      <c r="H11" s="66"/>
      <c r="I11" s="66"/>
      <c r="J11" s="66"/>
      <c r="K11" s="66"/>
      <c r="L11" s="66"/>
      <c r="M11" s="66"/>
      <c r="N11" s="66"/>
      <c r="O11" s="66"/>
      <c r="P11" s="66"/>
      <c r="Q11" s="66"/>
      <c r="R11" s="66"/>
      <c r="S11" s="66"/>
      <c r="T11" s="66"/>
      <c r="U11" s="66"/>
      <c r="V11" s="66"/>
      <c r="W11" s="66"/>
      <c r="X11" s="66"/>
      <c r="Y11" s="66"/>
      <c r="Z11" s="66"/>
    </row>
    <row r="12" spans="1:26" ht="15" thickBot="1">
      <c r="A12" s="66"/>
      <c r="B12" s="67"/>
      <c r="C12" s="84"/>
      <c r="D12" s="101" t="s">
        <v>63</v>
      </c>
      <c r="E12" s="66"/>
      <c r="F12" s="66"/>
      <c r="G12" s="66"/>
      <c r="H12" s="66"/>
      <c r="I12" s="66"/>
      <c r="J12" s="66"/>
      <c r="K12" s="66"/>
      <c r="L12" s="66"/>
      <c r="M12" s="66"/>
      <c r="N12" s="66"/>
      <c r="O12" s="66"/>
      <c r="P12" s="66"/>
      <c r="Q12" s="66"/>
      <c r="R12" s="66"/>
      <c r="S12" s="66"/>
      <c r="T12" s="66"/>
      <c r="U12" s="66"/>
      <c r="V12" s="66"/>
      <c r="W12" s="66"/>
      <c r="X12" s="66"/>
      <c r="Y12" s="66"/>
      <c r="Z12" s="66"/>
    </row>
    <row r="13" spans="1:26" ht="19" thickBot="1">
      <c r="A13" s="66"/>
      <c r="B13" s="67"/>
      <c r="C13" s="84"/>
      <c r="D13" s="33">
        <f>IF(SECNUM-FIRNUM+1=1,0,SECNUM-FIRNUM+1)</f>
        <v>0</v>
      </c>
      <c r="E13" s="66"/>
      <c r="F13" s="66"/>
      <c r="G13" s="66"/>
      <c r="H13" s="66"/>
      <c r="I13" s="66"/>
      <c r="J13" s="66"/>
      <c r="K13" s="66"/>
      <c r="L13" s="66"/>
      <c r="M13" s="66"/>
      <c r="N13" s="66"/>
      <c r="O13" s="66"/>
      <c r="P13" s="66"/>
      <c r="Q13" s="66"/>
      <c r="R13" s="66"/>
      <c r="S13" s="66"/>
      <c r="T13" s="66"/>
      <c r="U13" s="66"/>
      <c r="V13" s="66"/>
      <c r="W13" s="66"/>
      <c r="X13" s="66"/>
      <c r="Y13" s="66"/>
      <c r="Z13" s="66"/>
    </row>
    <row r="14" spans="1:26">
      <c r="A14" s="66"/>
      <c r="B14" s="66"/>
      <c r="C14" s="66"/>
      <c r="D14" s="66"/>
      <c r="E14" s="66"/>
      <c r="F14" s="66"/>
      <c r="G14" s="66"/>
      <c r="H14" s="66"/>
      <c r="I14" s="66"/>
      <c r="J14" s="66"/>
      <c r="K14" s="66"/>
      <c r="L14" s="66"/>
      <c r="M14" s="66"/>
      <c r="N14" s="66"/>
      <c r="O14" s="66"/>
      <c r="P14" s="66"/>
      <c r="Q14" s="66"/>
      <c r="R14" s="66"/>
      <c r="S14" s="66"/>
      <c r="T14" s="66"/>
      <c r="U14" s="66"/>
      <c r="V14" s="66"/>
      <c r="W14" s="66"/>
      <c r="X14" s="66"/>
      <c r="Y14" s="66"/>
      <c r="Z14" s="66"/>
    </row>
    <row r="15" spans="1:26">
      <c r="A15" s="66"/>
      <c r="B15" s="66"/>
      <c r="C15" s="66"/>
      <c r="D15" s="66"/>
      <c r="E15" s="66"/>
      <c r="F15" s="66"/>
      <c r="G15" s="66"/>
      <c r="H15" s="66"/>
      <c r="I15" s="66"/>
      <c r="J15" s="66"/>
      <c r="K15" s="66"/>
      <c r="L15" s="66"/>
      <c r="M15" s="66"/>
      <c r="N15" s="66"/>
      <c r="O15" s="66"/>
      <c r="P15" s="66"/>
      <c r="Q15" s="66"/>
      <c r="R15" s="66"/>
      <c r="S15" s="66"/>
      <c r="T15" s="66"/>
      <c r="U15" s="66"/>
      <c r="V15" s="66"/>
      <c r="W15" s="66"/>
      <c r="X15" s="66"/>
      <c r="Y15" s="66"/>
      <c r="Z15" s="66"/>
    </row>
    <row r="16" spans="1:26">
      <c r="A16" s="66"/>
      <c r="B16" s="66"/>
      <c r="C16" s="66"/>
      <c r="D16" s="66"/>
      <c r="E16" s="66"/>
      <c r="F16" s="66"/>
      <c r="G16" s="66"/>
      <c r="H16" s="66"/>
      <c r="I16" s="66"/>
      <c r="J16" s="66"/>
      <c r="K16" s="66"/>
      <c r="L16" s="66"/>
      <c r="M16" s="66"/>
      <c r="N16" s="66"/>
      <c r="O16" s="66"/>
      <c r="P16" s="66"/>
      <c r="Q16" s="66"/>
      <c r="R16" s="66"/>
      <c r="S16" s="66"/>
      <c r="T16" s="66"/>
      <c r="U16" s="66"/>
      <c r="V16" s="66"/>
      <c r="W16" s="66"/>
      <c r="X16" s="66"/>
      <c r="Y16" s="66"/>
      <c r="Z16" s="66"/>
    </row>
    <row r="17" spans="1:26">
      <c r="A17" s="66"/>
      <c r="B17" s="66"/>
      <c r="C17" s="66"/>
      <c r="D17" s="66"/>
      <c r="E17" s="66"/>
      <c r="F17" s="66"/>
      <c r="G17" s="66"/>
      <c r="H17" s="66"/>
      <c r="I17" s="66"/>
      <c r="J17" s="66"/>
      <c r="K17" s="66"/>
      <c r="L17" s="66"/>
      <c r="M17" s="66"/>
      <c r="N17" s="66"/>
      <c r="O17" s="66"/>
      <c r="P17" s="66"/>
      <c r="Q17" s="66"/>
      <c r="R17" s="66"/>
      <c r="S17" s="66"/>
      <c r="T17" s="66"/>
      <c r="U17" s="66"/>
      <c r="V17" s="66"/>
      <c r="W17" s="66"/>
      <c r="X17" s="66"/>
      <c r="Y17" s="66"/>
      <c r="Z17" s="66"/>
    </row>
    <row r="18" spans="1:26">
      <c r="A18" s="66"/>
      <c r="B18" s="66"/>
      <c r="C18" s="66"/>
      <c r="D18" s="66"/>
      <c r="E18" s="66"/>
      <c r="F18" s="66"/>
      <c r="G18" s="66"/>
      <c r="H18" s="66"/>
      <c r="I18" s="66"/>
      <c r="J18" s="66"/>
      <c r="K18" s="66"/>
      <c r="L18" s="66"/>
      <c r="M18" s="66"/>
      <c r="N18" s="66"/>
      <c r="O18" s="66"/>
      <c r="P18" s="66"/>
      <c r="Q18" s="66"/>
      <c r="R18" s="66"/>
      <c r="S18" s="66"/>
      <c r="T18" s="66"/>
      <c r="U18" s="66"/>
      <c r="V18" s="66"/>
      <c r="W18" s="66"/>
      <c r="X18" s="66"/>
      <c r="Y18" s="66"/>
      <c r="Z18" s="66"/>
    </row>
    <row r="19" spans="1:26">
      <c r="A19" s="66"/>
      <c r="B19" s="66"/>
      <c r="C19" s="66"/>
      <c r="D19" s="66"/>
      <c r="E19" s="66"/>
      <c r="F19" s="66"/>
      <c r="G19" s="66"/>
      <c r="H19" s="66"/>
      <c r="I19" s="66"/>
      <c r="J19" s="66"/>
      <c r="K19" s="66"/>
      <c r="L19" s="66"/>
      <c r="M19" s="66"/>
      <c r="N19" s="66"/>
      <c r="O19" s="66"/>
      <c r="P19" s="66"/>
      <c r="Q19" s="66"/>
      <c r="R19" s="66"/>
      <c r="S19" s="66"/>
      <c r="T19" s="66"/>
      <c r="U19" s="66"/>
      <c r="V19" s="66"/>
      <c r="W19" s="66"/>
      <c r="X19" s="66"/>
      <c r="Y19" s="66"/>
      <c r="Z19" s="66"/>
    </row>
    <row r="20" spans="1:26">
      <c r="A20" s="66"/>
      <c r="B20" s="66"/>
      <c r="C20" s="66"/>
      <c r="D20" s="66"/>
      <c r="E20" s="66"/>
      <c r="F20" s="66"/>
      <c r="G20" s="66"/>
      <c r="H20" s="66"/>
      <c r="I20" s="66"/>
      <c r="J20" s="66"/>
      <c r="K20" s="66"/>
      <c r="L20" s="66"/>
      <c r="M20" s="66"/>
      <c r="N20" s="66"/>
      <c r="O20" s="66"/>
      <c r="P20" s="66"/>
      <c r="Q20" s="66"/>
      <c r="R20" s="66"/>
      <c r="S20" s="66"/>
      <c r="T20" s="66"/>
      <c r="U20" s="66"/>
      <c r="V20" s="66"/>
      <c r="W20" s="66"/>
      <c r="X20" s="66"/>
      <c r="Y20" s="66"/>
      <c r="Z20" s="66"/>
    </row>
    <row r="21" spans="1:26">
      <c r="A21" s="66"/>
      <c r="B21" s="66"/>
      <c r="C21" s="66"/>
      <c r="D21" s="66"/>
      <c r="E21" s="66"/>
      <c r="F21" s="66"/>
      <c r="G21" s="66"/>
      <c r="H21" s="66"/>
      <c r="I21" s="66"/>
      <c r="J21" s="66"/>
      <c r="K21" s="66"/>
      <c r="L21" s="66"/>
      <c r="M21" s="66"/>
      <c r="N21" s="66"/>
      <c r="O21" s="66"/>
      <c r="P21" s="66"/>
      <c r="Q21" s="66"/>
      <c r="R21" s="66"/>
      <c r="S21" s="66"/>
      <c r="T21" s="66"/>
      <c r="U21" s="66"/>
      <c r="V21" s="66"/>
      <c r="W21" s="66"/>
      <c r="X21" s="66"/>
      <c r="Y21" s="66"/>
      <c r="Z21" s="66"/>
    </row>
    <row r="22" spans="1:26">
      <c r="A22" s="66"/>
      <c r="B22" s="66"/>
      <c r="C22" s="66"/>
      <c r="D22" s="66"/>
      <c r="E22" s="66"/>
      <c r="F22" s="66"/>
      <c r="G22" s="66"/>
      <c r="H22" s="66"/>
      <c r="I22" s="66"/>
      <c r="J22" s="66"/>
      <c r="K22" s="66"/>
      <c r="L22" s="66"/>
      <c r="M22" s="66"/>
      <c r="N22" s="66"/>
      <c r="O22" s="66"/>
      <c r="P22" s="66"/>
      <c r="Q22" s="66"/>
      <c r="R22" s="66"/>
      <c r="S22" s="66"/>
      <c r="T22" s="66"/>
      <c r="U22" s="66"/>
      <c r="V22" s="66"/>
      <c r="W22" s="66"/>
      <c r="X22" s="66"/>
      <c r="Y22" s="66"/>
      <c r="Z22" s="66"/>
    </row>
    <row r="23" spans="1:26">
      <c r="A23" s="66"/>
      <c r="B23" s="66"/>
      <c r="C23" s="66"/>
      <c r="D23" s="66"/>
      <c r="E23" s="66"/>
      <c r="F23" s="66"/>
      <c r="G23" s="66"/>
      <c r="H23" s="66"/>
      <c r="I23" s="66"/>
      <c r="J23" s="66"/>
      <c r="K23" s="66"/>
      <c r="L23" s="66"/>
      <c r="M23" s="66"/>
      <c r="N23" s="66"/>
      <c r="O23" s="66"/>
      <c r="P23" s="66"/>
      <c r="Q23" s="66"/>
      <c r="R23" s="66"/>
      <c r="S23" s="66"/>
      <c r="T23" s="66"/>
      <c r="U23" s="66"/>
      <c r="V23" s="66"/>
      <c r="W23" s="66"/>
      <c r="X23" s="66"/>
      <c r="Y23" s="66"/>
      <c r="Z23" s="66"/>
    </row>
    <row r="24" spans="1:26">
      <c r="A24" s="66"/>
      <c r="B24" s="66"/>
      <c r="C24" s="66"/>
      <c r="D24" s="66"/>
      <c r="E24" s="66"/>
      <c r="F24" s="66"/>
      <c r="G24" s="66"/>
      <c r="H24" s="66"/>
      <c r="I24" s="66"/>
      <c r="J24" s="66"/>
      <c r="K24" s="66"/>
      <c r="L24" s="66"/>
      <c r="M24" s="66"/>
      <c r="N24" s="66"/>
      <c r="O24" s="66"/>
      <c r="P24" s="66"/>
      <c r="Q24" s="66"/>
      <c r="R24" s="66"/>
      <c r="S24" s="66"/>
      <c r="T24" s="66"/>
      <c r="U24" s="66"/>
      <c r="V24" s="66"/>
      <c r="W24" s="66"/>
      <c r="X24" s="66"/>
      <c r="Y24" s="66"/>
      <c r="Z24" s="66"/>
    </row>
    <row r="25" spans="1:26">
      <c r="A25" s="66"/>
      <c r="B25" s="66"/>
      <c r="C25" s="66"/>
      <c r="D25" s="66"/>
      <c r="E25" s="66"/>
      <c r="F25" s="66"/>
      <c r="G25" s="66"/>
      <c r="H25" s="66"/>
      <c r="I25" s="66"/>
      <c r="J25" s="66"/>
      <c r="K25" s="66"/>
      <c r="L25" s="66"/>
      <c r="M25" s="66"/>
      <c r="N25" s="66"/>
      <c r="O25" s="66"/>
      <c r="P25" s="66"/>
      <c r="Q25" s="66"/>
      <c r="R25" s="66"/>
      <c r="S25" s="66"/>
      <c r="T25" s="66"/>
      <c r="U25" s="66"/>
      <c r="V25" s="66"/>
      <c r="W25" s="66"/>
      <c r="X25" s="66"/>
      <c r="Y25" s="66"/>
      <c r="Z25" s="66"/>
    </row>
    <row r="26" spans="1:26">
      <c r="A26" s="66"/>
      <c r="B26" s="66"/>
      <c r="C26" s="66"/>
      <c r="D26" s="66"/>
      <c r="E26" s="66"/>
      <c r="F26" s="66"/>
      <c r="G26" s="66"/>
      <c r="H26" s="66"/>
      <c r="I26" s="66"/>
      <c r="J26" s="66"/>
      <c r="K26" s="66"/>
      <c r="L26" s="66"/>
      <c r="M26" s="66"/>
      <c r="N26" s="66"/>
      <c r="O26" s="66"/>
      <c r="P26" s="66"/>
      <c r="Q26" s="66"/>
      <c r="R26" s="66"/>
      <c r="S26" s="66"/>
      <c r="T26" s="66"/>
      <c r="U26" s="66"/>
      <c r="V26" s="66"/>
      <c r="W26" s="66"/>
      <c r="X26" s="66"/>
      <c r="Y26" s="66"/>
      <c r="Z26" s="66"/>
    </row>
    <row r="27" spans="1:26">
      <c r="A27" s="66"/>
      <c r="B27" s="66"/>
      <c r="C27" s="66"/>
      <c r="D27" s="66"/>
      <c r="E27" s="66"/>
      <c r="F27" s="66"/>
      <c r="G27" s="66"/>
      <c r="H27" s="66"/>
      <c r="I27" s="66"/>
      <c r="J27" s="66"/>
      <c r="K27" s="66"/>
      <c r="L27" s="66"/>
      <c r="M27" s="66"/>
      <c r="N27" s="66"/>
      <c r="O27" s="66"/>
      <c r="P27" s="66"/>
      <c r="Q27" s="66"/>
      <c r="R27" s="66"/>
      <c r="S27" s="66"/>
      <c r="T27" s="66"/>
      <c r="U27" s="66"/>
      <c r="V27" s="66"/>
      <c r="W27" s="66"/>
      <c r="X27" s="66"/>
      <c r="Y27" s="66"/>
      <c r="Z27" s="66"/>
    </row>
    <row r="28" spans="1:26">
      <c r="A28" s="66"/>
      <c r="B28" s="66"/>
      <c r="C28" s="66"/>
      <c r="D28" s="66"/>
      <c r="E28" s="66"/>
      <c r="F28" s="66"/>
      <c r="G28" s="66"/>
      <c r="H28" s="66"/>
      <c r="I28" s="66"/>
      <c r="J28" s="66"/>
      <c r="K28" s="66"/>
      <c r="L28" s="66"/>
      <c r="M28" s="66"/>
      <c r="N28" s="66"/>
      <c r="O28" s="66"/>
      <c r="P28" s="66"/>
      <c r="Q28" s="66"/>
      <c r="R28" s="66"/>
      <c r="S28" s="66"/>
      <c r="T28" s="66"/>
      <c r="U28" s="66"/>
      <c r="V28" s="66"/>
      <c r="W28" s="66"/>
      <c r="X28" s="66"/>
      <c r="Y28" s="66"/>
      <c r="Z28" s="66"/>
    </row>
    <row r="29" spans="1:26">
      <c r="A29" s="66"/>
      <c r="B29" s="66"/>
      <c r="C29" s="66"/>
      <c r="D29" s="66"/>
      <c r="E29" s="66"/>
      <c r="F29" s="66"/>
      <c r="G29" s="66"/>
      <c r="H29" s="66"/>
      <c r="I29" s="66"/>
      <c r="J29" s="66"/>
      <c r="K29" s="66"/>
      <c r="L29" s="66"/>
      <c r="M29" s="66"/>
      <c r="N29" s="66"/>
      <c r="O29" s="66"/>
      <c r="P29" s="66"/>
      <c r="Q29" s="66"/>
      <c r="R29" s="66"/>
      <c r="S29" s="66"/>
      <c r="T29" s="66"/>
      <c r="U29" s="66"/>
      <c r="V29" s="66"/>
      <c r="W29" s="66"/>
      <c r="X29" s="66"/>
      <c r="Y29" s="66"/>
      <c r="Z29" s="66"/>
    </row>
    <row r="30" spans="1:26">
      <c r="A30" s="66"/>
      <c r="B30" s="66"/>
      <c r="C30" s="66"/>
      <c r="D30" s="66"/>
      <c r="E30" s="66"/>
      <c r="F30" s="66"/>
      <c r="G30" s="66"/>
      <c r="H30" s="66"/>
      <c r="I30" s="66"/>
      <c r="J30" s="66"/>
      <c r="K30" s="66"/>
      <c r="L30" s="66"/>
      <c r="M30" s="66"/>
      <c r="N30" s="66"/>
      <c r="O30" s="66"/>
      <c r="P30" s="66"/>
      <c r="Q30" s="66"/>
      <c r="R30" s="66"/>
      <c r="S30" s="66"/>
      <c r="T30" s="66"/>
      <c r="U30" s="66"/>
      <c r="V30" s="66"/>
      <c r="W30" s="66"/>
      <c r="X30" s="66"/>
      <c r="Y30" s="66"/>
      <c r="Z30" s="66"/>
    </row>
    <row r="31" spans="1:26">
      <c r="A31" s="66"/>
      <c r="B31" s="66"/>
      <c r="C31" s="66"/>
      <c r="D31" s="66"/>
      <c r="E31" s="66"/>
      <c r="F31" s="66"/>
      <c r="G31" s="66"/>
      <c r="H31" s="66"/>
      <c r="I31" s="66"/>
      <c r="J31" s="66"/>
      <c r="K31" s="66"/>
      <c r="L31" s="66"/>
      <c r="M31" s="66"/>
      <c r="N31" s="66"/>
      <c r="O31" s="66"/>
      <c r="P31" s="66"/>
      <c r="Q31" s="66"/>
      <c r="R31" s="66"/>
      <c r="S31" s="66"/>
      <c r="T31" s="66"/>
      <c r="U31" s="66"/>
      <c r="V31" s="66"/>
      <c r="W31" s="66"/>
      <c r="X31" s="66"/>
      <c r="Y31" s="66"/>
      <c r="Z31" s="66"/>
    </row>
    <row r="32" spans="1:26">
      <c r="A32" s="66"/>
      <c r="B32" s="66"/>
      <c r="C32" s="66"/>
      <c r="D32" s="66"/>
      <c r="E32" s="66"/>
      <c r="F32" s="66"/>
      <c r="G32" s="66"/>
      <c r="H32" s="66"/>
      <c r="I32" s="66"/>
      <c r="J32" s="66"/>
      <c r="K32" s="66"/>
      <c r="L32" s="66"/>
      <c r="M32" s="66"/>
      <c r="N32" s="66"/>
      <c r="O32" s="66"/>
      <c r="P32" s="66"/>
      <c r="Q32" s="66"/>
      <c r="R32" s="66"/>
      <c r="S32" s="66"/>
      <c r="T32" s="66"/>
      <c r="U32" s="66"/>
      <c r="V32" s="66"/>
      <c r="W32" s="66"/>
      <c r="X32" s="66"/>
      <c r="Y32" s="66"/>
      <c r="Z32" s="66"/>
    </row>
    <row r="33" spans="1:26">
      <c r="A33" s="66"/>
      <c r="B33" s="66"/>
      <c r="C33" s="66"/>
      <c r="D33" s="66"/>
      <c r="E33" s="66"/>
      <c r="F33" s="66"/>
      <c r="G33" s="66"/>
      <c r="H33" s="66"/>
      <c r="I33" s="66"/>
      <c r="J33" s="66"/>
      <c r="K33" s="66"/>
      <c r="L33" s="66"/>
      <c r="M33" s="66"/>
      <c r="N33" s="66"/>
      <c r="O33" s="66"/>
      <c r="P33" s="66"/>
      <c r="Q33" s="66"/>
      <c r="R33" s="66"/>
      <c r="S33" s="66"/>
      <c r="T33" s="66"/>
      <c r="U33" s="66"/>
      <c r="V33" s="66"/>
      <c r="W33" s="66"/>
      <c r="X33" s="66"/>
      <c r="Y33" s="66"/>
      <c r="Z33" s="66"/>
    </row>
    <row r="34" spans="1:26">
      <c r="A34" s="66"/>
      <c r="B34" s="66"/>
      <c r="C34" s="66"/>
      <c r="D34" s="66"/>
      <c r="E34" s="66"/>
      <c r="F34" s="66"/>
      <c r="G34" s="66"/>
      <c r="H34" s="66"/>
      <c r="I34" s="66"/>
      <c r="J34" s="66"/>
      <c r="K34" s="66"/>
      <c r="L34" s="66"/>
      <c r="M34" s="66"/>
      <c r="N34" s="66"/>
      <c r="O34" s="66"/>
      <c r="P34" s="66"/>
      <c r="Q34" s="66"/>
      <c r="R34" s="66"/>
      <c r="S34" s="66"/>
      <c r="T34" s="66"/>
      <c r="U34" s="66"/>
      <c r="V34" s="66"/>
      <c r="W34" s="66"/>
      <c r="X34" s="66"/>
      <c r="Y34" s="66"/>
      <c r="Z34" s="66"/>
    </row>
    <row r="35" spans="1:26">
      <c r="A35" s="66"/>
      <c r="B35" s="66"/>
      <c r="C35" s="66"/>
      <c r="D35" s="66"/>
      <c r="E35" s="66"/>
      <c r="F35" s="66"/>
      <c r="G35" s="66"/>
      <c r="H35" s="66"/>
      <c r="I35" s="66"/>
      <c r="J35" s="66"/>
      <c r="K35" s="66"/>
      <c r="L35" s="66"/>
      <c r="M35" s="66"/>
      <c r="N35" s="66"/>
      <c r="O35" s="66"/>
      <c r="P35" s="66"/>
      <c r="Q35" s="66"/>
      <c r="R35" s="66"/>
      <c r="S35" s="66"/>
      <c r="T35" s="66"/>
      <c r="U35" s="66"/>
      <c r="V35" s="66"/>
      <c r="W35" s="66"/>
      <c r="X35" s="66"/>
      <c r="Y35" s="66"/>
      <c r="Z35" s="66"/>
    </row>
    <row r="36" spans="1:26">
      <c r="A36" s="66"/>
      <c r="B36" s="66"/>
      <c r="C36" s="66"/>
      <c r="D36" s="66"/>
      <c r="E36" s="66"/>
      <c r="F36" s="66"/>
      <c r="G36" s="66"/>
      <c r="H36" s="66"/>
      <c r="I36" s="66"/>
      <c r="J36" s="66"/>
      <c r="K36" s="66"/>
      <c r="L36" s="66"/>
      <c r="M36" s="66"/>
      <c r="N36" s="66"/>
      <c r="O36" s="66"/>
      <c r="P36" s="66"/>
      <c r="Q36" s="66"/>
      <c r="R36" s="66"/>
      <c r="S36" s="66"/>
      <c r="T36" s="66"/>
      <c r="U36" s="66"/>
      <c r="V36" s="66"/>
      <c r="W36" s="66"/>
      <c r="X36" s="66"/>
      <c r="Y36" s="66"/>
      <c r="Z36" s="66"/>
    </row>
    <row r="37" spans="1:26">
      <c r="A37" s="66"/>
      <c r="B37" s="66"/>
      <c r="C37" s="66"/>
      <c r="D37" s="66"/>
      <c r="E37" s="66"/>
      <c r="F37" s="66"/>
      <c r="G37" s="66"/>
      <c r="H37" s="66"/>
      <c r="I37" s="66"/>
      <c r="J37" s="66"/>
      <c r="K37" s="66"/>
      <c r="L37" s="66"/>
      <c r="M37" s="66"/>
      <c r="N37" s="66"/>
      <c r="O37" s="66"/>
      <c r="P37" s="66"/>
      <c r="Q37" s="66"/>
      <c r="R37" s="66"/>
      <c r="S37" s="66"/>
      <c r="T37" s="66"/>
      <c r="U37" s="66"/>
      <c r="V37" s="66"/>
      <c r="W37" s="66"/>
      <c r="X37" s="66"/>
      <c r="Y37" s="66"/>
      <c r="Z37" s="66"/>
    </row>
    <row r="38" spans="1:26">
      <c r="A38" s="66"/>
      <c r="B38" s="66"/>
      <c r="C38" s="66"/>
      <c r="D38" s="66"/>
      <c r="E38" s="66"/>
      <c r="F38" s="66"/>
      <c r="G38" s="66"/>
      <c r="H38" s="66"/>
      <c r="I38" s="66"/>
      <c r="J38" s="66"/>
      <c r="K38" s="66"/>
      <c r="L38" s="66"/>
      <c r="M38" s="66"/>
      <c r="N38" s="66"/>
      <c r="O38" s="66"/>
      <c r="P38" s="66"/>
      <c r="Q38" s="66"/>
      <c r="R38" s="66"/>
      <c r="S38" s="66"/>
      <c r="T38" s="66"/>
      <c r="U38" s="66"/>
      <c r="V38" s="66"/>
      <c r="W38" s="66"/>
      <c r="X38" s="66"/>
      <c r="Y38" s="66"/>
      <c r="Z38" s="66"/>
    </row>
  </sheetData>
  <sheetProtection sheet="1" selectLockedCells="1"/>
  <mergeCells count="1">
    <mergeCell ref="C8:G8"/>
  </mergeCells>
  <conditionalFormatting sqref="B3:C3 G9 D9">
    <cfRule type="expression" dxfId="14" priority="3" stopIfTrue="1">
      <formula>AND(#REF!="No",$O$7="No")</formula>
    </cfRule>
    <cfRule type="expression" dxfId="13" priority="4" stopIfTrue="1">
      <formula>AND(#REF!="Yes",$O$7="No")</formula>
    </cfRule>
  </conditionalFormatting>
  <conditionalFormatting sqref="D13">
    <cfRule type="expression" dxfId="12" priority="1" stopIfTrue="1">
      <formula>AND(#REF!="No",$O$7="No")</formula>
    </cfRule>
    <cfRule type="expression" dxfId="11" priority="2" stopIfTrue="1">
      <formula>AND(#REF!="Yes",$O$7="No")</formula>
    </cfRule>
  </conditionalFormatting>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10">
    <tabColor rgb="FF002060"/>
  </sheetPr>
  <dimension ref="A1:Z35"/>
  <sheetViews>
    <sheetView showGridLines="0" workbookViewId="0">
      <selection activeCell="E12" sqref="E12"/>
    </sheetView>
  </sheetViews>
  <sheetFormatPr defaultRowHeight="14.5"/>
  <cols>
    <col min="1" max="1" width="6.6328125" customWidth="1"/>
    <col min="2" max="2" width="22.81640625" bestFit="1" customWidth="1"/>
    <col min="3" max="3" width="28.81640625" customWidth="1"/>
    <col min="4" max="4" width="16.26953125" customWidth="1"/>
    <col min="5" max="5" width="16.1796875" customWidth="1"/>
    <col min="6" max="6" width="13.7265625" customWidth="1"/>
    <col min="7" max="7" width="27.36328125" customWidth="1"/>
    <col min="9" max="9" width="5.81640625" customWidth="1"/>
    <col min="10" max="10" width="17.6328125" customWidth="1"/>
  </cols>
  <sheetData>
    <row r="1" spans="1:26">
      <c r="A1" s="66"/>
      <c r="B1" s="66"/>
      <c r="C1" s="66"/>
      <c r="D1" s="66"/>
      <c r="E1" s="66"/>
      <c r="F1" s="66"/>
      <c r="G1" s="66"/>
      <c r="H1" s="66"/>
      <c r="I1" s="66"/>
      <c r="J1" s="66"/>
      <c r="K1" s="66"/>
      <c r="L1" s="66"/>
      <c r="M1" s="66"/>
      <c r="N1" s="66"/>
      <c r="O1" s="66"/>
      <c r="P1" s="66"/>
      <c r="Q1" s="66"/>
      <c r="R1" s="66"/>
      <c r="S1" s="66"/>
      <c r="T1" s="66"/>
      <c r="U1" s="66"/>
      <c r="V1" s="66"/>
      <c r="W1" s="66"/>
      <c r="X1" s="66"/>
      <c r="Y1" s="66"/>
      <c r="Z1" s="66"/>
    </row>
    <row r="2" spans="1:26">
      <c r="A2" s="66"/>
      <c r="B2" s="66"/>
      <c r="C2" s="66"/>
      <c r="D2" s="66"/>
      <c r="E2" s="66"/>
      <c r="F2" s="66"/>
      <c r="G2" s="66"/>
      <c r="H2" s="66"/>
      <c r="I2" s="66"/>
      <c r="J2" s="66"/>
      <c r="K2" s="66"/>
      <c r="L2" s="66"/>
      <c r="M2" s="66"/>
      <c r="N2" s="66"/>
      <c r="O2" s="66"/>
      <c r="P2" s="66"/>
      <c r="Q2" s="66"/>
      <c r="R2" s="66"/>
      <c r="S2" s="66"/>
      <c r="T2" s="66"/>
      <c r="U2" s="66"/>
      <c r="V2" s="66"/>
      <c r="W2" s="66"/>
      <c r="X2" s="66"/>
      <c r="Y2" s="66"/>
      <c r="Z2" s="66"/>
    </row>
    <row r="3" spans="1:26" ht="25.5" customHeight="1">
      <c r="A3" s="66"/>
      <c r="B3" s="66"/>
      <c r="C3" s="94" t="s">
        <v>57</v>
      </c>
      <c r="D3" s="66"/>
      <c r="E3" s="66"/>
      <c r="F3" s="66"/>
      <c r="G3" s="66"/>
      <c r="H3" s="66"/>
      <c r="I3" s="66"/>
      <c r="J3" s="66"/>
      <c r="K3" s="66"/>
      <c r="L3" s="66"/>
      <c r="M3" s="66"/>
      <c r="N3" s="66"/>
      <c r="O3" s="66"/>
      <c r="P3" s="66"/>
      <c r="Q3" s="66"/>
      <c r="R3" s="66"/>
      <c r="S3" s="66"/>
      <c r="T3" s="66"/>
      <c r="U3" s="66"/>
      <c r="V3" s="66"/>
      <c r="W3" s="66"/>
      <c r="X3" s="66"/>
      <c r="Y3" s="66"/>
      <c r="Z3" s="66"/>
    </row>
    <row r="4" spans="1:26">
      <c r="A4" s="66"/>
      <c r="B4" s="66"/>
      <c r="C4" s="66"/>
      <c r="D4" s="66"/>
      <c r="E4" s="66"/>
      <c r="F4" s="66"/>
      <c r="G4" s="66"/>
      <c r="H4" s="66"/>
      <c r="I4" s="66"/>
      <c r="J4" s="66"/>
      <c r="K4" s="66"/>
      <c r="L4" s="66"/>
      <c r="M4" s="66"/>
      <c r="N4" s="66"/>
      <c r="O4" s="66"/>
      <c r="P4" s="66"/>
      <c r="Q4" s="66"/>
      <c r="R4" s="66"/>
      <c r="S4" s="66"/>
      <c r="T4" s="66"/>
      <c r="U4" s="66"/>
      <c r="V4" s="66"/>
      <c r="W4" s="66"/>
      <c r="X4" s="66"/>
      <c r="Y4" s="66"/>
      <c r="Z4" s="66"/>
    </row>
    <row r="5" spans="1:26" ht="15" thickBot="1">
      <c r="A5" s="66"/>
      <c r="B5" s="66"/>
      <c r="C5" s="66"/>
      <c r="D5" s="66"/>
      <c r="E5" s="66"/>
      <c r="F5" s="66"/>
      <c r="G5" s="66"/>
      <c r="H5" s="66"/>
      <c r="I5" s="66"/>
      <c r="J5" s="66"/>
      <c r="K5" s="66"/>
      <c r="L5" s="66"/>
      <c r="M5" s="66"/>
      <c r="N5" s="66"/>
      <c r="O5" s="66"/>
      <c r="P5" s="66"/>
      <c r="Q5" s="66"/>
      <c r="R5" s="66"/>
      <c r="S5" s="66"/>
      <c r="T5" s="66"/>
      <c r="U5" s="66"/>
      <c r="V5" s="66"/>
      <c r="W5" s="66"/>
      <c r="X5" s="66"/>
      <c r="Y5" s="66"/>
      <c r="Z5" s="66"/>
    </row>
    <row r="6" spans="1:26" ht="15" thickBot="1">
      <c r="A6" s="66"/>
      <c r="B6" s="272" t="s">
        <v>56</v>
      </c>
      <c r="C6" s="273"/>
      <c r="D6" s="273"/>
      <c r="E6" s="273"/>
      <c r="F6" s="273"/>
      <c r="G6" s="274"/>
      <c r="H6" s="66"/>
      <c r="I6" s="66"/>
      <c r="J6" s="66"/>
      <c r="K6" s="66"/>
      <c r="L6" s="66"/>
      <c r="M6" s="66"/>
      <c r="N6" s="66"/>
      <c r="O6" s="66"/>
      <c r="P6" s="66"/>
      <c r="Q6" s="66"/>
      <c r="R6" s="66"/>
      <c r="S6" s="66"/>
      <c r="T6" s="66"/>
      <c r="U6" s="66"/>
      <c r="V6" s="66"/>
      <c r="W6" s="66"/>
      <c r="X6" s="66"/>
      <c r="Y6" s="66"/>
      <c r="Z6" s="66"/>
    </row>
    <row r="7" spans="1:26" ht="15" thickBot="1">
      <c r="A7" s="66"/>
      <c r="B7" s="47" t="s">
        <v>60</v>
      </c>
      <c r="C7" s="47" t="s">
        <v>71</v>
      </c>
      <c r="D7" s="47" t="s">
        <v>65</v>
      </c>
      <c r="E7" s="57" t="s">
        <v>50</v>
      </c>
      <c r="F7" s="50" t="s">
        <v>70</v>
      </c>
      <c r="G7" s="54" t="s">
        <v>72</v>
      </c>
      <c r="H7" s="66"/>
      <c r="I7" s="66"/>
      <c r="J7" s="66"/>
      <c r="K7" s="66"/>
      <c r="L7" s="66"/>
      <c r="M7" s="66"/>
      <c r="N7" s="66"/>
      <c r="O7" s="66"/>
      <c r="P7" s="66"/>
      <c r="Q7" s="66"/>
      <c r="R7" s="66"/>
      <c r="S7" s="66"/>
      <c r="T7" s="66"/>
      <c r="U7" s="66"/>
      <c r="V7" s="66"/>
      <c r="W7" s="66"/>
      <c r="X7" s="66"/>
      <c r="Y7" s="66"/>
      <c r="Z7" s="66"/>
    </row>
    <row r="8" spans="1:26" ht="15" thickBot="1">
      <c r="A8" s="66"/>
      <c r="B8" s="55" t="s">
        <v>49</v>
      </c>
      <c r="C8" s="55" t="s">
        <v>49</v>
      </c>
      <c r="D8" s="55" t="s">
        <v>46</v>
      </c>
      <c r="E8" s="55" t="s">
        <v>49</v>
      </c>
      <c r="F8" s="56" t="s">
        <v>49</v>
      </c>
      <c r="G8" s="53" t="s">
        <v>46</v>
      </c>
      <c r="H8" s="66"/>
      <c r="I8" s="66"/>
      <c r="J8" s="66"/>
      <c r="K8" s="66"/>
      <c r="L8" s="66"/>
      <c r="M8" s="66"/>
      <c r="N8" s="66"/>
      <c r="O8" s="66"/>
      <c r="P8" s="66"/>
      <c r="Q8" s="66"/>
      <c r="R8" s="66"/>
      <c r="S8" s="66"/>
      <c r="T8" s="66"/>
      <c r="U8" s="66"/>
      <c r="V8" s="66"/>
      <c r="W8" s="66"/>
      <c r="X8" s="66"/>
      <c r="Y8" s="66"/>
      <c r="Z8" s="66"/>
    </row>
    <row r="9" spans="1:26">
      <c r="A9" s="66"/>
      <c r="B9" s="275" t="s">
        <v>83</v>
      </c>
      <c r="C9" s="275" t="s">
        <v>85</v>
      </c>
      <c r="D9" s="275" t="s">
        <v>84</v>
      </c>
      <c r="E9" s="45"/>
      <c r="F9" s="283" t="s">
        <v>100</v>
      </c>
      <c r="G9" s="58" t="s">
        <v>80</v>
      </c>
      <c r="H9" s="66"/>
      <c r="I9" s="66"/>
      <c r="J9" s="66"/>
      <c r="K9" s="66"/>
      <c r="L9" s="66"/>
      <c r="M9" s="66"/>
      <c r="N9" s="66"/>
      <c r="O9" s="66"/>
      <c r="P9" s="66"/>
      <c r="Q9" s="66"/>
      <c r="R9" s="66"/>
      <c r="S9" s="66"/>
      <c r="T9" s="66"/>
      <c r="U9" s="66"/>
      <c r="V9" s="66"/>
      <c r="W9" s="66"/>
      <c r="X9" s="66"/>
      <c r="Y9" s="66"/>
      <c r="Z9" s="66"/>
    </row>
    <row r="10" spans="1:26" ht="18.649999999999999" customHeight="1" thickBot="1">
      <c r="A10" s="66"/>
      <c r="B10" s="276"/>
      <c r="C10" s="276"/>
      <c r="D10" s="276"/>
      <c r="E10" s="46"/>
      <c r="F10" s="284"/>
      <c r="G10" s="59" t="s">
        <v>79</v>
      </c>
      <c r="H10" s="66"/>
      <c r="I10" s="66"/>
      <c r="J10" s="96"/>
      <c r="K10" s="66"/>
      <c r="L10" s="66"/>
      <c r="M10" s="66"/>
      <c r="N10" s="66"/>
      <c r="O10" s="66"/>
      <c r="P10" s="66"/>
      <c r="Q10" s="66"/>
      <c r="R10" s="66"/>
      <c r="S10" s="66"/>
      <c r="T10" s="66"/>
      <c r="U10" s="66"/>
      <c r="V10" s="66"/>
      <c r="W10" s="66"/>
      <c r="X10" s="66"/>
      <c r="Y10" s="66"/>
      <c r="Z10" s="66"/>
    </row>
    <row r="11" spans="1:26" ht="15" thickBot="1">
      <c r="A11" s="66"/>
      <c r="B11" s="62" t="s">
        <v>75</v>
      </c>
      <c r="C11" s="64" t="s">
        <v>76</v>
      </c>
      <c r="D11" s="125" t="s">
        <v>99</v>
      </c>
      <c r="E11" s="52" t="s">
        <v>138</v>
      </c>
      <c r="F11" s="52" t="s">
        <v>59</v>
      </c>
      <c r="G11" s="37" t="s">
        <v>67</v>
      </c>
      <c r="H11" s="66"/>
      <c r="I11" s="66"/>
      <c r="J11" s="66"/>
      <c r="K11" s="66"/>
      <c r="L11" s="66"/>
      <c r="M11" s="66"/>
      <c r="N11" s="66"/>
      <c r="O11" s="66"/>
      <c r="P11" s="66"/>
      <c r="Q11" s="66"/>
      <c r="R11" s="66"/>
      <c r="S11" s="66"/>
      <c r="T11" s="66"/>
      <c r="U11" s="66"/>
      <c r="V11" s="66"/>
      <c r="W11" s="66"/>
      <c r="X11" s="66"/>
      <c r="Y11" s="66"/>
      <c r="Z11" s="66"/>
    </row>
    <row r="12" spans="1:26" ht="15" thickBot="1">
      <c r="A12" s="66"/>
      <c r="B12" s="49" t="s">
        <v>46</v>
      </c>
      <c r="C12" s="51" t="s">
        <v>49</v>
      </c>
      <c r="D12" s="48" t="s">
        <v>49</v>
      </c>
      <c r="E12" s="224" t="s">
        <v>46</v>
      </c>
      <c r="F12" s="178" t="s">
        <v>46</v>
      </c>
      <c r="G12" s="36" t="s">
        <v>46</v>
      </c>
      <c r="H12" s="66"/>
      <c r="I12" s="66"/>
      <c r="J12" s="66"/>
      <c r="K12" s="66"/>
      <c r="L12" s="66"/>
      <c r="M12" s="66"/>
      <c r="N12" s="66"/>
      <c r="O12" s="66"/>
      <c r="P12" s="66"/>
      <c r="Q12" s="66"/>
      <c r="R12" s="66"/>
      <c r="S12" s="66"/>
      <c r="T12" s="66"/>
      <c r="U12" s="66"/>
      <c r="V12" s="66"/>
      <c r="W12" s="66"/>
      <c r="X12" s="66"/>
      <c r="Y12" s="66"/>
      <c r="Z12" s="66"/>
    </row>
    <row r="13" spans="1:26" ht="14.15" customHeight="1">
      <c r="A13" s="66"/>
      <c r="B13" s="275" t="s">
        <v>77</v>
      </c>
      <c r="C13" s="277" t="s">
        <v>78</v>
      </c>
      <c r="D13" s="279" t="s">
        <v>102</v>
      </c>
      <c r="E13" s="279"/>
      <c r="F13" s="281"/>
      <c r="G13" s="60" t="s">
        <v>80</v>
      </c>
      <c r="H13" s="66"/>
      <c r="I13" s="66"/>
      <c r="J13" s="66"/>
      <c r="K13" s="66"/>
      <c r="L13" s="66"/>
      <c r="M13" s="66"/>
      <c r="N13" s="66"/>
      <c r="O13" s="66"/>
      <c r="P13" s="66"/>
      <c r="Q13" s="66"/>
      <c r="R13" s="66"/>
      <c r="S13" s="66"/>
      <c r="T13" s="66"/>
      <c r="U13" s="66"/>
      <c r="V13" s="66"/>
      <c r="W13" s="66"/>
      <c r="X13" s="66"/>
      <c r="Y13" s="66"/>
      <c r="Z13" s="66"/>
    </row>
    <row r="14" spans="1:26" ht="15" thickBot="1">
      <c r="A14" s="66"/>
      <c r="B14" s="276"/>
      <c r="C14" s="278"/>
      <c r="D14" s="280"/>
      <c r="E14" s="280"/>
      <c r="F14" s="282"/>
      <c r="G14" s="61" t="s">
        <v>79</v>
      </c>
      <c r="H14" s="66"/>
      <c r="I14" s="66"/>
      <c r="J14" s="66"/>
      <c r="K14" s="66"/>
      <c r="L14" s="66"/>
      <c r="M14" s="66"/>
      <c r="N14" s="66"/>
      <c r="O14" s="66"/>
      <c r="P14" s="66"/>
      <c r="Q14" s="66"/>
      <c r="R14" s="66"/>
      <c r="S14" s="66"/>
      <c r="T14" s="66"/>
      <c r="U14" s="66"/>
      <c r="V14" s="66"/>
      <c r="W14" s="66"/>
      <c r="X14" s="66"/>
      <c r="Y14" s="66"/>
      <c r="Z14" s="66"/>
    </row>
    <row r="15" spans="1:26">
      <c r="A15" s="66"/>
      <c r="B15" s="66"/>
      <c r="C15" s="66"/>
      <c r="D15" s="66"/>
      <c r="E15" s="66"/>
      <c r="F15" s="66"/>
      <c r="G15" s="66"/>
      <c r="H15" s="66"/>
      <c r="I15" s="66"/>
      <c r="J15" s="66"/>
      <c r="K15" s="66"/>
      <c r="L15" s="66"/>
      <c r="M15" s="66"/>
      <c r="N15" s="66"/>
      <c r="O15" s="66"/>
      <c r="P15" s="66"/>
      <c r="Q15" s="66"/>
      <c r="R15" s="66"/>
      <c r="S15" s="66"/>
      <c r="T15" s="66"/>
      <c r="U15" s="66"/>
      <c r="V15" s="66"/>
      <c r="W15" s="66"/>
      <c r="X15" s="66"/>
      <c r="Y15" s="66"/>
      <c r="Z15" s="66"/>
    </row>
    <row r="16" spans="1:26" ht="15.5">
      <c r="A16" s="66"/>
      <c r="B16" s="95" t="s">
        <v>82</v>
      </c>
      <c r="C16" s="66"/>
      <c r="D16" s="66"/>
      <c r="E16" s="66"/>
      <c r="F16" s="66"/>
      <c r="G16" s="66"/>
      <c r="H16" s="66"/>
      <c r="I16" s="66"/>
      <c r="J16" s="66"/>
      <c r="K16" s="66"/>
      <c r="L16" s="66"/>
      <c r="M16" s="66"/>
      <c r="N16" s="66"/>
      <c r="O16" s="66"/>
      <c r="P16" s="66"/>
      <c r="Q16" s="66"/>
      <c r="R16" s="66"/>
      <c r="S16" s="66"/>
      <c r="T16" s="66"/>
      <c r="U16" s="66"/>
      <c r="V16" s="66"/>
      <c r="W16" s="66"/>
      <c r="X16" s="66"/>
      <c r="Y16" s="66"/>
      <c r="Z16" s="66"/>
    </row>
    <row r="17" spans="1:26" ht="15" thickBot="1">
      <c r="A17" s="66"/>
      <c r="B17" s="66"/>
      <c r="C17" s="66"/>
      <c r="D17" s="66"/>
      <c r="E17" s="66"/>
      <c r="F17" s="66"/>
      <c r="G17" s="66"/>
      <c r="H17" s="66"/>
      <c r="I17" s="66"/>
      <c r="J17" s="66"/>
      <c r="K17" s="66"/>
      <c r="L17" s="66"/>
      <c r="M17" s="66"/>
      <c r="N17" s="66"/>
      <c r="O17" s="66"/>
      <c r="P17" s="66"/>
      <c r="Q17" s="66"/>
      <c r="R17" s="66"/>
      <c r="S17" s="66"/>
      <c r="T17" s="66"/>
      <c r="U17" s="66"/>
      <c r="V17" s="66"/>
      <c r="W17" s="66"/>
      <c r="X17" s="66"/>
      <c r="Y17" s="66"/>
      <c r="Z17" s="66"/>
    </row>
    <row r="18" spans="1:26" ht="15" thickBot="1">
      <c r="A18" s="86"/>
      <c r="B18" s="214" t="s">
        <v>81</v>
      </c>
      <c r="C18" s="89"/>
      <c r="D18" s="89"/>
      <c r="E18" s="89"/>
      <c r="F18" s="89"/>
      <c r="G18" s="89"/>
      <c r="H18" s="90"/>
      <c r="I18" s="66"/>
      <c r="J18" s="66"/>
      <c r="K18" s="66"/>
      <c r="L18" s="66"/>
      <c r="M18" s="66"/>
      <c r="N18" s="66"/>
      <c r="O18" s="66"/>
      <c r="P18" s="66"/>
      <c r="Q18" s="66"/>
      <c r="R18" s="66"/>
      <c r="S18" s="66"/>
      <c r="T18" s="66"/>
      <c r="U18" s="66"/>
      <c r="V18" s="66"/>
      <c r="W18" s="66"/>
      <c r="X18" s="66"/>
      <c r="Y18" s="66"/>
      <c r="Z18" s="66"/>
    </row>
    <row r="19" spans="1:26">
      <c r="A19" s="87"/>
      <c r="B19" s="38"/>
      <c r="C19" s="39"/>
      <c r="D19" s="40"/>
      <c r="E19" s="39"/>
      <c r="F19" s="39"/>
      <c r="G19" s="41"/>
      <c r="H19" s="91"/>
      <c r="I19" s="66"/>
      <c r="J19" s="66"/>
      <c r="K19" s="66"/>
      <c r="L19" s="66"/>
      <c r="M19" s="66"/>
      <c r="N19" s="66"/>
      <c r="O19" s="66"/>
      <c r="P19" s="66"/>
      <c r="Q19" s="66"/>
      <c r="R19" s="66"/>
      <c r="S19" s="66"/>
      <c r="T19" s="66"/>
      <c r="U19" s="66"/>
      <c r="V19" s="66"/>
      <c r="W19" s="66"/>
      <c r="X19" s="66"/>
      <c r="Y19" s="66"/>
      <c r="Z19" s="66"/>
    </row>
    <row r="20" spans="1:26" ht="15" thickBot="1">
      <c r="A20" s="87"/>
      <c r="B20" s="42"/>
      <c r="C20" s="213"/>
      <c r="D20" s="213"/>
      <c r="E20" s="43"/>
      <c r="F20" s="43"/>
      <c r="G20" s="44"/>
      <c r="H20" s="91"/>
      <c r="I20" s="66"/>
      <c r="J20" s="66"/>
      <c r="K20" s="66"/>
      <c r="L20" s="66"/>
      <c r="M20" s="66"/>
      <c r="N20" s="66"/>
      <c r="O20" s="66"/>
      <c r="P20" s="66"/>
      <c r="Q20" s="66"/>
      <c r="R20" s="66"/>
      <c r="S20" s="66"/>
      <c r="T20" s="66"/>
      <c r="U20" s="66"/>
      <c r="V20" s="66"/>
      <c r="W20" s="66"/>
      <c r="X20" s="66"/>
      <c r="Y20" s="66"/>
      <c r="Z20" s="66"/>
    </row>
    <row r="21" spans="1:26" ht="15" thickBot="1">
      <c r="A21" s="88"/>
      <c r="B21" s="93"/>
      <c r="C21" s="93"/>
      <c r="D21" s="93"/>
      <c r="E21" s="93"/>
      <c r="F21" s="93"/>
      <c r="G21" s="93"/>
      <c r="H21" s="92"/>
      <c r="I21" s="66"/>
      <c r="J21" s="66"/>
      <c r="K21" s="66"/>
      <c r="L21" s="66"/>
      <c r="M21" s="66"/>
      <c r="N21" s="66"/>
      <c r="O21" s="66"/>
      <c r="P21" s="66"/>
      <c r="Q21" s="66"/>
      <c r="R21" s="66"/>
      <c r="S21" s="66"/>
      <c r="T21" s="66"/>
      <c r="U21" s="66"/>
      <c r="V21" s="66"/>
      <c r="W21" s="66"/>
      <c r="X21" s="66"/>
      <c r="Y21" s="66"/>
      <c r="Z21" s="66"/>
    </row>
    <row r="22" spans="1:26">
      <c r="A22" s="66"/>
      <c r="B22" s="66"/>
      <c r="C22" s="66"/>
      <c r="D22" s="66"/>
      <c r="E22" s="66"/>
      <c r="F22" s="66"/>
      <c r="G22" s="66"/>
      <c r="H22" s="66"/>
      <c r="I22" s="66"/>
      <c r="J22" s="66"/>
      <c r="K22" s="66"/>
      <c r="L22" s="66"/>
      <c r="M22" s="66"/>
      <c r="N22" s="66"/>
      <c r="O22" s="66"/>
      <c r="P22" s="66"/>
      <c r="Q22" s="66"/>
      <c r="R22" s="66"/>
      <c r="S22" s="66"/>
      <c r="T22" s="66"/>
      <c r="U22" s="66"/>
      <c r="V22" s="66"/>
      <c r="W22" s="66"/>
      <c r="X22" s="66"/>
      <c r="Y22" s="66"/>
      <c r="Z22" s="66"/>
    </row>
    <row r="23" spans="1:26">
      <c r="A23" s="66"/>
      <c r="B23" s="66"/>
      <c r="C23" s="66"/>
      <c r="D23" s="66"/>
      <c r="E23" s="66"/>
      <c r="F23" s="66"/>
      <c r="G23" s="66"/>
      <c r="H23" s="66"/>
      <c r="I23" s="66"/>
      <c r="J23" s="66"/>
      <c r="K23" s="66"/>
      <c r="L23" s="66"/>
      <c r="M23" s="66"/>
      <c r="N23" s="66"/>
      <c r="O23" s="66"/>
      <c r="P23" s="66"/>
      <c r="Q23" s="66"/>
      <c r="R23" s="66"/>
      <c r="S23" s="66"/>
      <c r="T23" s="66"/>
      <c r="U23" s="66"/>
      <c r="V23" s="66"/>
      <c r="W23" s="66"/>
      <c r="X23" s="66"/>
      <c r="Y23" s="66"/>
      <c r="Z23" s="66"/>
    </row>
    <row r="24" spans="1:26">
      <c r="A24" s="66"/>
      <c r="B24" s="66"/>
      <c r="C24" s="66"/>
      <c r="D24" s="66"/>
      <c r="E24" s="66"/>
      <c r="F24" s="66"/>
      <c r="G24" s="66"/>
      <c r="H24" s="66"/>
      <c r="I24" s="66"/>
      <c r="J24" s="66"/>
      <c r="K24" s="66"/>
      <c r="L24" s="66"/>
      <c r="M24" s="66"/>
      <c r="N24" s="66"/>
      <c r="O24" s="66"/>
      <c r="P24" s="66"/>
      <c r="Q24" s="66"/>
      <c r="R24" s="66"/>
      <c r="S24" s="66"/>
      <c r="T24" s="66"/>
      <c r="U24" s="66"/>
      <c r="V24" s="66"/>
      <c r="W24" s="66"/>
      <c r="X24" s="66"/>
      <c r="Y24" s="66"/>
      <c r="Z24" s="66"/>
    </row>
    <row r="25" spans="1:26">
      <c r="A25" s="66"/>
      <c r="B25" s="66"/>
      <c r="C25" s="66"/>
      <c r="D25" s="66"/>
      <c r="E25" s="66"/>
      <c r="F25" s="66"/>
      <c r="G25" s="66"/>
      <c r="H25" s="66"/>
      <c r="I25" s="66"/>
      <c r="J25" s="66"/>
      <c r="K25" s="66"/>
      <c r="L25" s="66"/>
      <c r="M25" s="66"/>
      <c r="N25" s="66"/>
      <c r="O25" s="66"/>
      <c r="P25" s="66"/>
      <c r="Q25" s="66"/>
      <c r="R25" s="66"/>
      <c r="S25" s="66"/>
      <c r="T25" s="66"/>
      <c r="U25" s="66"/>
      <c r="V25" s="66"/>
      <c r="W25" s="66"/>
      <c r="X25" s="66"/>
      <c r="Y25" s="66"/>
      <c r="Z25" s="66"/>
    </row>
    <row r="26" spans="1:26">
      <c r="A26" s="66"/>
      <c r="B26" s="66"/>
      <c r="C26" s="66"/>
      <c r="D26" s="66"/>
      <c r="E26" s="66"/>
      <c r="F26" s="66"/>
      <c r="G26" s="66"/>
      <c r="H26" s="66"/>
      <c r="I26" s="66"/>
      <c r="J26" s="66"/>
      <c r="K26" s="66"/>
      <c r="L26" s="66"/>
      <c r="M26" s="66"/>
      <c r="N26" s="66"/>
      <c r="O26" s="66"/>
      <c r="P26" s="66"/>
      <c r="Q26" s="66"/>
      <c r="R26" s="66"/>
      <c r="S26" s="66"/>
      <c r="T26" s="66"/>
      <c r="U26" s="66"/>
      <c r="V26" s="66"/>
      <c r="W26" s="66"/>
      <c r="X26" s="66"/>
      <c r="Y26" s="66"/>
      <c r="Z26" s="66"/>
    </row>
    <row r="27" spans="1:26">
      <c r="A27" s="66"/>
      <c r="B27" s="66"/>
      <c r="C27" s="66"/>
      <c r="D27" s="66"/>
      <c r="E27" s="66"/>
      <c r="F27" s="66"/>
      <c r="G27" s="66"/>
      <c r="H27" s="66"/>
      <c r="I27" s="66"/>
      <c r="J27" s="66"/>
      <c r="K27" s="66"/>
      <c r="L27" s="66"/>
      <c r="M27" s="66"/>
      <c r="N27" s="66"/>
      <c r="O27" s="66"/>
      <c r="P27" s="66"/>
      <c r="Q27" s="66"/>
      <c r="R27" s="66"/>
      <c r="S27" s="66"/>
      <c r="T27" s="66"/>
      <c r="U27" s="66"/>
      <c r="V27" s="66"/>
      <c r="W27" s="66"/>
      <c r="X27" s="66"/>
      <c r="Y27" s="66"/>
      <c r="Z27" s="66"/>
    </row>
    <row r="28" spans="1:26">
      <c r="A28" s="66"/>
      <c r="B28" s="66"/>
      <c r="C28" s="66"/>
      <c r="D28" s="66"/>
      <c r="E28" s="66"/>
      <c r="F28" s="66"/>
      <c r="G28" s="66"/>
      <c r="H28" s="66"/>
      <c r="I28" s="66"/>
      <c r="J28" s="66"/>
      <c r="K28" s="66"/>
      <c r="L28" s="66"/>
      <c r="M28" s="66"/>
      <c r="N28" s="66"/>
      <c r="O28" s="66"/>
      <c r="P28" s="66"/>
      <c r="Q28" s="66"/>
      <c r="R28" s="66"/>
      <c r="S28" s="66"/>
      <c r="T28" s="66"/>
      <c r="U28" s="66"/>
      <c r="V28" s="66"/>
      <c r="W28" s="66"/>
      <c r="X28" s="66"/>
      <c r="Y28" s="66"/>
      <c r="Z28" s="66"/>
    </row>
    <row r="29" spans="1:26">
      <c r="A29" s="66"/>
      <c r="B29" s="66"/>
      <c r="C29" s="66"/>
      <c r="D29" s="66"/>
      <c r="E29" s="66"/>
      <c r="F29" s="66"/>
      <c r="G29" s="66"/>
      <c r="H29" s="66"/>
      <c r="I29" s="66"/>
      <c r="J29" s="66"/>
      <c r="K29" s="66"/>
      <c r="L29" s="66"/>
      <c r="M29" s="66"/>
      <c r="N29" s="66"/>
      <c r="O29" s="66"/>
      <c r="P29" s="66"/>
      <c r="Q29" s="66"/>
      <c r="R29" s="66"/>
      <c r="S29" s="66"/>
      <c r="T29" s="66"/>
      <c r="U29" s="66"/>
      <c r="V29" s="66"/>
      <c r="W29" s="66"/>
      <c r="X29" s="66"/>
      <c r="Y29" s="66"/>
      <c r="Z29" s="66"/>
    </row>
    <row r="30" spans="1:26">
      <c r="A30" s="66"/>
      <c r="B30" s="66"/>
      <c r="C30" s="66"/>
      <c r="D30" s="66"/>
      <c r="E30" s="66"/>
      <c r="F30" s="66"/>
      <c r="G30" s="66"/>
      <c r="H30" s="66"/>
      <c r="I30" s="66"/>
      <c r="J30" s="66"/>
      <c r="K30" s="66"/>
      <c r="L30" s="66"/>
      <c r="M30" s="66"/>
      <c r="N30" s="66"/>
      <c r="O30" s="66"/>
      <c r="P30" s="66"/>
      <c r="Q30" s="66"/>
      <c r="R30" s="66"/>
      <c r="S30" s="66"/>
      <c r="T30" s="66"/>
      <c r="U30" s="66"/>
      <c r="V30" s="66"/>
      <c r="W30" s="66"/>
      <c r="X30" s="66"/>
      <c r="Y30" s="66"/>
      <c r="Z30" s="66"/>
    </row>
    <row r="31" spans="1:26">
      <c r="A31" s="66"/>
      <c r="B31" s="66"/>
      <c r="C31" s="66"/>
      <c r="D31" s="66"/>
      <c r="E31" s="66"/>
      <c r="F31" s="66"/>
      <c r="G31" s="66"/>
      <c r="H31" s="66"/>
      <c r="I31" s="66"/>
      <c r="J31" s="66"/>
      <c r="K31" s="66"/>
      <c r="L31" s="66"/>
      <c r="M31" s="66"/>
      <c r="N31" s="66"/>
      <c r="O31" s="66"/>
      <c r="P31" s="66"/>
      <c r="Q31" s="66"/>
      <c r="R31" s="66"/>
      <c r="S31" s="66"/>
      <c r="T31" s="66"/>
      <c r="U31" s="66"/>
      <c r="V31" s="66"/>
      <c r="W31" s="66"/>
      <c r="X31" s="66"/>
      <c r="Y31" s="66"/>
      <c r="Z31" s="66"/>
    </row>
    <row r="32" spans="1:26">
      <c r="A32" s="66"/>
      <c r="B32" s="66"/>
      <c r="C32" s="66"/>
      <c r="D32" s="66"/>
      <c r="E32" s="66"/>
      <c r="F32" s="66"/>
      <c r="G32" s="66"/>
      <c r="H32" s="66"/>
      <c r="I32" s="66"/>
      <c r="J32" s="66"/>
      <c r="K32" s="66"/>
      <c r="L32" s="66"/>
      <c r="M32" s="66"/>
      <c r="N32" s="66"/>
      <c r="O32" s="66"/>
      <c r="P32" s="66"/>
      <c r="Q32" s="66"/>
      <c r="R32" s="66"/>
      <c r="S32" s="66"/>
      <c r="T32" s="66"/>
      <c r="U32" s="66"/>
      <c r="V32" s="66"/>
      <c r="W32" s="66"/>
      <c r="X32" s="66"/>
      <c r="Y32" s="66"/>
      <c r="Z32" s="66"/>
    </row>
    <row r="33" spans="1:26">
      <c r="A33" s="66"/>
      <c r="B33" s="66"/>
      <c r="C33" s="66"/>
      <c r="D33" s="66"/>
      <c r="E33" s="66"/>
      <c r="F33" s="66"/>
      <c r="G33" s="66"/>
      <c r="H33" s="66"/>
      <c r="I33" s="66"/>
      <c r="J33" s="66"/>
      <c r="K33" s="66"/>
      <c r="L33" s="66"/>
      <c r="M33" s="66"/>
      <c r="N33" s="66"/>
      <c r="O33" s="66"/>
      <c r="P33" s="66"/>
      <c r="Q33" s="66"/>
      <c r="R33" s="66"/>
      <c r="S33" s="66"/>
      <c r="T33" s="66"/>
      <c r="U33" s="66"/>
      <c r="V33" s="66"/>
      <c r="W33" s="66"/>
      <c r="X33" s="66"/>
      <c r="Y33" s="66"/>
      <c r="Z33" s="66"/>
    </row>
    <row r="34" spans="1:26">
      <c r="A34" s="66"/>
      <c r="B34" s="66"/>
      <c r="C34" s="66"/>
      <c r="D34" s="66"/>
      <c r="E34" s="66"/>
      <c r="F34" s="66"/>
      <c r="G34" s="66"/>
      <c r="H34" s="66"/>
      <c r="I34" s="66"/>
      <c r="J34" s="66"/>
      <c r="K34" s="66"/>
      <c r="L34" s="66"/>
      <c r="M34" s="66"/>
      <c r="N34" s="66"/>
      <c r="O34" s="66"/>
      <c r="P34" s="66"/>
      <c r="Q34" s="66"/>
      <c r="R34" s="66"/>
      <c r="S34" s="66"/>
      <c r="T34" s="66"/>
      <c r="U34" s="66"/>
      <c r="V34" s="66"/>
      <c r="W34" s="66"/>
      <c r="X34" s="66"/>
      <c r="Y34" s="66"/>
      <c r="Z34" s="66"/>
    </row>
    <row r="35" spans="1:26">
      <c r="A35" s="66"/>
      <c r="B35" s="66"/>
      <c r="C35" s="66"/>
      <c r="D35" s="66"/>
      <c r="E35" s="66"/>
      <c r="F35" s="66"/>
      <c r="G35" s="66"/>
      <c r="H35" s="66"/>
      <c r="I35" s="66"/>
      <c r="J35" s="66"/>
      <c r="K35" s="66"/>
      <c r="L35" s="66"/>
      <c r="M35" s="66"/>
      <c r="N35" s="66"/>
      <c r="O35" s="66"/>
      <c r="P35" s="66"/>
      <c r="Q35" s="66"/>
      <c r="R35" s="66"/>
      <c r="S35" s="66"/>
      <c r="T35" s="66"/>
      <c r="U35" s="66"/>
      <c r="V35" s="66"/>
      <c r="W35" s="66"/>
      <c r="X35" s="66"/>
      <c r="Y35" s="66"/>
      <c r="Z35" s="66"/>
    </row>
  </sheetData>
  <sheetProtection selectLockedCells="1"/>
  <mergeCells count="10">
    <mergeCell ref="B6:G6"/>
    <mergeCell ref="B13:B14"/>
    <mergeCell ref="C13:C14"/>
    <mergeCell ref="D13:D14"/>
    <mergeCell ref="E13:E14"/>
    <mergeCell ref="F13:F14"/>
    <mergeCell ref="B9:B10"/>
    <mergeCell ref="C9:C10"/>
    <mergeCell ref="D9:D10"/>
    <mergeCell ref="F9:F10"/>
  </mergeCells>
  <conditionalFormatting sqref="B8:G8 B12:G12">
    <cfRule type="containsText" dxfId="10" priority="13" stopIfTrue="1" operator="containsText" text="on">
      <formula>NOT(ISERROR(SEARCH("on",B8)))</formula>
    </cfRule>
    <cfRule type="containsText" dxfId="9" priority="14" stopIfTrue="1" operator="containsText" text="off">
      <formula>NOT(ISERROR(SEARCH("off",B8)))</formula>
    </cfRule>
  </conditionalFormatting>
  <dataValidations count="1">
    <dataValidation type="list" allowBlank="1" showInputMessage="1" showErrorMessage="1" sqref="B12:G12 B8:G8">
      <formula1>"on,off"</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sheetPr codeName="Sheet5">
    <pageSetUpPr fitToPage="1"/>
  </sheetPr>
  <dimension ref="C1:H19"/>
  <sheetViews>
    <sheetView zoomScale="85" zoomScaleNormal="85" workbookViewId="0"/>
  </sheetViews>
  <sheetFormatPr defaultRowHeight="14.5"/>
  <cols>
    <col min="1" max="1" width="4.7265625" customWidth="1"/>
    <col min="2" max="2" width="9.08984375" customWidth="1"/>
    <col min="3" max="3" width="23.36328125" customWidth="1"/>
    <col min="4" max="4" width="51" customWidth="1"/>
    <col min="5" max="5" width="8.26953125" customWidth="1"/>
    <col min="6" max="6" width="8.08984375" customWidth="1"/>
    <col min="7" max="7" width="28.26953125" customWidth="1"/>
    <col min="8" max="8" width="54.26953125" customWidth="1"/>
  </cols>
  <sheetData>
    <row r="1" spans="3:8" ht="60" customHeight="1"/>
    <row r="2" spans="3:8" ht="77">
      <c r="C2" s="193" t="s">
        <v>22</v>
      </c>
      <c r="D2" s="194" t="s">
        <v>30</v>
      </c>
      <c r="E2" s="195"/>
      <c r="G2" s="196" t="s">
        <v>24</v>
      </c>
      <c r="H2" s="197" t="s">
        <v>119</v>
      </c>
    </row>
    <row r="3" spans="3:8" ht="60" customHeight="1" thickBot="1"/>
    <row r="4" spans="3:8" ht="79.5" customHeight="1" thickBot="1">
      <c r="C4" s="188" t="s">
        <v>29</v>
      </c>
      <c r="D4" s="187" t="s">
        <v>118</v>
      </c>
      <c r="E4" s="186"/>
      <c r="G4" s="188" t="s">
        <v>45</v>
      </c>
      <c r="H4" s="198" t="s">
        <v>117</v>
      </c>
    </row>
    <row r="5" spans="3:8" ht="60" customHeight="1"/>
    <row r="6" spans="3:8" ht="77">
      <c r="C6" s="183" t="s">
        <v>31</v>
      </c>
      <c r="D6" s="190" t="s">
        <v>114</v>
      </c>
      <c r="E6" s="184"/>
      <c r="G6" s="183" t="s">
        <v>27</v>
      </c>
      <c r="H6" s="191" t="s">
        <v>113</v>
      </c>
    </row>
    <row r="7" spans="3:8" ht="60" customHeight="1">
      <c r="C7" s="10"/>
      <c r="D7" s="10"/>
    </row>
    <row r="8" spans="3:8" ht="77">
      <c r="C8" s="181" t="s">
        <v>44</v>
      </c>
      <c r="D8" s="189" t="s">
        <v>112</v>
      </c>
      <c r="E8" s="182"/>
      <c r="G8" s="185" t="s">
        <v>23</v>
      </c>
      <c r="H8" s="192" t="s">
        <v>115</v>
      </c>
    </row>
    <row r="9" spans="3:8" ht="60" customHeight="1">
      <c r="C9" s="10"/>
      <c r="D9" s="10"/>
    </row>
    <row r="10" spans="3:8" ht="77">
      <c r="C10" s="181" t="s">
        <v>42</v>
      </c>
      <c r="D10" s="189" t="s">
        <v>111</v>
      </c>
      <c r="E10" s="182"/>
      <c r="G10" s="185" t="s">
        <v>28</v>
      </c>
      <c r="H10" s="192" t="s">
        <v>116</v>
      </c>
    </row>
    <row r="11" spans="3:8" ht="60" customHeight="1">
      <c r="C11" s="10"/>
      <c r="D11" s="10"/>
    </row>
    <row r="13" spans="3:8" ht="60" customHeight="1">
      <c r="C13" s="199"/>
      <c r="D13" s="200" t="s">
        <v>120</v>
      </c>
    </row>
    <row r="15" spans="3:8" ht="76.5">
      <c r="C15" s="10"/>
      <c r="D15" s="10"/>
    </row>
    <row r="17" spans="3:4" ht="76.5">
      <c r="C17" s="10"/>
      <c r="D17" s="10"/>
    </row>
    <row r="19" spans="3:4" ht="76.5">
      <c r="C19" s="10"/>
      <c r="D19" s="10"/>
    </row>
  </sheetData>
  <printOptions horizontalCentered="1"/>
  <pageMargins left="0.25" right="0.25" top="0.75" bottom="0.75" header="0.3" footer="0.3"/>
  <pageSetup paperSize="9" scale="65" orientation="landscape" verticalDpi="1200" copies="2" r:id="rId1"/>
  <drawing r:id="rId2"/>
</worksheet>
</file>

<file path=xl/worksheets/sheet8.xml><?xml version="1.0" encoding="utf-8"?>
<worksheet xmlns="http://schemas.openxmlformats.org/spreadsheetml/2006/main" xmlns:r="http://schemas.openxmlformats.org/officeDocument/2006/relationships">
  <sheetPr codeName="Sheet6"/>
  <dimension ref="A1:BF1651"/>
  <sheetViews>
    <sheetView zoomScaleNormal="100" workbookViewId="0">
      <selection activeCell="AF1" sqref="AF1:AF1048576"/>
    </sheetView>
  </sheetViews>
  <sheetFormatPr defaultRowHeight="14.5"/>
  <cols>
    <col min="1" max="1" width="11.36328125" customWidth="1"/>
    <col min="2" max="2" width="10" style="1" bestFit="1" customWidth="1"/>
    <col min="3" max="3" width="11.26953125" style="227" customWidth="1"/>
    <col min="4" max="5" width="16" customWidth="1"/>
    <col min="6" max="6" width="9.08984375" style="11" customWidth="1"/>
    <col min="7" max="7" width="9.08984375" style="12" customWidth="1"/>
    <col min="8" max="8" width="10" style="12" bestFit="1" customWidth="1"/>
    <col min="9" max="11" width="9.08984375" style="12" customWidth="1"/>
    <col min="12" max="12" width="9.08984375" style="11" customWidth="1"/>
    <col min="13" max="13" width="11.7265625" customWidth="1"/>
    <col min="14" max="14" width="14" style="227" customWidth="1"/>
    <col min="15" max="15" width="13.6328125" customWidth="1"/>
    <col min="16" max="16" width="9.08984375" style="11" customWidth="1"/>
    <col min="17" max="22" width="9.08984375" style="12" customWidth="1"/>
    <col min="23" max="23" width="9.08984375" style="11" customWidth="1"/>
    <col min="24" max="24" width="11" bestFit="1" customWidth="1"/>
    <col min="25" max="25" width="8.1796875" style="227" customWidth="1"/>
    <col min="26" max="26" width="8.36328125" bestFit="1" customWidth="1"/>
    <col min="27" max="27" width="9.08984375" style="11" customWidth="1"/>
    <col min="28" max="29" width="9.08984375" style="12" customWidth="1"/>
    <col min="30" max="30" width="9.08984375" style="11" customWidth="1"/>
    <col min="31" max="31" width="9.08984375" customWidth="1"/>
    <col min="32" max="32" width="10.7265625" style="227" customWidth="1"/>
    <col min="33" max="33" width="9.08984375" customWidth="1"/>
    <col min="34" max="34" width="9.08984375" style="11" customWidth="1"/>
    <col min="35" max="35" width="34.26953125" style="12" customWidth="1"/>
    <col min="36" max="36" width="9.6328125" style="12" customWidth="1"/>
    <col min="37" max="37" width="9.08984375" style="11" customWidth="1"/>
    <col min="38" max="38" width="9" customWidth="1"/>
    <col min="39" max="39" width="9.08984375" customWidth="1"/>
    <col min="40" max="40" width="9.08984375" style="11" customWidth="1"/>
    <col min="41" max="42" width="9.08984375" style="12" customWidth="1"/>
    <col min="43" max="43" width="9.08984375" style="11" customWidth="1"/>
    <col min="44" max="45" width="9.08984375" customWidth="1"/>
    <col min="46" max="46" width="9.08984375" style="11" customWidth="1"/>
    <col min="47" max="49" width="9.08984375" style="12" customWidth="1"/>
    <col min="50" max="50" width="9.08984375" style="126" customWidth="1"/>
    <col min="51" max="52" width="9.08984375" style="203" customWidth="1"/>
    <col min="53" max="53" width="9.08984375" style="126" customWidth="1"/>
    <col min="54" max="58" width="9.08984375" style="12" customWidth="1"/>
  </cols>
  <sheetData>
    <row r="1" spans="1:52" ht="15" thickBot="1">
      <c r="A1" t="s">
        <v>11</v>
      </c>
      <c r="B1" t="s">
        <v>12</v>
      </c>
      <c r="C1" s="227" t="s">
        <v>13</v>
      </c>
      <c r="D1" t="s">
        <v>14</v>
      </c>
      <c r="E1" t="s">
        <v>101</v>
      </c>
      <c r="H1" s="22" t="s">
        <v>51</v>
      </c>
      <c r="M1" s="13" t="s">
        <v>37</v>
      </c>
      <c r="N1" s="229" t="s">
        <v>13</v>
      </c>
      <c r="O1" s="13" t="s">
        <v>38</v>
      </c>
      <c r="X1" s="13" t="s">
        <v>37</v>
      </c>
      <c r="Y1" s="230" t="s">
        <v>13</v>
      </c>
      <c r="Z1" s="13" t="s">
        <v>14</v>
      </c>
      <c r="AE1" s="13" t="s">
        <v>37</v>
      </c>
      <c r="AF1" s="230" t="s">
        <v>13</v>
      </c>
      <c r="AG1" s="13" t="s">
        <v>14</v>
      </c>
      <c r="AI1" s="19" t="s">
        <v>41</v>
      </c>
      <c r="AJ1" s="13" t="str">
        <f>IF(X2=AE2,"YES","NO")</f>
        <v>NO</v>
      </c>
      <c r="AL1" s="13" t="s">
        <v>103</v>
      </c>
      <c r="AM1" s="17" t="s">
        <v>104</v>
      </c>
      <c r="AR1" s="13" t="s">
        <v>103</v>
      </c>
      <c r="AS1" s="17" t="s">
        <v>104</v>
      </c>
      <c r="AY1" s="201" t="s">
        <v>103</v>
      </c>
      <c r="AZ1" s="202" t="s">
        <v>104</v>
      </c>
    </row>
    <row r="2" spans="1:52">
      <c r="A2" t="str">
        <f>IF(ISBLANK(Record!A3),"",Record!A3)</f>
        <v/>
      </c>
      <c r="B2" t="str">
        <f>IF(ISBLANK(Record!B3),"",Record!B3)</f>
        <v/>
      </c>
      <c r="C2" s="227" t="str">
        <f>IF(ISBLANK(Record!C3),"",Record!C3)</f>
        <v/>
      </c>
      <c r="D2" t="str">
        <f>IF(ISBLANK(Record!D3),"",Record!D3)</f>
        <v/>
      </c>
      <c r="E2" t="str">
        <f>IF(ISBLANK(Record!E3),"",Record!E3)</f>
        <v/>
      </c>
      <c r="H2" s="23" t="s">
        <v>52</v>
      </c>
      <c r="M2" t="str">
        <f>RIGHT("                                   " &amp; A2,10)</f>
        <v xml:space="preserve">          </v>
      </c>
      <c r="N2" s="227" t="str">
        <f>RIGHT(C2,16)</f>
        <v/>
      </c>
      <c r="X2" t="str">
        <f>RIGHT("                                   " &amp; A2,10)</f>
        <v xml:space="preserve">          </v>
      </c>
      <c r="Y2" s="227" t="str">
        <f>RIGHT(C2,16)</f>
        <v/>
      </c>
      <c r="Z2" t="str">
        <f>RIGHT(D2,8)</f>
        <v/>
      </c>
      <c r="AL2" t="str">
        <f>D2</f>
        <v/>
      </c>
      <c r="AM2" t="str">
        <f>IF(E2&lt;&gt;AL2,E2,E2)</f>
        <v/>
      </c>
    </row>
    <row r="3" spans="1:52">
      <c r="A3" t="str">
        <f>IF(ISBLANK(Record!A4),"",Record!A4)</f>
        <v/>
      </c>
      <c r="B3" t="str">
        <f>IF(ISBLANK(Record!B4),"",Record!B4)</f>
        <v/>
      </c>
      <c r="C3" s="227" t="str">
        <f>IF(ISBLANK(Record!C4),"",Record!C4)</f>
        <v/>
      </c>
      <c r="D3" t="str">
        <f>IF(ISBLANK(Record!D4),"",Record!D4)</f>
        <v/>
      </c>
      <c r="E3" t="str">
        <f>IF(ISBLANK(Record!E4),"",Record!E4)</f>
        <v/>
      </c>
      <c r="G3" s="15" t="s">
        <v>40</v>
      </c>
      <c r="M3" t="str">
        <f t="shared" ref="M3:M66" si="0">RIGHT("                                   " &amp; A3,10)</f>
        <v xml:space="preserve">          </v>
      </c>
      <c r="N3" s="227" t="str">
        <f t="shared" ref="N3:N66" si="1">RIGHT(C3,16)</f>
        <v/>
      </c>
      <c r="Q3" s="15"/>
      <c r="X3" t="str">
        <f t="shared" ref="X3:X66" si="2">RIGHT("                                   " &amp; A3,10)</f>
        <v xml:space="preserve">          </v>
      </c>
      <c r="Y3" s="227" t="str">
        <f t="shared" ref="Y3:Y66" si="3">RIGHT(C3,16)</f>
        <v/>
      </c>
      <c r="Z3" t="str">
        <f>RIGHT(D3,8)</f>
        <v/>
      </c>
      <c r="AL3" t="str">
        <f t="shared" ref="AL3:AL66" si="4">D3</f>
        <v/>
      </c>
      <c r="AM3" t="str">
        <f t="shared" ref="AM3:AM66" si="5">IF(E3&lt;&gt;AL3,E3,E3)</f>
        <v/>
      </c>
    </row>
    <row r="4" spans="1:52">
      <c r="A4" t="str">
        <f>IF(ISBLANK(Record!A5),"",Record!A5)</f>
        <v/>
      </c>
      <c r="B4" t="str">
        <f>IF(ISBLANK(Record!B5),"",Record!B5)</f>
        <v/>
      </c>
      <c r="C4" s="227" t="str">
        <f>IF(ISBLANK(Record!C5),"",Record!C5)</f>
        <v/>
      </c>
      <c r="D4" t="str">
        <f>IF(ISBLANK(Record!D5),"",Record!D5)</f>
        <v/>
      </c>
      <c r="E4" t="str">
        <f>IF(ISBLANK(Record!E5),"",Record!E5)</f>
        <v/>
      </c>
      <c r="M4" t="str">
        <f t="shared" si="0"/>
        <v xml:space="preserve">          </v>
      </c>
      <c r="N4" s="227" t="str">
        <f t="shared" si="1"/>
        <v/>
      </c>
      <c r="P4" s="15" t="s">
        <v>39</v>
      </c>
      <c r="X4" t="str">
        <f t="shared" si="2"/>
        <v xml:space="preserve">          </v>
      </c>
      <c r="Y4" s="227" t="str">
        <f t="shared" si="3"/>
        <v/>
      </c>
      <c r="Z4" t="str">
        <f t="shared" ref="Z4:Z66" si="6">RIGHT(D4,8)</f>
        <v/>
      </c>
      <c r="AL4" t="str">
        <f t="shared" si="4"/>
        <v/>
      </c>
      <c r="AM4" t="str">
        <f t="shared" si="5"/>
        <v/>
      </c>
    </row>
    <row r="5" spans="1:52">
      <c r="A5" t="str">
        <f>IF(ISBLANK(Record!A6),"",Record!A6)</f>
        <v/>
      </c>
      <c r="B5" t="str">
        <f>IF(ISBLANK(Record!B6),"",Record!B6)</f>
        <v/>
      </c>
      <c r="C5" s="227" t="str">
        <f>IF(ISBLANK(Record!C6),"",Record!C6)</f>
        <v/>
      </c>
      <c r="D5" t="str">
        <f>IF(ISBLANK(Record!D6),"",Record!D6)</f>
        <v/>
      </c>
      <c r="E5" t="str">
        <f>IF(ISBLANK(Record!E6),"",Record!E6)</f>
        <v/>
      </c>
      <c r="M5" t="str">
        <f t="shared" si="0"/>
        <v xml:space="preserve">          </v>
      </c>
      <c r="N5" s="227" t="str">
        <f t="shared" si="1"/>
        <v/>
      </c>
      <c r="X5" t="str">
        <f t="shared" si="2"/>
        <v xml:space="preserve">          </v>
      </c>
      <c r="Y5" s="227" t="str">
        <f t="shared" si="3"/>
        <v/>
      </c>
      <c r="Z5" t="str">
        <f t="shared" si="6"/>
        <v/>
      </c>
      <c r="AL5" t="str">
        <f t="shared" si="4"/>
        <v/>
      </c>
      <c r="AM5" t="str">
        <f t="shared" si="5"/>
        <v/>
      </c>
    </row>
    <row r="6" spans="1:52">
      <c r="A6" t="str">
        <f>IF(ISBLANK(Record!A7),"",Record!A7)</f>
        <v/>
      </c>
      <c r="B6" t="str">
        <f>IF(ISBLANK(Record!B7),"",Record!B7)</f>
        <v/>
      </c>
      <c r="C6" s="227" t="str">
        <f>IF(ISBLANK(Record!C7),"",Record!C7)</f>
        <v/>
      </c>
      <c r="D6" t="str">
        <f>IF(ISBLANK(Record!D7),"",Record!D7)</f>
        <v/>
      </c>
      <c r="E6" t="str">
        <f>IF(ISBLANK(Record!E7),"",Record!E7)</f>
        <v/>
      </c>
      <c r="M6" t="str">
        <f t="shared" si="0"/>
        <v xml:space="preserve">          </v>
      </c>
      <c r="N6" s="227" t="str">
        <f t="shared" si="1"/>
        <v/>
      </c>
      <c r="X6" t="str">
        <f t="shared" si="2"/>
        <v xml:space="preserve">          </v>
      </c>
      <c r="Y6" s="227" t="str">
        <f t="shared" si="3"/>
        <v/>
      </c>
      <c r="Z6" t="str">
        <f t="shared" si="6"/>
        <v/>
      </c>
      <c r="AL6" t="str">
        <f t="shared" si="4"/>
        <v/>
      </c>
      <c r="AM6" t="str">
        <f t="shared" si="5"/>
        <v/>
      </c>
    </row>
    <row r="7" spans="1:52">
      <c r="A7" t="str">
        <f>IF(ISBLANK(Record!A8),"",Record!A8)</f>
        <v/>
      </c>
      <c r="B7" t="str">
        <f>IF(ISBLANK(Record!B8),"",Record!B8)</f>
        <v/>
      </c>
      <c r="C7" s="227" t="str">
        <f>IF(ISBLANK(Record!C8),"",Record!C8)</f>
        <v/>
      </c>
      <c r="D7" t="str">
        <f>IF(ISBLANK(Record!D8),"",Record!D8)</f>
        <v/>
      </c>
      <c r="E7" t="str">
        <f>IF(ISBLANK(Record!E8),"",Record!E8)</f>
        <v/>
      </c>
      <c r="M7" t="str">
        <f t="shared" si="0"/>
        <v xml:space="preserve">          </v>
      </c>
      <c r="N7" s="227" t="str">
        <f t="shared" si="1"/>
        <v/>
      </c>
      <c r="X7" t="str">
        <f t="shared" si="2"/>
        <v xml:space="preserve">          </v>
      </c>
      <c r="Y7" s="227" t="str">
        <f t="shared" si="3"/>
        <v/>
      </c>
      <c r="Z7" t="str">
        <f t="shared" si="6"/>
        <v/>
      </c>
      <c r="AL7" t="str">
        <f t="shared" si="4"/>
        <v/>
      </c>
      <c r="AM7" t="str">
        <f t="shared" si="5"/>
        <v/>
      </c>
    </row>
    <row r="8" spans="1:52">
      <c r="A8" t="str">
        <f>IF(ISBLANK(Record!A9),"",Record!A9)</f>
        <v/>
      </c>
      <c r="B8" t="str">
        <f>IF(ISBLANK(Record!B9),"",Record!B9)</f>
        <v/>
      </c>
      <c r="C8" s="227" t="str">
        <f>IF(ISBLANK(Record!C9),"",Record!C9)</f>
        <v/>
      </c>
      <c r="D8" t="str">
        <f>IF(ISBLANK(Record!D9),"",Record!D9)</f>
        <v/>
      </c>
      <c r="E8" t="str">
        <f>IF(ISBLANK(Record!E9),"",Record!E9)</f>
        <v/>
      </c>
      <c r="M8" t="str">
        <f t="shared" si="0"/>
        <v xml:space="preserve">          </v>
      </c>
      <c r="N8" s="227" t="str">
        <f t="shared" si="1"/>
        <v/>
      </c>
      <c r="X8" t="str">
        <f t="shared" si="2"/>
        <v xml:space="preserve">          </v>
      </c>
      <c r="Y8" s="227" t="str">
        <f t="shared" si="3"/>
        <v/>
      </c>
      <c r="Z8" t="str">
        <f t="shared" si="6"/>
        <v/>
      </c>
      <c r="AL8" t="str">
        <f t="shared" si="4"/>
        <v/>
      </c>
      <c r="AM8" t="str">
        <f t="shared" si="5"/>
        <v/>
      </c>
    </row>
    <row r="9" spans="1:52">
      <c r="A9" t="str">
        <f>IF(ISBLANK(Record!A10),"",Record!A10)</f>
        <v/>
      </c>
      <c r="B9" t="str">
        <f>IF(ISBLANK(Record!B10),"",Record!B10)</f>
        <v/>
      </c>
      <c r="C9" s="227" t="str">
        <f>IF(ISBLANK(Record!C10),"",Record!C10)</f>
        <v/>
      </c>
      <c r="D9" t="str">
        <f>IF(ISBLANK(Record!D10),"",Record!D10)</f>
        <v/>
      </c>
      <c r="E9" t="str">
        <f>IF(ISBLANK(Record!E10),"",Record!E10)</f>
        <v/>
      </c>
      <c r="M9" t="str">
        <f t="shared" si="0"/>
        <v xml:space="preserve">          </v>
      </c>
      <c r="N9" s="227" t="str">
        <f t="shared" si="1"/>
        <v/>
      </c>
      <c r="X9" t="str">
        <f t="shared" si="2"/>
        <v xml:space="preserve">          </v>
      </c>
      <c r="Y9" s="227" t="str">
        <f t="shared" si="3"/>
        <v/>
      </c>
      <c r="Z9" t="str">
        <f t="shared" si="6"/>
        <v/>
      </c>
      <c r="AL9" t="str">
        <f t="shared" si="4"/>
        <v/>
      </c>
      <c r="AM9" t="str">
        <f t="shared" si="5"/>
        <v/>
      </c>
    </row>
    <row r="10" spans="1:52">
      <c r="A10" t="str">
        <f>IF(ISBLANK(Record!A11),"",Record!A11)</f>
        <v/>
      </c>
      <c r="B10" t="str">
        <f>IF(ISBLANK(Record!B11),"",Record!B11)</f>
        <v/>
      </c>
      <c r="C10" s="227" t="str">
        <f>IF(ISBLANK(Record!C11),"",Record!C11)</f>
        <v/>
      </c>
      <c r="D10" t="str">
        <f>IF(ISBLANK(Record!D11),"",Record!D11)</f>
        <v/>
      </c>
      <c r="E10" t="str">
        <f>IF(ISBLANK(Record!E11),"",Record!E11)</f>
        <v/>
      </c>
      <c r="M10" t="str">
        <f t="shared" si="0"/>
        <v xml:space="preserve">          </v>
      </c>
      <c r="N10" s="227" t="str">
        <f t="shared" si="1"/>
        <v/>
      </c>
      <c r="Q10" s="15"/>
      <c r="X10" t="str">
        <f t="shared" si="2"/>
        <v xml:space="preserve">          </v>
      </c>
      <c r="Y10" s="227" t="str">
        <f t="shared" si="3"/>
        <v/>
      </c>
      <c r="Z10" t="str">
        <f t="shared" si="6"/>
        <v/>
      </c>
      <c r="AL10" t="str">
        <f t="shared" si="4"/>
        <v/>
      </c>
      <c r="AM10" t="str">
        <f t="shared" si="5"/>
        <v/>
      </c>
      <c r="AU10" s="15" t="s">
        <v>134</v>
      </c>
    </row>
    <row r="11" spans="1:52">
      <c r="A11" t="str">
        <f>IF(ISBLANK(Record!A12),"",Record!A12)</f>
        <v/>
      </c>
      <c r="B11" t="str">
        <f>IF(ISBLANK(Record!B12),"",Record!B12)</f>
        <v/>
      </c>
      <c r="C11" s="227" t="str">
        <f>IF(ISBLANK(Record!C12),"",Record!C12)</f>
        <v/>
      </c>
      <c r="D11" t="str">
        <f>IF(ISBLANK(Record!D12),"",Record!D12)</f>
        <v/>
      </c>
      <c r="E11" t="str">
        <f>IF(ISBLANK(Record!E12),"",Record!E12)</f>
        <v/>
      </c>
      <c r="M11" t="str">
        <f t="shared" si="0"/>
        <v xml:space="preserve">          </v>
      </c>
      <c r="N11" s="227" t="str">
        <f t="shared" si="1"/>
        <v/>
      </c>
      <c r="X11" t="str">
        <f t="shared" si="2"/>
        <v xml:space="preserve">          </v>
      </c>
      <c r="Y11" s="227" t="str">
        <f t="shared" si="3"/>
        <v/>
      </c>
      <c r="Z11" t="str">
        <f t="shared" si="6"/>
        <v/>
      </c>
      <c r="AI11" s="15" t="s">
        <v>134</v>
      </c>
      <c r="AL11" t="str">
        <f t="shared" si="4"/>
        <v/>
      </c>
      <c r="AM11" t="str">
        <f t="shared" si="5"/>
        <v/>
      </c>
    </row>
    <row r="12" spans="1:52">
      <c r="A12" t="str">
        <f>IF(ISBLANK(Record!A13),"",Record!A13)</f>
        <v/>
      </c>
      <c r="B12" t="str">
        <f>IF(ISBLANK(Record!B13),"",Record!B13)</f>
        <v/>
      </c>
      <c r="C12" s="227" t="str">
        <f>IF(ISBLANK(Record!C13),"",Record!C13)</f>
        <v/>
      </c>
      <c r="D12" t="str">
        <f>IF(ISBLANK(Record!D13),"",Record!D13)</f>
        <v/>
      </c>
      <c r="E12" t="str">
        <f>IF(ISBLANK(Record!E13),"",Record!E13)</f>
        <v/>
      </c>
      <c r="M12" t="str">
        <f t="shared" si="0"/>
        <v xml:space="preserve">          </v>
      </c>
      <c r="N12" s="227" t="str">
        <f t="shared" si="1"/>
        <v/>
      </c>
      <c r="X12" t="str">
        <f t="shared" si="2"/>
        <v xml:space="preserve">          </v>
      </c>
      <c r="Y12" s="227" t="str">
        <f t="shared" si="3"/>
        <v/>
      </c>
      <c r="Z12" t="str">
        <f t="shared" si="6"/>
        <v/>
      </c>
      <c r="AL12" t="str">
        <f t="shared" si="4"/>
        <v/>
      </c>
      <c r="AM12" t="str">
        <f t="shared" si="5"/>
        <v/>
      </c>
    </row>
    <row r="13" spans="1:52">
      <c r="A13" t="str">
        <f>IF(ISBLANK(Record!A14),"",Record!A14)</f>
        <v/>
      </c>
      <c r="B13" t="str">
        <f>IF(ISBLANK(Record!B14),"",Record!B14)</f>
        <v/>
      </c>
      <c r="C13" s="227" t="str">
        <f>IF(ISBLANK(Record!C14),"",Record!C14)</f>
        <v/>
      </c>
      <c r="D13" t="str">
        <f>IF(ISBLANK(Record!D14),"",Record!D14)</f>
        <v/>
      </c>
      <c r="E13" t="str">
        <f>IF(ISBLANK(Record!E14),"",Record!E14)</f>
        <v/>
      </c>
      <c r="M13" t="str">
        <f t="shared" si="0"/>
        <v xml:space="preserve">          </v>
      </c>
      <c r="N13" s="227" t="str">
        <f t="shared" si="1"/>
        <v/>
      </c>
      <c r="X13" t="str">
        <f t="shared" si="2"/>
        <v xml:space="preserve">          </v>
      </c>
      <c r="Y13" s="227" t="str">
        <f t="shared" si="3"/>
        <v/>
      </c>
      <c r="Z13" t="str">
        <f t="shared" si="6"/>
        <v/>
      </c>
      <c r="AL13" t="str">
        <f t="shared" si="4"/>
        <v/>
      </c>
      <c r="AM13" t="str">
        <f t="shared" si="5"/>
        <v/>
      </c>
    </row>
    <row r="14" spans="1:52">
      <c r="A14" t="str">
        <f>IF(ISBLANK(Record!A15),"",Record!A15)</f>
        <v/>
      </c>
      <c r="B14" t="str">
        <f>IF(ISBLANK(Record!B15),"",Record!B15)</f>
        <v/>
      </c>
      <c r="C14" s="227" t="str">
        <f>IF(ISBLANK(Record!C15),"",Record!C15)</f>
        <v/>
      </c>
      <c r="D14" t="str">
        <f>IF(ISBLANK(Record!D15),"",Record!D15)</f>
        <v/>
      </c>
      <c r="E14" t="str">
        <f>IF(ISBLANK(Record!E15),"",Record!E15)</f>
        <v/>
      </c>
      <c r="M14" t="str">
        <f t="shared" si="0"/>
        <v xml:space="preserve">          </v>
      </c>
      <c r="N14" s="227" t="str">
        <f t="shared" si="1"/>
        <v/>
      </c>
      <c r="X14" t="str">
        <f t="shared" si="2"/>
        <v xml:space="preserve">          </v>
      </c>
      <c r="Y14" s="227" t="str">
        <f t="shared" si="3"/>
        <v/>
      </c>
      <c r="Z14" t="str">
        <f t="shared" si="6"/>
        <v/>
      </c>
      <c r="AL14" t="str">
        <f t="shared" si="4"/>
        <v/>
      </c>
      <c r="AM14" t="str">
        <f t="shared" si="5"/>
        <v/>
      </c>
    </row>
    <row r="15" spans="1:52">
      <c r="A15" t="str">
        <f>IF(ISBLANK(Record!A16),"",Record!A16)</f>
        <v/>
      </c>
      <c r="B15" t="str">
        <f>IF(ISBLANK(Record!B16),"",Record!B16)</f>
        <v/>
      </c>
      <c r="C15" s="227" t="str">
        <f>IF(ISBLANK(Record!C16),"",Record!C16)</f>
        <v/>
      </c>
      <c r="D15" t="str">
        <f>IF(ISBLANK(Record!D16),"",Record!D16)</f>
        <v/>
      </c>
      <c r="E15" t="str">
        <f>IF(ISBLANK(Record!E16),"",Record!E16)</f>
        <v/>
      </c>
      <c r="M15" t="str">
        <f t="shared" si="0"/>
        <v xml:space="preserve">          </v>
      </c>
      <c r="N15" s="227" t="str">
        <f t="shared" si="1"/>
        <v/>
      </c>
      <c r="X15" t="str">
        <f t="shared" si="2"/>
        <v xml:space="preserve">          </v>
      </c>
      <c r="Y15" s="227" t="str">
        <f t="shared" si="3"/>
        <v/>
      </c>
      <c r="Z15" t="str">
        <f t="shared" si="6"/>
        <v/>
      </c>
      <c r="AL15" t="str">
        <f t="shared" si="4"/>
        <v/>
      </c>
      <c r="AM15" t="str">
        <f t="shared" si="5"/>
        <v/>
      </c>
    </row>
    <row r="16" spans="1:52">
      <c r="A16" t="str">
        <f>IF(ISBLANK(Record!A17),"",Record!A17)</f>
        <v/>
      </c>
      <c r="B16" t="str">
        <f>IF(ISBLANK(Record!B17),"",Record!B17)</f>
        <v/>
      </c>
      <c r="C16" s="227" t="str">
        <f>IF(ISBLANK(Record!C17),"",Record!C17)</f>
        <v/>
      </c>
      <c r="D16" t="str">
        <f>IF(ISBLANK(Record!D17),"",Record!D17)</f>
        <v/>
      </c>
      <c r="E16" t="str">
        <f>IF(ISBLANK(Record!E17),"",Record!E17)</f>
        <v/>
      </c>
      <c r="M16" t="str">
        <f t="shared" si="0"/>
        <v xml:space="preserve">          </v>
      </c>
      <c r="N16" s="227" t="str">
        <f t="shared" si="1"/>
        <v/>
      </c>
      <c r="X16" t="str">
        <f t="shared" si="2"/>
        <v xml:space="preserve">          </v>
      </c>
      <c r="Y16" s="227" t="str">
        <f t="shared" si="3"/>
        <v/>
      </c>
      <c r="Z16" t="str">
        <f t="shared" si="6"/>
        <v/>
      </c>
      <c r="AL16" t="str">
        <f t="shared" si="4"/>
        <v/>
      </c>
      <c r="AM16" t="str">
        <f t="shared" si="5"/>
        <v/>
      </c>
    </row>
    <row r="17" spans="1:39">
      <c r="A17" t="str">
        <f>IF(ISBLANK(Record!A18),"",Record!A18)</f>
        <v/>
      </c>
      <c r="B17" t="str">
        <f>IF(ISBLANK(Record!B18),"",Record!B18)</f>
        <v/>
      </c>
      <c r="C17" s="227" t="str">
        <f>IF(ISBLANK(Record!C18),"",Record!C18)</f>
        <v/>
      </c>
      <c r="D17" t="str">
        <f>IF(ISBLANK(Record!D18),"",Record!D18)</f>
        <v/>
      </c>
      <c r="E17" t="str">
        <f>IF(ISBLANK(Record!E18),"",Record!E18)</f>
        <v/>
      </c>
      <c r="M17" t="str">
        <f t="shared" si="0"/>
        <v xml:space="preserve">          </v>
      </c>
      <c r="N17" s="227" t="str">
        <f t="shared" si="1"/>
        <v/>
      </c>
      <c r="T17" s="15"/>
      <c r="X17" t="str">
        <f t="shared" si="2"/>
        <v xml:space="preserve">          </v>
      </c>
      <c r="Y17" s="227" t="str">
        <f t="shared" si="3"/>
        <v/>
      </c>
      <c r="Z17" t="str">
        <f t="shared" si="6"/>
        <v/>
      </c>
      <c r="AL17" t="str">
        <f t="shared" si="4"/>
        <v/>
      </c>
      <c r="AM17" t="str">
        <f t="shared" si="5"/>
        <v/>
      </c>
    </row>
    <row r="18" spans="1:39">
      <c r="A18" t="str">
        <f>IF(ISBLANK(Record!A19),"",Record!A19)</f>
        <v/>
      </c>
      <c r="B18" t="str">
        <f>IF(ISBLANK(Record!B19),"",Record!B19)</f>
        <v/>
      </c>
      <c r="C18" s="227" t="str">
        <f>IF(ISBLANK(Record!C19),"",Record!C19)</f>
        <v/>
      </c>
      <c r="D18" t="str">
        <f>IF(ISBLANK(Record!D19),"",Record!D19)</f>
        <v/>
      </c>
      <c r="E18" t="str">
        <f>IF(ISBLANK(Record!E19),"",Record!E19)</f>
        <v/>
      </c>
      <c r="M18" t="str">
        <f t="shared" si="0"/>
        <v xml:space="preserve">          </v>
      </c>
      <c r="N18" s="227" t="str">
        <f t="shared" si="1"/>
        <v/>
      </c>
      <c r="P18" s="18"/>
      <c r="X18" t="str">
        <f t="shared" si="2"/>
        <v xml:space="preserve">          </v>
      </c>
      <c r="Y18" s="227" t="str">
        <f t="shared" si="3"/>
        <v/>
      </c>
      <c r="Z18" t="str">
        <f t="shared" si="6"/>
        <v/>
      </c>
      <c r="AL18" t="str">
        <f t="shared" si="4"/>
        <v/>
      </c>
      <c r="AM18" t="str">
        <f t="shared" si="5"/>
        <v/>
      </c>
    </row>
    <row r="19" spans="1:39">
      <c r="A19" t="str">
        <f>IF(ISBLANK(Record!A20),"",Record!A20)</f>
        <v/>
      </c>
      <c r="B19" t="str">
        <f>IF(ISBLANK(Record!B20),"",Record!B20)</f>
        <v/>
      </c>
      <c r="C19" s="227" t="str">
        <f>IF(ISBLANK(Record!C20),"",Record!C20)</f>
        <v/>
      </c>
      <c r="D19" t="str">
        <f>IF(ISBLANK(Record!D20),"",Record!D20)</f>
        <v/>
      </c>
      <c r="E19" t="str">
        <f>IF(ISBLANK(Record!E20),"",Record!E20)</f>
        <v/>
      </c>
      <c r="M19" t="str">
        <f t="shared" si="0"/>
        <v xml:space="preserve">          </v>
      </c>
      <c r="N19" s="227" t="str">
        <f t="shared" si="1"/>
        <v/>
      </c>
      <c r="X19" t="str">
        <f t="shared" si="2"/>
        <v xml:space="preserve">          </v>
      </c>
      <c r="Y19" s="227" t="str">
        <f t="shared" si="3"/>
        <v/>
      </c>
      <c r="Z19" t="str">
        <f t="shared" si="6"/>
        <v/>
      </c>
      <c r="AL19" t="str">
        <f t="shared" si="4"/>
        <v/>
      </c>
      <c r="AM19" t="str">
        <f t="shared" si="5"/>
        <v/>
      </c>
    </row>
    <row r="20" spans="1:39">
      <c r="A20" t="str">
        <f>IF(ISBLANK(Record!A21),"",Record!A21)</f>
        <v/>
      </c>
      <c r="B20" t="str">
        <f>IF(ISBLANK(Record!B21),"",Record!B21)</f>
        <v/>
      </c>
      <c r="C20" s="227" t="str">
        <f>IF(ISBLANK(Record!C21),"",Record!C21)</f>
        <v/>
      </c>
      <c r="D20" t="str">
        <f>IF(ISBLANK(Record!D21),"",Record!D21)</f>
        <v/>
      </c>
      <c r="E20" t="str">
        <f>IF(ISBLANK(Record!E21),"",Record!E21)</f>
        <v/>
      </c>
      <c r="M20" t="str">
        <f t="shared" si="0"/>
        <v xml:space="preserve">          </v>
      </c>
      <c r="N20" s="227" t="str">
        <f t="shared" si="1"/>
        <v/>
      </c>
      <c r="X20" t="str">
        <f t="shared" si="2"/>
        <v xml:space="preserve">          </v>
      </c>
      <c r="Y20" s="227" t="str">
        <f t="shared" si="3"/>
        <v/>
      </c>
      <c r="Z20" t="str">
        <f t="shared" si="6"/>
        <v/>
      </c>
      <c r="AL20" t="str">
        <f t="shared" si="4"/>
        <v/>
      </c>
      <c r="AM20" t="str">
        <f t="shared" si="5"/>
        <v/>
      </c>
    </row>
    <row r="21" spans="1:39">
      <c r="A21" t="str">
        <f>IF(ISBLANK(Record!A22),"",Record!A22)</f>
        <v/>
      </c>
      <c r="B21" t="str">
        <f>IF(ISBLANK(Record!B22),"",Record!B22)</f>
        <v/>
      </c>
      <c r="C21" s="227" t="str">
        <f>IF(ISBLANK(Record!C22),"",Record!C22)</f>
        <v/>
      </c>
      <c r="D21" t="str">
        <f>IF(ISBLANK(Record!D22),"",Record!D22)</f>
        <v/>
      </c>
      <c r="E21" t="str">
        <f>IF(ISBLANK(Record!E22),"",Record!E22)</f>
        <v/>
      </c>
      <c r="M21" t="str">
        <f t="shared" si="0"/>
        <v xml:space="preserve">          </v>
      </c>
      <c r="N21" s="227" t="str">
        <f t="shared" si="1"/>
        <v/>
      </c>
      <c r="X21" t="str">
        <f t="shared" si="2"/>
        <v xml:space="preserve">          </v>
      </c>
      <c r="Y21" s="227" t="str">
        <f t="shared" si="3"/>
        <v/>
      </c>
      <c r="Z21" t="str">
        <f t="shared" si="6"/>
        <v/>
      </c>
      <c r="AL21" t="str">
        <f t="shared" si="4"/>
        <v/>
      </c>
      <c r="AM21" t="str">
        <f t="shared" si="5"/>
        <v/>
      </c>
    </row>
    <row r="22" spans="1:39">
      <c r="A22" t="str">
        <f>IF(ISBLANK(Record!A23),"",Record!A23)</f>
        <v/>
      </c>
      <c r="B22" t="str">
        <f>IF(ISBLANK(Record!B23),"",Record!B23)</f>
        <v/>
      </c>
      <c r="C22" s="227" t="str">
        <f>IF(ISBLANK(Record!C23),"",Record!C23)</f>
        <v/>
      </c>
      <c r="D22" t="str">
        <f>IF(ISBLANK(Record!D23),"",Record!D23)</f>
        <v/>
      </c>
      <c r="E22" t="str">
        <f>IF(ISBLANK(Record!E23),"",Record!E23)</f>
        <v/>
      </c>
      <c r="M22" t="str">
        <f t="shared" si="0"/>
        <v xml:space="preserve">          </v>
      </c>
      <c r="N22" s="227" t="str">
        <f t="shared" si="1"/>
        <v/>
      </c>
      <c r="X22" t="str">
        <f t="shared" si="2"/>
        <v xml:space="preserve">          </v>
      </c>
      <c r="Y22" s="227" t="str">
        <f t="shared" si="3"/>
        <v/>
      </c>
      <c r="Z22" t="str">
        <f t="shared" si="6"/>
        <v/>
      </c>
      <c r="AL22" t="str">
        <f t="shared" si="4"/>
        <v/>
      </c>
      <c r="AM22" t="str">
        <f t="shared" si="5"/>
        <v/>
      </c>
    </row>
    <row r="23" spans="1:39">
      <c r="A23" t="str">
        <f>IF(ISBLANK(Record!A24),"",Record!A24)</f>
        <v/>
      </c>
      <c r="B23" t="str">
        <f>IF(ISBLANK(Record!B24),"",Record!B24)</f>
        <v/>
      </c>
      <c r="C23" s="227" t="str">
        <f>IF(ISBLANK(Record!C24),"",Record!C24)</f>
        <v/>
      </c>
      <c r="D23" t="str">
        <f>IF(ISBLANK(Record!D24),"",Record!D24)</f>
        <v/>
      </c>
      <c r="E23" t="str">
        <f>IF(ISBLANK(Record!E24),"",Record!E24)</f>
        <v/>
      </c>
      <c r="M23" t="str">
        <f t="shared" si="0"/>
        <v xml:space="preserve">          </v>
      </c>
      <c r="N23" s="227" t="str">
        <f t="shared" si="1"/>
        <v/>
      </c>
      <c r="X23" t="str">
        <f t="shared" si="2"/>
        <v xml:space="preserve">          </v>
      </c>
      <c r="Y23" s="227" t="str">
        <f t="shared" si="3"/>
        <v/>
      </c>
      <c r="Z23" t="str">
        <f t="shared" si="6"/>
        <v/>
      </c>
      <c r="AL23" t="str">
        <f t="shared" si="4"/>
        <v/>
      </c>
      <c r="AM23" t="str">
        <f t="shared" si="5"/>
        <v/>
      </c>
    </row>
    <row r="24" spans="1:39">
      <c r="A24" t="str">
        <f>IF(ISBLANK(Record!A25),"",Record!A25)</f>
        <v/>
      </c>
      <c r="B24" t="str">
        <f>IF(ISBLANK(Record!B25),"",Record!B25)</f>
        <v/>
      </c>
      <c r="C24" s="227" t="str">
        <f>IF(ISBLANK(Record!C25),"",Record!C25)</f>
        <v/>
      </c>
      <c r="D24" t="str">
        <f>IF(ISBLANK(Record!D25),"",Record!D25)</f>
        <v/>
      </c>
      <c r="E24" t="str">
        <f>IF(ISBLANK(Record!E25),"",Record!E25)</f>
        <v/>
      </c>
      <c r="M24" t="str">
        <f t="shared" si="0"/>
        <v xml:space="preserve">          </v>
      </c>
      <c r="N24" s="227" t="str">
        <f t="shared" si="1"/>
        <v/>
      </c>
      <c r="X24" t="str">
        <f t="shared" si="2"/>
        <v xml:space="preserve">          </v>
      </c>
      <c r="Y24" s="227" t="str">
        <f t="shared" si="3"/>
        <v/>
      </c>
      <c r="Z24" t="str">
        <f t="shared" si="6"/>
        <v/>
      </c>
      <c r="AL24" t="str">
        <f t="shared" si="4"/>
        <v/>
      </c>
      <c r="AM24" t="str">
        <f t="shared" si="5"/>
        <v/>
      </c>
    </row>
    <row r="25" spans="1:39">
      <c r="A25" t="str">
        <f>IF(ISBLANK(Record!A26),"",Record!A26)</f>
        <v/>
      </c>
      <c r="B25" t="str">
        <f>IF(ISBLANK(Record!B26),"",Record!B26)</f>
        <v/>
      </c>
      <c r="C25" s="227" t="str">
        <f>IF(ISBLANK(Record!C26),"",Record!C26)</f>
        <v/>
      </c>
      <c r="D25" t="str">
        <f>IF(ISBLANK(Record!D26),"",Record!D26)</f>
        <v/>
      </c>
      <c r="E25" t="str">
        <f>IF(ISBLANK(Record!E26),"",Record!E26)</f>
        <v/>
      </c>
      <c r="M25" t="str">
        <f t="shared" si="0"/>
        <v xml:space="preserve">          </v>
      </c>
      <c r="N25" s="227" t="str">
        <f t="shared" si="1"/>
        <v/>
      </c>
      <c r="X25" t="str">
        <f t="shared" si="2"/>
        <v xml:space="preserve">          </v>
      </c>
      <c r="Y25" s="227" t="str">
        <f t="shared" si="3"/>
        <v/>
      </c>
      <c r="Z25" t="str">
        <f t="shared" si="6"/>
        <v/>
      </c>
      <c r="AL25" t="str">
        <f t="shared" si="4"/>
        <v/>
      </c>
      <c r="AM25" t="str">
        <f t="shared" si="5"/>
        <v/>
      </c>
    </row>
    <row r="26" spans="1:39">
      <c r="A26" t="str">
        <f>IF(ISBLANK(Record!A27),"",Record!A27)</f>
        <v/>
      </c>
      <c r="B26" t="str">
        <f>IF(ISBLANK(Record!B27),"",Record!B27)</f>
        <v/>
      </c>
      <c r="C26" s="227" t="str">
        <f>IF(ISBLANK(Record!C27),"",Record!C27)</f>
        <v/>
      </c>
      <c r="D26" t="str">
        <f>IF(ISBLANK(Record!D27),"",Record!D27)</f>
        <v/>
      </c>
      <c r="E26" t="str">
        <f>IF(ISBLANK(Record!E27),"",Record!E27)</f>
        <v/>
      </c>
      <c r="M26" t="str">
        <f t="shared" si="0"/>
        <v xml:space="preserve">          </v>
      </c>
      <c r="N26" s="227" t="str">
        <f t="shared" si="1"/>
        <v/>
      </c>
      <c r="X26" t="str">
        <f t="shared" si="2"/>
        <v xml:space="preserve">          </v>
      </c>
      <c r="Y26" s="227" t="str">
        <f t="shared" si="3"/>
        <v/>
      </c>
      <c r="Z26" t="str">
        <f t="shared" si="6"/>
        <v/>
      </c>
      <c r="AL26" t="str">
        <f t="shared" si="4"/>
        <v/>
      </c>
      <c r="AM26" t="str">
        <f t="shared" si="5"/>
        <v/>
      </c>
    </row>
    <row r="27" spans="1:39">
      <c r="A27" t="str">
        <f>IF(ISBLANK(Record!A28),"",Record!A28)</f>
        <v/>
      </c>
      <c r="B27" t="str">
        <f>IF(ISBLANK(Record!B28),"",Record!B28)</f>
        <v/>
      </c>
      <c r="C27" s="227" t="str">
        <f>IF(ISBLANK(Record!C28),"",Record!C28)</f>
        <v/>
      </c>
      <c r="D27" t="str">
        <f>IF(ISBLANK(Record!D28),"",Record!D28)</f>
        <v/>
      </c>
      <c r="E27" t="str">
        <f>IF(ISBLANK(Record!E28),"",Record!E28)</f>
        <v/>
      </c>
      <c r="M27" t="str">
        <f t="shared" si="0"/>
        <v xml:space="preserve">          </v>
      </c>
      <c r="N27" s="227" t="str">
        <f t="shared" si="1"/>
        <v/>
      </c>
      <c r="X27" t="str">
        <f t="shared" si="2"/>
        <v xml:space="preserve">          </v>
      </c>
      <c r="Y27" s="227" t="str">
        <f t="shared" si="3"/>
        <v/>
      </c>
      <c r="Z27" t="str">
        <f t="shared" si="6"/>
        <v/>
      </c>
      <c r="AL27" t="str">
        <f t="shared" si="4"/>
        <v/>
      </c>
      <c r="AM27" t="str">
        <f t="shared" si="5"/>
        <v/>
      </c>
    </row>
    <row r="28" spans="1:39">
      <c r="A28" t="str">
        <f>IF(ISBLANK(Record!A29),"",Record!A29)</f>
        <v/>
      </c>
      <c r="B28" t="str">
        <f>IF(ISBLANK(Record!B29),"",Record!B29)</f>
        <v/>
      </c>
      <c r="C28" s="227" t="str">
        <f>IF(ISBLANK(Record!C29),"",Record!C29)</f>
        <v/>
      </c>
      <c r="D28" t="str">
        <f>IF(ISBLANK(Record!D29),"",Record!D29)</f>
        <v/>
      </c>
      <c r="E28" t="str">
        <f>IF(ISBLANK(Record!E29),"",Record!E29)</f>
        <v/>
      </c>
      <c r="M28" t="str">
        <f t="shared" si="0"/>
        <v xml:space="preserve">          </v>
      </c>
      <c r="N28" s="227" t="str">
        <f t="shared" si="1"/>
        <v/>
      </c>
      <c r="X28" t="str">
        <f t="shared" si="2"/>
        <v xml:space="preserve">          </v>
      </c>
      <c r="Y28" s="227" t="str">
        <f t="shared" si="3"/>
        <v/>
      </c>
      <c r="Z28" t="str">
        <f t="shared" si="6"/>
        <v/>
      </c>
      <c r="AL28" t="str">
        <f t="shared" si="4"/>
        <v/>
      </c>
      <c r="AM28" t="str">
        <f t="shared" si="5"/>
        <v/>
      </c>
    </row>
    <row r="29" spans="1:39">
      <c r="A29" t="str">
        <f>IF(ISBLANK(Record!A30),"",Record!A30)</f>
        <v/>
      </c>
      <c r="B29" t="str">
        <f>IF(ISBLANK(Record!B30),"",Record!B30)</f>
        <v/>
      </c>
      <c r="C29" s="227" t="str">
        <f>IF(ISBLANK(Record!C30),"",Record!C30)</f>
        <v/>
      </c>
      <c r="D29" t="str">
        <f>IF(ISBLANK(Record!D30),"",Record!D30)</f>
        <v/>
      </c>
      <c r="E29" t="str">
        <f>IF(ISBLANK(Record!E30),"",Record!E30)</f>
        <v/>
      </c>
      <c r="M29" t="str">
        <f t="shared" si="0"/>
        <v xml:space="preserve">          </v>
      </c>
      <c r="N29" s="227" t="str">
        <f t="shared" si="1"/>
        <v/>
      </c>
      <c r="X29" t="str">
        <f t="shared" si="2"/>
        <v xml:space="preserve">          </v>
      </c>
      <c r="Y29" s="227" t="str">
        <f t="shared" si="3"/>
        <v/>
      </c>
      <c r="Z29" t="str">
        <f t="shared" si="6"/>
        <v/>
      </c>
      <c r="AL29" t="str">
        <f t="shared" si="4"/>
        <v/>
      </c>
      <c r="AM29" t="str">
        <f t="shared" si="5"/>
        <v/>
      </c>
    </row>
    <row r="30" spans="1:39">
      <c r="A30" t="str">
        <f>IF(ISBLANK(Record!A31),"",Record!A31)</f>
        <v/>
      </c>
      <c r="B30" t="str">
        <f>IF(ISBLANK(Record!B31),"",Record!B31)</f>
        <v/>
      </c>
      <c r="C30" s="227" t="str">
        <f>IF(ISBLANK(Record!C31),"",Record!C31)</f>
        <v/>
      </c>
      <c r="D30" t="str">
        <f>IF(ISBLANK(Record!D31),"",Record!D31)</f>
        <v/>
      </c>
      <c r="E30" t="str">
        <f>IF(ISBLANK(Record!E31),"",Record!E31)</f>
        <v/>
      </c>
      <c r="M30" t="str">
        <f t="shared" si="0"/>
        <v xml:space="preserve">          </v>
      </c>
      <c r="N30" s="227" t="str">
        <f t="shared" si="1"/>
        <v/>
      </c>
      <c r="X30" t="str">
        <f t="shared" si="2"/>
        <v xml:space="preserve">          </v>
      </c>
      <c r="Y30" s="227" t="str">
        <f t="shared" si="3"/>
        <v/>
      </c>
      <c r="Z30" t="str">
        <f t="shared" si="6"/>
        <v/>
      </c>
      <c r="AL30" t="str">
        <f t="shared" si="4"/>
        <v/>
      </c>
      <c r="AM30" t="str">
        <f t="shared" si="5"/>
        <v/>
      </c>
    </row>
    <row r="31" spans="1:39">
      <c r="A31" t="str">
        <f>IF(ISBLANK(Record!A32),"",Record!A32)</f>
        <v/>
      </c>
      <c r="B31" t="str">
        <f>IF(ISBLANK(Record!B32),"",Record!B32)</f>
        <v/>
      </c>
      <c r="C31" s="227" t="str">
        <f>IF(ISBLANK(Record!C32),"",Record!C32)</f>
        <v/>
      </c>
      <c r="D31" t="str">
        <f>IF(ISBLANK(Record!D32),"",Record!D32)</f>
        <v/>
      </c>
      <c r="E31" t="str">
        <f>IF(ISBLANK(Record!E32),"",Record!E32)</f>
        <v/>
      </c>
      <c r="M31" t="str">
        <f t="shared" si="0"/>
        <v xml:space="preserve">          </v>
      </c>
      <c r="N31" s="227" t="str">
        <f t="shared" si="1"/>
        <v/>
      </c>
      <c r="X31" t="str">
        <f t="shared" si="2"/>
        <v xml:space="preserve">          </v>
      </c>
      <c r="Y31" s="227" t="str">
        <f t="shared" si="3"/>
        <v/>
      </c>
      <c r="Z31" t="str">
        <f t="shared" si="6"/>
        <v/>
      </c>
      <c r="AL31" t="str">
        <f t="shared" si="4"/>
        <v/>
      </c>
      <c r="AM31" t="str">
        <f t="shared" si="5"/>
        <v/>
      </c>
    </row>
    <row r="32" spans="1:39">
      <c r="A32" t="str">
        <f>IF(ISBLANK(Record!A33),"",Record!A33)</f>
        <v/>
      </c>
      <c r="B32" t="str">
        <f>IF(ISBLANK(Record!B33),"",Record!B33)</f>
        <v/>
      </c>
      <c r="C32" s="227" t="str">
        <f>IF(ISBLANK(Record!C33),"",Record!C33)</f>
        <v/>
      </c>
      <c r="D32" t="str">
        <f>IF(ISBLANK(Record!D33),"",Record!D33)</f>
        <v/>
      </c>
      <c r="E32" t="str">
        <f>IF(ISBLANK(Record!E33),"",Record!E33)</f>
        <v/>
      </c>
      <c r="M32" t="str">
        <f t="shared" si="0"/>
        <v xml:space="preserve">          </v>
      </c>
      <c r="N32" s="227" t="str">
        <f t="shared" si="1"/>
        <v/>
      </c>
      <c r="X32" t="str">
        <f t="shared" si="2"/>
        <v xml:space="preserve">          </v>
      </c>
      <c r="Y32" s="227" t="str">
        <f t="shared" si="3"/>
        <v/>
      </c>
      <c r="Z32" t="str">
        <f t="shared" si="6"/>
        <v/>
      </c>
      <c r="AL32" t="str">
        <f t="shared" si="4"/>
        <v/>
      </c>
      <c r="AM32" t="str">
        <f t="shared" si="5"/>
        <v/>
      </c>
    </row>
    <row r="33" spans="1:39">
      <c r="A33" t="str">
        <f>IF(ISBLANK(Record!A34),"",Record!A34)</f>
        <v/>
      </c>
      <c r="B33" t="str">
        <f>IF(ISBLANK(Record!B34),"",Record!B34)</f>
        <v/>
      </c>
      <c r="C33" s="227" t="str">
        <f>IF(ISBLANK(Record!C34),"",Record!C34)</f>
        <v/>
      </c>
      <c r="D33" t="str">
        <f>IF(ISBLANK(Record!D34),"",Record!D34)</f>
        <v/>
      </c>
      <c r="E33" t="str">
        <f>IF(ISBLANK(Record!E34),"",Record!E34)</f>
        <v/>
      </c>
      <c r="M33" t="str">
        <f t="shared" si="0"/>
        <v xml:space="preserve">          </v>
      </c>
      <c r="N33" s="227" t="str">
        <f t="shared" si="1"/>
        <v/>
      </c>
      <c r="X33" t="str">
        <f t="shared" si="2"/>
        <v xml:space="preserve">          </v>
      </c>
      <c r="Y33" s="227" t="str">
        <f t="shared" si="3"/>
        <v/>
      </c>
      <c r="Z33" t="str">
        <f t="shared" si="6"/>
        <v/>
      </c>
      <c r="AL33" t="str">
        <f t="shared" si="4"/>
        <v/>
      </c>
      <c r="AM33" t="str">
        <f t="shared" si="5"/>
        <v/>
      </c>
    </row>
    <row r="34" spans="1:39">
      <c r="A34" t="str">
        <f>IF(ISBLANK(Record!A35),"",Record!A35)</f>
        <v/>
      </c>
      <c r="B34" t="str">
        <f>IF(ISBLANK(Record!B35),"",Record!B35)</f>
        <v/>
      </c>
      <c r="C34" s="227" t="str">
        <f>IF(ISBLANK(Record!C35),"",Record!C35)</f>
        <v/>
      </c>
      <c r="D34" t="str">
        <f>IF(ISBLANK(Record!D35),"",Record!D35)</f>
        <v/>
      </c>
      <c r="E34" t="str">
        <f>IF(ISBLANK(Record!E35),"",Record!E35)</f>
        <v/>
      </c>
      <c r="M34" t="str">
        <f t="shared" si="0"/>
        <v xml:space="preserve">          </v>
      </c>
      <c r="N34" s="227" t="str">
        <f t="shared" si="1"/>
        <v/>
      </c>
      <c r="X34" t="str">
        <f t="shared" si="2"/>
        <v xml:space="preserve">          </v>
      </c>
      <c r="Y34" s="227" t="str">
        <f t="shared" si="3"/>
        <v/>
      </c>
      <c r="Z34" t="str">
        <f t="shared" si="6"/>
        <v/>
      </c>
      <c r="AL34" t="str">
        <f t="shared" si="4"/>
        <v/>
      </c>
      <c r="AM34" t="str">
        <f t="shared" si="5"/>
        <v/>
      </c>
    </row>
    <row r="35" spans="1:39">
      <c r="A35" t="str">
        <f>IF(ISBLANK(Record!A36),"",Record!A36)</f>
        <v/>
      </c>
      <c r="B35" t="str">
        <f>IF(ISBLANK(Record!B36),"",Record!B36)</f>
        <v/>
      </c>
      <c r="C35" s="227" t="str">
        <f>IF(ISBLANK(Record!C36),"",Record!C36)</f>
        <v/>
      </c>
      <c r="D35" t="str">
        <f>IF(ISBLANK(Record!D36),"",Record!D36)</f>
        <v/>
      </c>
      <c r="E35" t="str">
        <f>IF(ISBLANK(Record!E36),"",Record!E36)</f>
        <v/>
      </c>
      <c r="M35" t="str">
        <f t="shared" si="0"/>
        <v xml:space="preserve">          </v>
      </c>
      <c r="N35" s="227" t="str">
        <f t="shared" si="1"/>
        <v/>
      </c>
      <c r="X35" t="str">
        <f t="shared" si="2"/>
        <v xml:space="preserve">          </v>
      </c>
      <c r="Y35" s="227" t="str">
        <f t="shared" si="3"/>
        <v/>
      </c>
      <c r="Z35" t="str">
        <f t="shared" si="6"/>
        <v/>
      </c>
      <c r="AL35" t="str">
        <f t="shared" si="4"/>
        <v/>
      </c>
      <c r="AM35" t="str">
        <f t="shared" si="5"/>
        <v/>
      </c>
    </row>
    <row r="36" spans="1:39">
      <c r="A36" t="str">
        <f>IF(ISBLANK(Record!A37),"",Record!A37)</f>
        <v/>
      </c>
      <c r="B36" t="str">
        <f>IF(ISBLANK(Record!B37),"",Record!B37)</f>
        <v/>
      </c>
      <c r="C36" s="227" t="str">
        <f>IF(ISBLANK(Record!C37),"",Record!C37)</f>
        <v/>
      </c>
      <c r="D36" t="str">
        <f>IF(ISBLANK(Record!D37),"",Record!D37)</f>
        <v/>
      </c>
      <c r="E36" t="str">
        <f>IF(ISBLANK(Record!E37),"",Record!E37)</f>
        <v/>
      </c>
      <c r="M36" t="str">
        <f t="shared" si="0"/>
        <v xml:space="preserve">          </v>
      </c>
      <c r="N36" s="227" t="str">
        <f t="shared" si="1"/>
        <v/>
      </c>
      <c r="X36" t="str">
        <f t="shared" si="2"/>
        <v xml:space="preserve">          </v>
      </c>
      <c r="Y36" s="227" t="str">
        <f t="shared" si="3"/>
        <v/>
      </c>
      <c r="Z36" t="str">
        <f t="shared" si="6"/>
        <v/>
      </c>
      <c r="AL36" t="str">
        <f t="shared" si="4"/>
        <v/>
      </c>
      <c r="AM36" t="str">
        <f t="shared" si="5"/>
        <v/>
      </c>
    </row>
    <row r="37" spans="1:39">
      <c r="A37" t="str">
        <f>IF(ISBLANK(Record!A38),"",Record!A38)</f>
        <v/>
      </c>
      <c r="B37" t="str">
        <f>IF(ISBLANK(Record!B38),"",Record!B38)</f>
        <v/>
      </c>
      <c r="C37" s="227" t="str">
        <f>IF(ISBLANK(Record!C38),"",Record!C38)</f>
        <v/>
      </c>
      <c r="D37" t="str">
        <f>IF(ISBLANK(Record!D38),"",Record!D38)</f>
        <v/>
      </c>
      <c r="E37" t="str">
        <f>IF(ISBLANK(Record!E38),"",Record!E38)</f>
        <v/>
      </c>
      <c r="M37" t="str">
        <f t="shared" si="0"/>
        <v xml:space="preserve">          </v>
      </c>
      <c r="N37" s="227" t="str">
        <f t="shared" si="1"/>
        <v/>
      </c>
      <c r="X37" t="str">
        <f t="shared" si="2"/>
        <v xml:space="preserve">          </v>
      </c>
      <c r="Y37" s="227" t="str">
        <f t="shared" si="3"/>
        <v/>
      </c>
      <c r="Z37" t="str">
        <f t="shared" si="6"/>
        <v/>
      </c>
      <c r="AL37" t="str">
        <f t="shared" si="4"/>
        <v/>
      </c>
      <c r="AM37" t="str">
        <f t="shared" si="5"/>
        <v/>
      </c>
    </row>
    <row r="38" spans="1:39">
      <c r="A38" t="str">
        <f>IF(ISBLANK(Record!A39),"",Record!A39)</f>
        <v/>
      </c>
      <c r="B38" t="str">
        <f>IF(ISBLANK(Record!B39),"",Record!B39)</f>
        <v/>
      </c>
      <c r="C38" s="227" t="str">
        <f>IF(ISBLANK(Record!C39),"",Record!C39)</f>
        <v/>
      </c>
      <c r="D38" t="str">
        <f>IF(ISBLANK(Record!D39),"",Record!D39)</f>
        <v/>
      </c>
      <c r="E38" t="str">
        <f>IF(ISBLANK(Record!E39),"",Record!E39)</f>
        <v/>
      </c>
      <c r="M38" t="str">
        <f t="shared" si="0"/>
        <v xml:space="preserve">          </v>
      </c>
      <c r="N38" s="227" t="str">
        <f t="shared" si="1"/>
        <v/>
      </c>
      <c r="X38" t="str">
        <f t="shared" si="2"/>
        <v xml:space="preserve">          </v>
      </c>
      <c r="Y38" s="227" t="str">
        <f t="shared" si="3"/>
        <v/>
      </c>
      <c r="Z38" t="str">
        <f t="shared" si="6"/>
        <v/>
      </c>
      <c r="AL38" t="str">
        <f t="shared" si="4"/>
        <v/>
      </c>
      <c r="AM38" t="str">
        <f t="shared" si="5"/>
        <v/>
      </c>
    </row>
    <row r="39" spans="1:39">
      <c r="A39" t="str">
        <f>IF(ISBLANK(Record!A40),"",Record!A40)</f>
        <v/>
      </c>
      <c r="B39" t="str">
        <f>IF(ISBLANK(Record!B40),"",Record!B40)</f>
        <v/>
      </c>
      <c r="C39" s="227" t="str">
        <f>IF(ISBLANK(Record!C40),"",Record!C40)</f>
        <v/>
      </c>
      <c r="D39" t="str">
        <f>IF(ISBLANK(Record!D40),"",Record!D40)</f>
        <v/>
      </c>
      <c r="E39" t="str">
        <f>IF(ISBLANK(Record!E40),"",Record!E40)</f>
        <v/>
      </c>
      <c r="M39" t="str">
        <f t="shared" si="0"/>
        <v xml:space="preserve">          </v>
      </c>
      <c r="N39" s="227" t="str">
        <f t="shared" si="1"/>
        <v/>
      </c>
      <c r="X39" t="str">
        <f t="shared" si="2"/>
        <v xml:space="preserve">          </v>
      </c>
      <c r="Y39" s="227" t="str">
        <f t="shared" si="3"/>
        <v/>
      </c>
      <c r="Z39" t="str">
        <f t="shared" si="6"/>
        <v/>
      </c>
      <c r="AL39" t="str">
        <f t="shared" si="4"/>
        <v/>
      </c>
      <c r="AM39" t="str">
        <f t="shared" si="5"/>
        <v/>
      </c>
    </row>
    <row r="40" spans="1:39">
      <c r="A40" t="str">
        <f>IF(ISBLANK(Record!A41),"",Record!A41)</f>
        <v/>
      </c>
      <c r="B40" t="str">
        <f>IF(ISBLANK(Record!B41),"",Record!B41)</f>
        <v/>
      </c>
      <c r="C40" s="227" t="str">
        <f>IF(ISBLANK(Record!C41),"",Record!C41)</f>
        <v/>
      </c>
      <c r="D40" t="str">
        <f>IF(ISBLANK(Record!D41),"",Record!D41)</f>
        <v/>
      </c>
      <c r="E40" t="str">
        <f>IF(ISBLANK(Record!E41),"",Record!E41)</f>
        <v/>
      </c>
      <c r="M40" t="str">
        <f t="shared" si="0"/>
        <v xml:space="preserve">          </v>
      </c>
      <c r="N40" s="227" t="str">
        <f t="shared" si="1"/>
        <v/>
      </c>
      <c r="X40" t="str">
        <f t="shared" si="2"/>
        <v xml:space="preserve">          </v>
      </c>
      <c r="Y40" s="227" t="str">
        <f t="shared" si="3"/>
        <v/>
      </c>
      <c r="Z40" t="str">
        <f t="shared" si="6"/>
        <v/>
      </c>
      <c r="AL40" t="str">
        <f t="shared" si="4"/>
        <v/>
      </c>
      <c r="AM40" t="str">
        <f t="shared" si="5"/>
        <v/>
      </c>
    </row>
    <row r="41" spans="1:39">
      <c r="A41" t="str">
        <f>IF(ISBLANK(Record!A42),"",Record!A42)</f>
        <v/>
      </c>
      <c r="B41" t="str">
        <f>IF(ISBLANK(Record!B42),"",Record!B42)</f>
        <v/>
      </c>
      <c r="C41" s="227" t="str">
        <f>IF(ISBLANK(Record!C42),"",Record!C42)</f>
        <v/>
      </c>
      <c r="D41" t="str">
        <f>IF(ISBLANK(Record!D42),"",Record!D42)</f>
        <v/>
      </c>
      <c r="E41" t="str">
        <f>IF(ISBLANK(Record!E42),"",Record!E42)</f>
        <v/>
      </c>
      <c r="M41" t="str">
        <f t="shared" si="0"/>
        <v xml:space="preserve">          </v>
      </c>
      <c r="N41" s="227" t="str">
        <f t="shared" si="1"/>
        <v/>
      </c>
      <c r="X41" t="str">
        <f t="shared" si="2"/>
        <v xml:space="preserve">          </v>
      </c>
      <c r="Y41" s="227" t="str">
        <f t="shared" si="3"/>
        <v/>
      </c>
      <c r="Z41" t="str">
        <f t="shared" si="6"/>
        <v/>
      </c>
      <c r="AL41" t="str">
        <f t="shared" si="4"/>
        <v/>
      </c>
      <c r="AM41" t="str">
        <f t="shared" si="5"/>
        <v/>
      </c>
    </row>
    <row r="42" spans="1:39">
      <c r="A42" t="str">
        <f>IF(ISBLANK(Record!A43),"",Record!A43)</f>
        <v/>
      </c>
      <c r="B42" t="str">
        <f>IF(ISBLANK(Record!B43),"",Record!B43)</f>
        <v/>
      </c>
      <c r="C42" s="227" t="str">
        <f>IF(ISBLANK(Record!C43),"",Record!C43)</f>
        <v/>
      </c>
      <c r="D42" t="str">
        <f>IF(ISBLANK(Record!D43),"",Record!D43)</f>
        <v/>
      </c>
      <c r="E42" t="str">
        <f>IF(ISBLANK(Record!E43),"",Record!E43)</f>
        <v/>
      </c>
      <c r="M42" t="str">
        <f t="shared" si="0"/>
        <v xml:space="preserve">          </v>
      </c>
      <c r="N42" s="227" t="str">
        <f t="shared" si="1"/>
        <v/>
      </c>
      <c r="X42" t="str">
        <f t="shared" si="2"/>
        <v xml:space="preserve">          </v>
      </c>
      <c r="Y42" s="227" t="str">
        <f t="shared" si="3"/>
        <v/>
      </c>
      <c r="Z42" t="str">
        <f t="shared" si="6"/>
        <v/>
      </c>
      <c r="AL42" t="str">
        <f t="shared" si="4"/>
        <v/>
      </c>
      <c r="AM42" t="str">
        <f t="shared" si="5"/>
        <v/>
      </c>
    </row>
    <row r="43" spans="1:39">
      <c r="A43" t="str">
        <f>IF(ISBLANK(Record!A44),"",Record!A44)</f>
        <v/>
      </c>
      <c r="B43" t="str">
        <f>IF(ISBLANK(Record!B44),"",Record!B44)</f>
        <v/>
      </c>
      <c r="C43" s="227" t="str">
        <f>IF(ISBLANK(Record!C44),"",Record!C44)</f>
        <v/>
      </c>
      <c r="D43" t="str">
        <f>IF(ISBLANK(Record!D44),"",Record!D44)</f>
        <v/>
      </c>
      <c r="E43" t="str">
        <f>IF(ISBLANK(Record!E44),"",Record!E44)</f>
        <v/>
      </c>
      <c r="M43" t="str">
        <f t="shared" si="0"/>
        <v xml:space="preserve">          </v>
      </c>
      <c r="N43" s="227" t="str">
        <f t="shared" si="1"/>
        <v/>
      </c>
      <c r="X43" t="str">
        <f t="shared" si="2"/>
        <v xml:space="preserve">          </v>
      </c>
      <c r="Y43" s="227" t="str">
        <f t="shared" si="3"/>
        <v/>
      </c>
      <c r="Z43" t="str">
        <f t="shared" si="6"/>
        <v/>
      </c>
      <c r="AL43" t="str">
        <f t="shared" si="4"/>
        <v/>
      </c>
      <c r="AM43" t="str">
        <f t="shared" si="5"/>
        <v/>
      </c>
    </row>
    <row r="44" spans="1:39">
      <c r="A44" t="str">
        <f>IF(ISBLANK(Record!A45),"",Record!A45)</f>
        <v/>
      </c>
      <c r="B44" t="str">
        <f>IF(ISBLANK(Record!B45),"",Record!B45)</f>
        <v/>
      </c>
      <c r="C44" s="227" t="str">
        <f>IF(ISBLANK(Record!C45),"",Record!C45)</f>
        <v/>
      </c>
      <c r="D44" t="str">
        <f>IF(ISBLANK(Record!D45),"",Record!D45)</f>
        <v/>
      </c>
      <c r="E44" t="str">
        <f>IF(ISBLANK(Record!E45),"",Record!E45)</f>
        <v/>
      </c>
      <c r="M44" t="str">
        <f t="shared" si="0"/>
        <v xml:space="preserve">          </v>
      </c>
      <c r="N44" s="227" t="str">
        <f t="shared" si="1"/>
        <v/>
      </c>
      <c r="X44" t="str">
        <f t="shared" si="2"/>
        <v xml:space="preserve">          </v>
      </c>
      <c r="Y44" s="227" t="str">
        <f t="shared" si="3"/>
        <v/>
      </c>
      <c r="Z44" t="str">
        <f t="shared" si="6"/>
        <v/>
      </c>
      <c r="AL44" t="str">
        <f t="shared" si="4"/>
        <v/>
      </c>
      <c r="AM44" t="str">
        <f t="shared" si="5"/>
        <v/>
      </c>
    </row>
    <row r="45" spans="1:39">
      <c r="A45" t="str">
        <f>IF(ISBLANK(Record!A46),"",Record!A46)</f>
        <v/>
      </c>
      <c r="B45" t="str">
        <f>IF(ISBLANK(Record!B46),"",Record!B46)</f>
        <v/>
      </c>
      <c r="C45" s="227" t="str">
        <f>IF(ISBLANK(Record!C46),"",Record!C46)</f>
        <v/>
      </c>
      <c r="D45" t="str">
        <f>IF(ISBLANK(Record!D46),"",Record!D46)</f>
        <v/>
      </c>
      <c r="E45" t="str">
        <f>IF(ISBLANK(Record!E46),"",Record!E46)</f>
        <v/>
      </c>
      <c r="M45" t="str">
        <f t="shared" si="0"/>
        <v xml:space="preserve">          </v>
      </c>
      <c r="N45" s="227" t="str">
        <f t="shared" si="1"/>
        <v/>
      </c>
      <c r="X45" t="str">
        <f t="shared" si="2"/>
        <v xml:space="preserve">          </v>
      </c>
      <c r="Y45" s="227" t="str">
        <f t="shared" si="3"/>
        <v/>
      </c>
      <c r="Z45" t="str">
        <f t="shared" si="6"/>
        <v/>
      </c>
      <c r="AL45" t="str">
        <f t="shared" si="4"/>
        <v/>
      </c>
      <c r="AM45" t="str">
        <f t="shared" si="5"/>
        <v/>
      </c>
    </row>
    <row r="46" spans="1:39">
      <c r="A46" t="str">
        <f>IF(ISBLANK(Record!A47),"",Record!A47)</f>
        <v/>
      </c>
      <c r="B46" t="str">
        <f>IF(ISBLANK(Record!B47),"",Record!B47)</f>
        <v/>
      </c>
      <c r="C46" s="227" t="str">
        <f>IF(ISBLANK(Record!C47),"",Record!C47)</f>
        <v/>
      </c>
      <c r="D46" t="str">
        <f>IF(ISBLANK(Record!D47),"",Record!D47)</f>
        <v/>
      </c>
      <c r="E46" t="str">
        <f>IF(ISBLANK(Record!E47),"",Record!E47)</f>
        <v/>
      </c>
      <c r="M46" t="str">
        <f t="shared" si="0"/>
        <v xml:space="preserve">          </v>
      </c>
      <c r="N46" s="227" t="str">
        <f t="shared" si="1"/>
        <v/>
      </c>
      <c r="X46" t="str">
        <f t="shared" si="2"/>
        <v xml:space="preserve">          </v>
      </c>
      <c r="Y46" s="227" t="str">
        <f t="shared" si="3"/>
        <v/>
      </c>
      <c r="Z46" t="str">
        <f t="shared" si="6"/>
        <v/>
      </c>
      <c r="AL46" t="str">
        <f t="shared" si="4"/>
        <v/>
      </c>
      <c r="AM46" t="str">
        <f t="shared" si="5"/>
        <v/>
      </c>
    </row>
    <row r="47" spans="1:39">
      <c r="A47" t="str">
        <f>IF(ISBLANK(Record!A48),"",Record!A48)</f>
        <v/>
      </c>
      <c r="B47" t="str">
        <f>IF(ISBLANK(Record!B48),"",Record!B48)</f>
        <v/>
      </c>
      <c r="C47" s="227" t="str">
        <f>IF(ISBLANK(Record!C48),"",Record!C48)</f>
        <v/>
      </c>
      <c r="D47" t="str">
        <f>IF(ISBLANK(Record!D48),"",Record!D48)</f>
        <v/>
      </c>
      <c r="E47" t="str">
        <f>IF(ISBLANK(Record!E48),"",Record!E48)</f>
        <v/>
      </c>
      <c r="M47" t="str">
        <f t="shared" si="0"/>
        <v xml:space="preserve">          </v>
      </c>
      <c r="N47" s="227" t="str">
        <f t="shared" si="1"/>
        <v/>
      </c>
      <c r="X47" t="str">
        <f t="shared" si="2"/>
        <v xml:space="preserve">          </v>
      </c>
      <c r="Y47" s="227" t="str">
        <f t="shared" si="3"/>
        <v/>
      </c>
      <c r="Z47" t="str">
        <f t="shared" si="6"/>
        <v/>
      </c>
      <c r="AL47" t="str">
        <f t="shared" si="4"/>
        <v/>
      </c>
      <c r="AM47" t="str">
        <f t="shared" si="5"/>
        <v/>
      </c>
    </row>
    <row r="48" spans="1:39">
      <c r="A48" t="str">
        <f>IF(ISBLANK(Record!A49),"",Record!A49)</f>
        <v/>
      </c>
      <c r="B48" t="str">
        <f>IF(ISBLANK(Record!B49),"",Record!B49)</f>
        <v/>
      </c>
      <c r="C48" s="227" t="str">
        <f>IF(ISBLANK(Record!C49),"",Record!C49)</f>
        <v/>
      </c>
      <c r="D48" t="str">
        <f>IF(ISBLANK(Record!D49),"",Record!D49)</f>
        <v/>
      </c>
      <c r="E48" t="str">
        <f>IF(ISBLANK(Record!E49),"",Record!E49)</f>
        <v/>
      </c>
      <c r="M48" t="str">
        <f t="shared" si="0"/>
        <v xml:space="preserve">          </v>
      </c>
      <c r="N48" s="227" t="str">
        <f t="shared" si="1"/>
        <v/>
      </c>
      <c r="X48" t="str">
        <f t="shared" si="2"/>
        <v xml:space="preserve">          </v>
      </c>
      <c r="Y48" s="227" t="str">
        <f t="shared" si="3"/>
        <v/>
      </c>
      <c r="Z48" t="str">
        <f t="shared" si="6"/>
        <v/>
      </c>
      <c r="AL48" t="str">
        <f t="shared" si="4"/>
        <v/>
      </c>
      <c r="AM48" t="str">
        <f t="shared" si="5"/>
        <v/>
      </c>
    </row>
    <row r="49" spans="1:39">
      <c r="A49" t="str">
        <f>IF(ISBLANK(Record!A50),"",Record!A50)</f>
        <v/>
      </c>
      <c r="B49" t="str">
        <f>IF(ISBLANK(Record!B50),"",Record!B50)</f>
        <v/>
      </c>
      <c r="C49" s="227" t="str">
        <f>IF(ISBLANK(Record!C50),"",Record!C50)</f>
        <v/>
      </c>
      <c r="D49" t="str">
        <f>IF(ISBLANK(Record!D50),"",Record!D50)</f>
        <v/>
      </c>
      <c r="E49" t="str">
        <f>IF(ISBLANK(Record!E50),"",Record!E50)</f>
        <v/>
      </c>
      <c r="M49" t="str">
        <f t="shared" si="0"/>
        <v xml:space="preserve">          </v>
      </c>
      <c r="N49" s="227" t="str">
        <f t="shared" si="1"/>
        <v/>
      </c>
      <c r="X49" t="str">
        <f t="shared" si="2"/>
        <v xml:space="preserve">          </v>
      </c>
      <c r="Y49" s="227" t="str">
        <f t="shared" si="3"/>
        <v/>
      </c>
      <c r="Z49" t="str">
        <f t="shared" si="6"/>
        <v/>
      </c>
      <c r="AL49" t="str">
        <f t="shared" si="4"/>
        <v/>
      </c>
      <c r="AM49" t="str">
        <f t="shared" si="5"/>
        <v/>
      </c>
    </row>
    <row r="50" spans="1:39">
      <c r="A50" t="str">
        <f>IF(ISBLANK(Record!A51),"",Record!A51)</f>
        <v/>
      </c>
      <c r="B50" t="str">
        <f>IF(ISBLANK(Record!B51),"",Record!B51)</f>
        <v/>
      </c>
      <c r="C50" s="227" t="str">
        <f>IF(ISBLANK(Record!C51),"",Record!C51)</f>
        <v/>
      </c>
      <c r="D50" t="str">
        <f>IF(ISBLANK(Record!D51),"",Record!D51)</f>
        <v/>
      </c>
      <c r="E50" t="str">
        <f>IF(ISBLANK(Record!E51),"",Record!E51)</f>
        <v/>
      </c>
      <c r="M50" t="str">
        <f t="shared" si="0"/>
        <v xml:space="preserve">          </v>
      </c>
      <c r="N50" s="227" t="str">
        <f t="shared" si="1"/>
        <v/>
      </c>
      <c r="X50" t="str">
        <f t="shared" si="2"/>
        <v xml:space="preserve">          </v>
      </c>
      <c r="Y50" s="227" t="str">
        <f t="shared" si="3"/>
        <v/>
      </c>
      <c r="Z50" t="str">
        <f t="shared" si="6"/>
        <v/>
      </c>
      <c r="AL50" t="str">
        <f t="shared" si="4"/>
        <v/>
      </c>
      <c r="AM50" t="str">
        <f t="shared" si="5"/>
        <v/>
      </c>
    </row>
    <row r="51" spans="1:39">
      <c r="A51" t="str">
        <f>IF(ISBLANK(Record!A52),"",Record!A52)</f>
        <v/>
      </c>
      <c r="B51" t="str">
        <f>IF(ISBLANK(Record!B52),"",Record!B52)</f>
        <v/>
      </c>
      <c r="C51" s="227" t="str">
        <f>IF(ISBLANK(Record!C52),"",Record!C52)</f>
        <v/>
      </c>
      <c r="D51" t="str">
        <f>IF(ISBLANK(Record!D52),"",Record!D52)</f>
        <v/>
      </c>
      <c r="E51" t="str">
        <f>IF(ISBLANK(Record!E52),"",Record!E52)</f>
        <v/>
      </c>
      <c r="M51" t="str">
        <f t="shared" si="0"/>
        <v xml:space="preserve">          </v>
      </c>
      <c r="N51" s="227" t="str">
        <f t="shared" si="1"/>
        <v/>
      </c>
      <c r="X51" t="str">
        <f t="shared" si="2"/>
        <v xml:space="preserve">          </v>
      </c>
      <c r="Y51" s="227" t="str">
        <f t="shared" si="3"/>
        <v/>
      </c>
      <c r="Z51" t="str">
        <f t="shared" si="6"/>
        <v/>
      </c>
      <c r="AL51" t="str">
        <f t="shared" si="4"/>
        <v/>
      </c>
      <c r="AM51" t="str">
        <f t="shared" si="5"/>
        <v/>
      </c>
    </row>
    <row r="52" spans="1:39">
      <c r="A52" t="str">
        <f>IF(ISBLANK(Record!A53),"",Record!A53)</f>
        <v/>
      </c>
      <c r="B52" t="str">
        <f>IF(ISBLANK(Record!B53),"",Record!B53)</f>
        <v/>
      </c>
      <c r="C52" s="227" t="str">
        <f>IF(ISBLANK(Record!C53),"",Record!C53)</f>
        <v/>
      </c>
      <c r="D52" t="str">
        <f>IF(ISBLANK(Record!D53),"",Record!D53)</f>
        <v/>
      </c>
      <c r="E52" t="str">
        <f>IF(ISBLANK(Record!E53),"",Record!E53)</f>
        <v/>
      </c>
      <c r="M52" t="str">
        <f t="shared" si="0"/>
        <v xml:space="preserve">          </v>
      </c>
      <c r="N52" s="227" t="str">
        <f t="shared" si="1"/>
        <v/>
      </c>
      <c r="X52" t="str">
        <f t="shared" si="2"/>
        <v xml:space="preserve">          </v>
      </c>
      <c r="Y52" s="227" t="str">
        <f t="shared" si="3"/>
        <v/>
      </c>
      <c r="Z52" t="str">
        <f t="shared" si="6"/>
        <v/>
      </c>
      <c r="AL52" t="str">
        <f t="shared" si="4"/>
        <v/>
      </c>
      <c r="AM52" t="str">
        <f t="shared" si="5"/>
        <v/>
      </c>
    </row>
    <row r="53" spans="1:39">
      <c r="A53" t="str">
        <f>IF(ISBLANK(Record!A54),"",Record!A54)</f>
        <v/>
      </c>
      <c r="B53" t="str">
        <f>IF(ISBLANK(Record!B54),"",Record!B54)</f>
        <v/>
      </c>
      <c r="C53" s="227" t="str">
        <f>IF(ISBLANK(Record!C54),"",Record!C54)</f>
        <v/>
      </c>
      <c r="D53" t="str">
        <f>IF(ISBLANK(Record!D54),"",Record!D54)</f>
        <v/>
      </c>
      <c r="E53" t="str">
        <f>IF(ISBLANK(Record!E54),"",Record!E54)</f>
        <v/>
      </c>
      <c r="M53" t="str">
        <f t="shared" si="0"/>
        <v xml:space="preserve">          </v>
      </c>
      <c r="N53" s="227" t="str">
        <f t="shared" si="1"/>
        <v/>
      </c>
      <c r="X53" t="str">
        <f t="shared" si="2"/>
        <v xml:space="preserve">          </v>
      </c>
      <c r="Y53" s="227" t="str">
        <f t="shared" si="3"/>
        <v/>
      </c>
      <c r="Z53" t="str">
        <f t="shared" si="6"/>
        <v/>
      </c>
      <c r="AL53" t="str">
        <f t="shared" si="4"/>
        <v/>
      </c>
      <c r="AM53" t="str">
        <f t="shared" si="5"/>
        <v/>
      </c>
    </row>
    <row r="54" spans="1:39">
      <c r="A54" t="str">
        <f>IF(ISBLANK(Record!A55),"",Record!A55)</f>
        <v/>
      </c>
      <c r="B54" t="str">
        <f>IF(ISBLANK(Record!B55),"",Record!B55)</f>
        <v/>
      </c>
      <c r="C54" s="227" t="str">
        <f>IF(ISBLANK(Record!C55),"",Record!C55)</f>
        <v/>
      </c>
      <c r="D54" t="str">
        <f>IF(ISBLANK(Record!D55),"",Record!D55)</f>
        <v/>
      </c>
      <c r="E54" t="str">
        <f>IF(ISBLANK(Record!E55),"",Record!E55)</f>
        <v/>
      </c>
      <c r="M54" t="str">
        <f t="shared" si="0"/>
        <v xml:space="preserve">          </v>
      </c>
      <c r="N54" s="227" t="str">
        <f t="shared" si="1"/>
        <v/>
      </c>
      <c r="X54" t="str">
        <f t="shared" si="2"/>
        <v xml:space="preserve">          </v>
      </c>
      <c r="Y54" s="227" t="str">
        <f t="shared" si="3"/>
        <v/>
      </c>
      <c r="Z54" t="str">
        <f t="shared" si="6"/>
        <v/>
      </c>
      <c r="AL54" t="str">
        <f t="shared" si="4"/>
        <v/>
      </c>
      <c r="AM54" t="str">
        <f t="shared" si="5"/>
        <v/>
      </c>
    </row>
    <row r="55" spans="1:39">
      <c r="A55" t="str">
        <f>IF(ISBLANK(Record!A56),"",Record!A56)</f>
        <v/>
      </c>
      <c r="B55" t="str">
        <f>IF(ISBLANK(Record!B56),"",Record!B56)</f>
        <v/>
      </c>
      <c r="C55" s="227" t="str">
        <f>IF(ISBLANK(Record!C56),"",Record!C56)</f>
        <v/>
      </c>
      <c r="D55" t="str">
        <f>IF(ISBLANK(Record!D56),"",Record!D56)</f>
        <v/>
      </c>
      <c r="E55" t="str">
        <f>IF(ISBLANK(Record!E56),"",Record!E56)</f>
        <v/>
      </c>
      <c r="M55" t="str">
        <f t="shared" si="0"/>
        <v xml:space="preserve">          </v>
      </c>
      <c r="N55" s="227" t="str">
        <f t="shared" si="1"/>
        <v/>
      </c>
      <c r="X55" t="str">
        <f t="shared" si="2"/>
        <v xml:space="preserve">          </v>
      </c>
      <c r="Y55" s="227" t="str">
        <f t="shared" si="3"/>
        <v/>
      </c>
      <c r="Z55" t="str">
        <f t="shared" si="6"/>
        <v/>
      </c>
      <c r="AL55" t="str">
        <f t="shared" si="4"/>
        <v/>
      </c>
      <c r="AM55" t="str">
        <f t="shared" si="5"/>
        <v/>
      </c>
    </row>
    <row r="56" spans="1:39">
      <c r="A56" t="str">
        <f>IF(ISBLANK(Record!A57),"",Record!A57)</f>
        <v/>
      </c>
      <c r="B56" t="str">
        <f>IF(ISBLANK(Record!B57),"",Record!B57)</f>
        <v/>
      </c>
      <c r="C56" s="227" t="str">
        <f>IF(ISBLANK(Record!C57),"",Record!C57)</f>
        <v/>
      </c>
      <c r="D56" t="str">
        <f>IF(ISBLANK(Record!D57),"",Record!D57)</f>
        <v/>
      </c>
      <c r="E56" t="str">
        <f>IF(ISBLANK(Record!E57),"",Record!E57)</f>
        <v/>
      </c>
      <c r="M56" t="str">
        <f t="shared" si="0"/>
        <v xml:space="preserve">          </v>
      </c>
      <c r="N56" s="227" t="str">
        <f t="shared" si="1"/>
        <v/>
      </c>
      <c r="X56" t="str">
        <f t="shared" si="2"/>
        <v xml:space="preserve">          </v>
      </c>
      <c r="Y56" s="227" t="str">
        <f t="shared" si="3"/>
        <v/>
      </c>
      <c r="Z56" t="str">
        <f t="shared" si="6"/>
        <v/>
      </c>
      <c r="AL56" t="str">
        <f t="shared" si="4"/>
        <v/>
      </c>
      <c r="AM56" t="str">
        <f t="shared" si="5"/>
        <v/>
      </c>
    </row>
    <row r="57" spans="1:39">
      <c r="A57" t="str">
        <f>IF(ISBLANK(Record!A58),"",Record!A58)</f>
        <v/>
      </c>
      <c r="B57" t="str">
        <f>IF(ISBLANK(Record!B58),"",Record!B58)</f>
        <v/>
      </c>
      <c r="C57" s="227" t="str">
        <f>IF(ISBLANK(Record!C58),"",Record!C58)</f>
        <v/>
      </c>
      <c r="D57" t="str">
        <f>IF(ISBLANK(Record!D58),"",Record!D58)</f>
        <v/>
      </c>
      <c r="E57" t="str">
        <f>IF(ISBLANK(Record!E58),"",Record!E58)</f>
        <v/>
      </c>
      <c r="M57" t="str">
        <f t="shared" si="0"/>
        <v xml:space="preserve">          </v>
      </c>
      <c r="N57" s="227" t="str">
        <f t="shared" si="1"/>
        <v/>
      </c>
      <c r="X57" t="str">
        <f t="shared" si="2"/>
        <v xml:space="preserve">          </v>
      </c>
      <c r="Y57" s="227" t="str">
        <f t="shared" si="3"/>
        <v/>
      </c>
      <c r="Z57" t="str">
        <f t="shared" si="6"/>
        <v/>
      </c>
      <c r="AL57" t="str">
        <f t="shared" si="4"/>
        <v/>
      </c>
      <c r="AM57" t="str">
        <f t="shared" si="5"/>
        <v/>
      </c>
    </row>
    <row r="58" spans="1:39">
      <c r="A58" t="str">
        <f>IF(ISBLANK(Record!A59),"",Record!A59)</f>
        <v/>
      </c>
      <c r="B58" t="str">
        <f>IF(ISBLANK(Record!B59),"",Record!B59)</f>
        <v/>
      </c>
      <c r="C58" s="227" t="str">
        <f>IF(ISBLANK(Record!C59),"",Record!C59)</f>
        <v/>
      </c>
      <c r="D58" t="str">
        <f>IF(ISBLANK(Record!D59),"",Record!D59)</f>
        <v/>
      </c>
      <c r="E58" t="str">
        <f>IF(ISBLANK(Record!E59),"",Record!E59)</f>
        <v/>
      </c>
      <c r="M58" t="str">
        <f t="shared" si="0"/>
        <v xml:space="preserve">          </v>
      </c>
      <c r="N58" s="227" t="str">
        <f t="shared" si="1"/>
        <v/>
      </c>
      <c r="X58" t="str">
        <f t="shared" si="2"/>
        <v xml:space="preserve">          </v>
      </c>
      <c r="Y58" s="227" t="str">
        <f t="shared" si="3"/>
        <v/>
      </c>
      <c r="Z58" t="str">
        <f t="shared" si="6"/>
        <v/>
      </c>
      <c r="AL58" t="str">
        <f t="shared" si="4"/>
        <v/>
      </c>
      <c r="AM58" t="str">
        <f t="shared" si="5"/>
        <v/>
      </c>
    </row>
    <row r="59" spans="1:39">
      <c r="A59" t="str">
        <f>IF(ISBLANK(Record!A60),"",Record!A60)</f>
        <v/>
      </c>
      <c r="B59" t="str">
        <f>IF(ISBLANK(Record!B60),"",Record!B60)</f>
        <v/>
      </c>
      <c r="C59" s="227" t="str">
        <f>IF(ISBLANK(Record!C60),"",Record!C60)</f>
        <v/>
      </c>
      <c r="D59" t="str">
        <f>IF(ISBLANK(Record!D60),"",Record!D60)</f>
        <v/>
      </c>
      <c r="E59" t="str">
        <f>IF(ISBLANK(Record!E60),"",Record!E60)</f>
        <v/>
      </c>
      <c r="M59" t="str">
        <f t="shared" si="0"/>
        <v xml:space="preserve">          </v>
      </c>
      <c r="N59" s="227" t="str">
        <f t="shared" si="1"/>
        <v/>
      </c>
      <c r="X59" t="str">
        <f t="shared" si="2"/>
        <v xml:space="preserve">          </v>
      </c>
      <c r="Y59" s="227" t="str">
        <f t="shared" si="3"/>
        <v/>
      </c>
      <c r="Z59" t="str">
        <f t="shared" si="6"/>
        <v/>
      </c>
      <c r="AL59" t="str">
        <f t="shared" si="4"/>
        <v/>
      </c>
      <c r="AM59" t="str">
        <f t="shared" si="5"/>
        <v/>
      </c>
    </row>
    <row r="60" spans="1:39">
      <c r="A60" t="str">
        <f>IF(ISBLANK(Record!A61),"",Record!A61)</f>
        <v/>
      </c>
      <c r="B60" t="str">
        <f>IF(ISBLANK(Record!B61),"",Record!B61)</f>
        <v/>
      </c>
      <c r="C60" s="227" t="str">
        <f>IF(ISBLANK(Record!C61),"",Record!C61)</f>
        <v/>
      </c>
      <c r="D60" t="str">
        <f>IF(ISBLANK(Record!D61),"",Record!D61)</f>
        <v/>
      </c>
      <c r="E60" t="str">
        <f>IF(ISBLANK(Record!E61),"",Record!E61)</f>
        <v/>
      </c>
      <c r="M60" t="str">
        <f t="shared" si="0"/>
        <v xml:space="preserve">          </v>
      </c>
      <c r="N60" s="227" t="str">
        <f t="shared" si="1"/>
        <v/>
      </c>
      <c r="X60" t="str">
        <f t="shared" si="2"/>
        <v xml:space="preserve">          </v>
      </c>
      <c r="Y60" s="227" t="str">
        <f t="shared" si="3"/>
        <v/>
      </c>
      <c r="Z60" t="str">
        <f t="shared" si="6"/>
        <v/>
      </c>
      <c r="AL60" t="str">
        <f t="shared" si="4"/>
        <v/>
      </c>
      <c r="AM60" t="str">
        <f t="shared" si="5"/>
        <v/>
      </c>
    </row>
    <row r="61" spans="1:39">
      <c r="A61" t="str">
        <f>IF(ISBLANK(Record!A62),"",Record!A62)</f>
        <v/>
      </c>
      <c r="B61" t="str">
        <f>IF(ISBLANK(Record!B62),"",Record!B62)</f>
        <v/>
      </c>
      <c r="C61" s="227" t="str">
        <f>IF(ISBLANK(Record!C62),"",Record!C62)</f>
        <v/>
      </c>
      <c r="D61" t="str">
        <f>IF(ISBLANK(Record!D62),"",Record!D62)</f>
        <v/>
      </c>
      <c r="E61" t="str">
        <f>IF(ISBLANK(Record!E62),"",Record!E62)</f>
        <v/>
      </c>
      <c r="M61" t="str">
        <f t="shared" si="0"/>
        <v xml:space="preserve">          </v>
      </c>
      <c r="N61" s="227" t="str">
        <f t="shared" si="1"/>
        <v/>
      </c>
      <c r="X61" t="str">
        <f t="shared" si="2"/>
        <v xml:space="preserve">          </v>
      </c>
      <c r="Y61" s="227" t="str">
        <f t="shared" si="3"/>
        <v/>
      </c>
      <c r="Z61" t="str">
        <f t="shared" si="6"/>
        <v/>
      </c>
      <c r="AL61" t="str">
        <f t="shared" si="4"/>
        <v/>
      </c>
      <c r="AM61" t="str">
        <f t="shared" si="5"/>
        <v/>
      </c>
    </row>
    <row r="62" spans="1:39">
      <c r="A62" t="str">
        <f>IF(ISBLANK(Record!A63),"",Record!A63)</f>
        <v/>
      </c>
      <c r="B62" t="str">
        <f>IF(ISBLANK(Record!B63),"",Record!B63)</f>
        <v/>
      </c>
      <c r="C62" s="227" t="str">
        <f>IF(ISBLANK(Record!C63),"",Record!C63)</f>
        <v/>
      </c>
      <c r="D62" t="str">
        <f>IF(ISBLANK(Record!D63),"",Record!D63)</f>
        <v/>
      </c>
      <c r="E62" t="str">
        <f>IF(ISBLANK(Record!E63),"",Record!E63)</f>
        <v/>
      </c>
      <c r="M62" t="str">
        <f t="shared" si="0"/>
        <v xml:space="preserve">          </v>
      </c>
      <c r="N62" s="227" t="str">
        <f t="shared" si="1"/>
        <v/>
      </c>
      <c r="X62" t="str">
        <f t="shared" si="2"/>
        <v xml:space="preserve">          </v>
      </c>
      <c r="Y62" s="227" t="str">
        <f t="shared" si="3"/>
        <v/>
      </c>
      <c r="Z62" t="str">
        <f t="shared" si="6"/>
        <v/>
      </c>
      <c r="AL62" t="str">
        <f t="shared" si="4"/>
        <v/>
      </c>
      <c r="AM62" t="str">
        <f t="shared" si="5"/>
        <v/>
      </c>
    </row>
    <row r="63" spans="1:39">
      <c r="A63" t="str">
        <f>IF(ISBLANK(Record!A64),"",Record!A64)</f>
        <v/>
      </c>
      <c r="B63" t="str">
        <f>IF(ISBLANK(Record!B64),"",Record!B64)</f>
        <v/>
      </c>
      <c r="C63" s="227" t="str">
        <f>IF(ISBLANK(Record!C64),"",Record!C64)</f>
        <v/>
      </c>
      <c r="D63" t="str">
        <f>IF(ISBLANK(Record!D64),"",Record!D64)</f>
        <v/>
      </c>
      <c r="E63" t="str">
        <f>IF(ISBLANK(Record!E64),"",Record!E64)</f>
        <v/>
      </c>
      <c r="M63" t="str">
        <f t="shared" si="0"/>
        <v xml:space="preserve">          </v>
      </c>
      <c r="N63" s="227" t="str">
        <f t="shared" si="1"/>
        <v/>
      </c>
      <c r="X63" t="str">
        <f t="shared" si="2"/>
        <v xml:space="preserve">          </v>
      </c>
      <c r="Y63" s="227" t="str">
        <f t="shared" si="3"/>
        <v/>
      </c>
      <c r="Z63" t="str">
        <f t="shared" si="6"/>
        <v/>
      </c>
      <c r="AL63" t="str">
        <f t="shared" si="4"/>
        <v/>
      </c>
      <c r="AM63" t="str">
        <f t="shared" si="5"/>
        <v/>
      </c>
    </row>
    <row r="64" spans="1:39">
      <c r="A64" t="str">
        <f>IF(ISBLANK(Record!A65),"",Record!A65)</f>
        <v/>
      </c>
      <c r="B64" t="str">
        <f>IF(ISBLANK(Record!B65),"",Record!B65)</f>
        <v/>
      </c>
      <c r="C64" s="227" t="str">
        <f>IF(ISBLANK(Record!C65),"",Record!C65)</f>
        <v/>
      </c>
      <c r="D64" t="str">
        <f>IF(ISBLANK(Record!D65),"",Record!D65)</f>
        <v/>
      </c>
      <c r="E64" t="str">
        <f>IF(ISBLANK(Record!E65),"",Record!E65)</f>
        <v/>
      </c>
      <c r="M64" t="str">
        <f t="shared" si="0"/>
        <v xml:space="preserve">          </v>
      </c>
      <c r="N64" s="227" t="str">
        <f t="shared" si="1"/>
        <v/>
      </c>
      <c r="X64" t="str">
        <f t="shared" si="2"/>
        <v xml:space="preserve">          </v>
      </c>
      <c r="Y64" s="227" t="str">
        <f t="shared" si="3"/>
        <v/>
      </c>
      <c r="Z64" t="str">
        <f t="shared" si="6"/>
        <v/>
      </c>
      <c r="AL64" t="str">
        <f t="shared" si="4"/>
        <v/>
      </c>
      <c r="AM64" t="str">
        <f t="shared" si="5"/>
        <v/>
      </c>
    </row>
    <row r="65" spans="1:39">
      <c r="A65" t="str">
        <f>IF(ISBLANK(Record!A66),"",Record!A66)</f>
        <v/>
      </c>
      <c r="B65" t="str">
        <f>IF(ISBLANK(Record!B66),"",Record!B66)</f>
        <v/>
      </c>
      <c r="C65" s="227" t="str">
        <f>IF(ISBLANK(Record!C66),"",Record!C66)</f>
        <v/>
      </c>
      <c r="D65" t="str">
        <f>IF(ISBLANK(Record!D66),"",Record!D66)</f>
        <v/>
      </c>
      <c r="E65" t="str">
        <f>IF(ISBLANK(Record!E66),"",Record!E66)</f>
        <v/>
      </c>
      <c r="M65" t="str">
        <f t="shared" si="0"/>
        <v xml:space="preserve">          </v>
      </c>
      <c r="N65" s="227" t="str">
        <f t="shared" si="1"/>
        <v/>
      </c>
      <c r="X65" t="str">
        <f t="shared" si="2"/>
        <v xml:space="preserve">          </v>
      </c>
      <c r="Y65" s="227" t="str">
        <f t="shared" si="3"/>
        <v/>
      </c>
      <c r="Z65" t="str">
        <f t="shared" si="6"/>
        <v/>
      </c>
      <c r="AL65" t="str">
        <f t="shared" si="4"/>
        <v/>
      </c>
      <c r="AM65" t="str">
        <f t="shared" si="5"/>
        <v/>
      </c>
    </row>
    <row r="66" spans="1:39">
      <c r="A66" t="str">
        <f>IF(ISBLANK(Record!A67),"",Record!A67)</f>
        <v/>
      </c>
      <c r="B66" t="str">
        <f>IF(ISBLANK(Record!B67),"",Record!B67)</f>
        <v/>
      </c>
      <c r="C66" s="227" t="str">
        <f>IF(ISBLANK(Record!C67),"",Record!C67)</f>
        <v/>
      </c>
      <c r="D66" t="str">
        <f>IF(ISBLANK(Record!D67),"",Record!D67)</f>
        <v/>
      </c>
      <c r="E66" t="str">
        <f>IF(ISBLANK(Record!E67),"",Record!E67)</f>
        <v/>
      </c>
      <c r="M66" t="str">
        <f t="shared" si="0"/>
        <v xml:space="preserve">          </v>
      </c>
      <c r="N66" s="227" t="str">
        <f t="shared" si="1"/>
        <v/>
      </c>
      <c r="X66" t="str">
        <f t="shared" si="2"/>
        <v xml:space="preserve">          </v>
      </c>
      <c r="Y66" s="227" t="str">
        <f t="shared" si="3"/>
        <v/>
      </c>
      <c r="Z66" t="str">
        <f t="shared" si="6"/>
        <v/>
      </c>
      <c r="AL66" t="str">
        <f t="shared" si="4"/>
        <v/>
      </c>
      <c r="AM66" t="str">
        <f t="shared" si="5"/>
        <v/>
      </c>
    </row>
    <row r="67" spans="1:39">
      <c r="A67" t="str">
        <f>IF(ISBLANK(Record!A68),"",Record!A68)</f>
        <v/>
      </c>
      <c r="B67" t="str">
        <f>IF(ISBLANK(Record!B68),"",Record!B68)</f>
        <v/>
      </c>
      <c r="C67" s="227" t="str">
        <f>IF(ISBLANK(Record!C68),"",Record!C68)</f>
        <v/>
      </c>
      <c r="D67" t="str">
        <f>IF(ISBLANK(Record!D68),"",Record!D68)</f>
        <v/>
      </c>
      <c r="E67" t="str">
        <f>IF(ISBLANK(Record!E68),"",Record!E68)</f>
        <v/>
      </c>
      <c r="M67" t="str">
        <f t="shared" ref="M67:M130" si="7">RIGHT("                                   " &amp; A67,10)</f>
        <v xml:space="preserve">          </v>
      </c>
      <c r="N67" s="227" t="str">
        <f t="shared" ref="N67:N130" si="8">RIGHT(C67,16)</f>
        <v/>
      </c>
      <c r="X67" t="str">
        <f t="shared" ref="X67:X130" si="9">RIGHT("                                   " &amp; A67,10)</f>
        <v xml:space="preserve">          </v>
      </c>
      <c r="Y67" s="227" t="str">
        <f t="shared" ref="Y67:Y130" si="10">RIGHT(C67,16)</f>
        <v/>
      </c>
      <c r="Z67" t="str">
        <f t="shared" ref="Z67:Z130" si="11">RIGHT(D67,8)</f>
        <v/>
      </c>
      <c r="AL67" t="str">
        <f t="shared" ref="AL67:AL130" si="12">D67</f>
        <v/>
      </c>
      <c r="AM67" t="str">
        <f t="shared" ref="AM67:AM130" si="13">IF(E67&lt;&gt;AL67,E67,E67)</f>
        <v/>
      </c>
    </row>
    <row r="68" spans="1:39">
      <c r="A68" t="str">
        <f>IF(ISBLANK(Record!A69),"",Record!A69)</f>
        <v/>
      </c>
      <c r="B68" t="str">
        <f>IF(ISBLANK(Record!B69),"",Record!B69)</f>
        <v/>
      </c>
      <c r="C68" s="227" t="str">
        <f>IF(ISBLANK(Record!C69),"",Record!C69)</f>
        <v/>
      </c>
      <c r="D68" t="str">
        <f>IF(ISBLANK(Record!D69),"",Record!D69)</f>
        <v/>
      </c>
      <c r="E68" t="str">
        <f>IF(ISBLANK(Record!E69),"",Record!E69)</f>
        <v/>
      </c>
      <c r="M68" t="str">
        <f t="shared" si="7"/>
        <v xml:space="preserve">          </v>
      </c>
      <c r="N68" s="227" t="str">
        <f t="shared" si="8"/>
        <v/>
      </c>
      <c r="X68" t="str">
        <f t="shared" si="9"/>
        <v xml:space="preserve">          </v>
      </c>
      <c r="Y68" s="227" t="str">
        <f t="shared" si="10"/>
        <v/>
      </c>
      <c r="Z68" t="str">
        <f t="shared" si="11"/>
        <v/>
      </c>
      <c r="AL68" t="str">
        <f t="shared" si="12"/>
        <v/>
      </c>
      <c r="AM68" t="str">
        <f t="shared" si="13"/>
        <v/>
      </c>
    </row>
    <row r="69" spans="1:39">
      <c r="A69" t="str">
        <f>IF(ISBLANK(Record!A70),"",Record!A70)</f>
        <v/>
      </c>
      <c r="B69" t="str">
        <f>IF(ISBLANK(Record!B70),"",Record!B70)</f>
        <v/>
      </c>
      <c r="C69" s="227" t="str">
        <f>IF(ISBLANK(Record!C70),"",Record!C70)</f>
        <v/>
      </c>
      <c r="D69" t="str">
        <f>IF(ISBLANK(Record!D70),"",Record!D70)</f>
        <v/>
      </c>
      <c r="E69" t="str">
        <f>IF(ISBLANK(Record!E70),"",Record!E70)</f>
        <v/>
      </c>
      <c r="M69" t="str">
        <f t="shared" si="7"/>
        <v xml:space="preserve">          </v>
      </c>
      <c r="N69" s="227" t="str">
        <f t="shared" si="8"/>
        <v/>
      </c>
      <c r="X69" t="str">
        <f t="shared" si="9"/>
        <v xml:space="preserve">          </v>
      </c>
      <c r="Y69" s="227" t="str">
        <f t="shared" si="10"/>
        <v/>
      </c>
      <c r="Z69" t="str">
        <f t="shared" si="11"/>
        <v/>
      </c>
      <c r="AL69" t="str">
        <f t="shared" si="12"/>
        <v/>
      </c>
      <c r="AM69" t="str">
        <f t="shared" si="13"/>
        <v/>
      </c>
    </row>
    <row r="70" spans="1:39">
      <c r="A70" t="str">
        <f>IF(ISBLANK(Record!A71),"",Record!A71)</f>
        <v/>
      </c>
      <c r="B70" t="str">
        <f>IF(ISBLANK(Record!B71),"",Record!B71)</f>
        <v/>
      </c>
      <c r="C70" s="227" t="str">
        <f>IF(ISBLANK(Record!C71),"",Record!C71)</f>
        <v/>
      </c>
      <c r="D70" t="str">
        <f>IF(ISBLANK(Record!D71),"",Record!D71)</f>
        <v/>
      </c>
      <c r="E70" t="str">
        <f>IF(ISBLANK(Record!E71),"",Record!E71)</f>
        <v/>
      </c>
      <c r="M70" t="str">
        <f t="shared" si="7"/>
        <v xml:space="preserve">          </v>
      </c>
      <c r="N70" s="227" t="str">
        <f t="shared" si="8"/>
        <v/>
      </c>
      <c r="X70" t="str">
        <f t="shared" si="9"/>
        <v xml:space="preserve">          </v>
      </c>
      <c r="Y70" s="227" t="str">
        <f t="shared" si="10"/>
        <v/>
      </c>
      <c r="Z70" t="str">
        <f t="shared" si="11"/>
        <v/>
      </c>
      <c r="AL70" t="str">
        <f t="shared" si="12"/>
        <v/>
      </c>
      <c r="AM70" t="str">
        <f t="shared" si="13"/>
        <v/>
      </c>
    </row>
    <row r="71" spans="1:39">
      <c r="A71" t="str">
        <f>IF(ISBLANK(Record!A72),"",Record!A72)</f>
        <v/>
      </c>
      <c r="B71" t="str">
        <f>IF(ISBLANK(Record!B72),"",Record!B72)</f>
        <v/>
      </c>
      <c r="C71" s="227" t="str">
        <f>IF(ISBLANK(Record!C72),"",Record!C72)</f>
        <v/>
      </c>
      <c r="D71" t="str">
        <f>IF(ISBLANK(Record!D72),"",Record!D72)</f>
        <v/>
      </c>
      <c r="E71" t="str">
        <f>IF(ISBLANK(Record!E72),"",Record!E72)</f>
        <v/>
      </c>
      <c r="M71" t="str">
        <f t="shared" si="7"/>
        <v xml:space="preserve">          </v>
      </c>
      <c r="N71" s="227" t="str">
        <f t="shared" si="8"/>
        <v/>
      </c>
      <c r="X71" t="str">
        <f t="shared" si="9"/>
        <v xml:space="preserve">          </v>
      </c>
      <c r="Y71" s="227" t="str">
        <f t="shared" si="10"/>
        <v/>
      </c>
      <c r="Z71" t="str">
        <f t="shared" si="11"/>
        <v/>
      </c>
      <c r="AL71" t="str">
        <f t="shared" si="12"/>
        <v/>
      </c>
      <c r="AM71" t="str">
        <f t="shared" si="13"/>
        <v/>
      </c>
    </row>
    <row r="72" spans="1:39">
      <c r="A72" t="str">
        <f>IF(ISBLANK(Record!A73),"",Record!A73)</f>
        <v/>
      </c>
      <c r="B72" t="str">
        <f>IF(ISBLANK(Record!B73),"",Record!B73)</f>
        <v/>
      </c>
      <c r="C72" s="227" t="str">
        <f>IF(ISBLANK(Record!C73),"",Record!C73)</f>
        <v/>
      </c>
      <c r="D72" t="str">
        <f>IF(ISBLANK(Record!D73),"",Record!D73)</f>
        <v/>
      </c>
      <c r="E72" t="str">
        <f>IF(ISBLANK(Record!E73),"",Record!E73)</f>
        <v/>
      </c>
      <c r="M72" t="str">
        <f t="shared" si="7"/>
        <v xml:space="preserve">          </v>
      </c>
      <c r="N72" s="227" t="str">
        <f t="shared" si="8"/>
        <v/>
      </c>
      <c r="X72" t="str">
        <f t="shared" si="9"/>
        <v xml:space="preserve">          </v>
      </c>
      <c r="Y72" s="227" t="str">
        <f t="shared" si="10"/>
        <v/>
      </c>
      <c r="Z72" t="str">
        <f t="shared" si="11"/>
        <v/>
      </c>
      <c r="AL72" t="str">
        <f t="shared" si="12"/>
        <v/>
      </c>
      <c r="AM72" t="str">
        <f t="shared" si="13"/>
        <v/>
      </c>
    </row>
    <row r="73" spans="1:39">
      <c r="A73" t="str">
        <f>IF(ISBLANK(Record!A74),"",Record!A74)</f>
        <v/>
      </c>
      <c r="B73" t="str">
        <f>IF(ISBLANK(Record!B74),"",Record!B74)</f>
        <v/>
      </c>
      <c r="C73" s="227" t="str">
        <f>IF(ISBLANK(Record!C74),"",Record!C74)</f>
        <v/>
      </c>
      <c r="D73" t="str">
        <f>IF(ISBLANK(Record!D74),"",Record!D74)</f>
        <v/>
      </c>
      <c r="E73" t="str">
        <f>IF(ISBLANK(Record!E74),"",Record!E74)</f>
        <v/>
      </c>
      <c r="M73" t="str">
        <f t="shared" si="7"/>
        <v xml:space="preserve">          </v>
      </c>
      <c r="N73" s="227" t="str">
        <f t="shared" si="8"/>
        <v/>
      </c>
      <c r="X73" t="str">
        <f t="shared" si="9"/>
        <v xml:space="preserve">          </v>
      </c>
      <c r="Y73" s="227" t="str">
        <f t="shared" si="10"/>
        <v/>
      </c>
      <c r="Z73" t="str">
        <f t="shared" si="11"/>
        <v/>
      </c>
      <c r="AL73" t="str">
        <f t="shared" si="12"/>
        <v/>
      </c>
      <c r="AM73" t="str">
        <f t="shared" si="13"/>
        <v/>
      </c>
    </row>
    <row r="74" spans="1:39">
      <c r="A74" t="str">
        <f>IF(ISBLANK(Record!A75),"",Record!A75)</f>
        <v/>
      </c>
      <c r="B74" t="str">
        <f>IF(ISBLANK(Record!B75),"",Record!B75)</f>
        <v/>
      </c>
      <c r="C74" s="227" t="str">
        <f>IF(ISBLANK(Record!C75),"",Record!C75)</f>
        <v/>
      </c>
      <c r="D74" t="str">
        <f>IF(ISBLANK(Record!D75),"",Record!D75)</f>
        <v/>
      </c>
      <c r="E74" t="str">
        <f>IF(ISBLANK(Record!E75),"",Record!E75)</f>
        <v/>
      </c>
      <c r="M74" t="str">
        <f t="shared" si="7"/>
        <v xml:space="preserve">          </v>
      </c>
      <c r="N74" s="227" t="str">
        <f t="shared" si="8"/>
        <v/>
      </c>
      <c r="X74" t="str">
        <f t="shared" si="9"/>
        <v xml:space="preserve">          </v>
      </c>
      <c r="Y74" s="227" t="str">
        <f t="shared" si="10"/>
        <v/>
      </c>
      <c r="Z74" t="str">
        <f t="shared" si="11"/>
        <v/>
      </c>
      <c r="AL74" t="str">
        <f t="shared" si="12"/>
        <v/>
      </c>
      <c r="AM74" t="str">
        <f t="shared" si="13"/>
        <v/>
      </c>
    </row>
    <row r="75" spans="1:39">
      <c r="A75" t="str">
        <f>IF(ISBLANK(Record!A76),"",Record!A76)</f>
        <v/>
      </c>
      <c r="B75" t="str">
        <f>IF(ISBLANK(Record!B76),"",Record!B76)</f>
        <v/>
      </c>
      <c r="C75" s="227" t="str">
        <f>IF(ISBLANK(Record!C76),"",Record!C76)</f>
        <v/>
      </c>
      <c r="D75" t="str">
        <f>IF(ISBLANK(Record!D76),"",Record!D76)</f>
        <v/>
      </c>
      <c r="E75" t="str">
        <f>IF(ISBLANK(Record!E76),"",Record!E76)</f>
        <v/>
      </c>
      <c r="M75" t="str">
        <f t="shared" si="7"/>
        <v xml:space="preserve">          </v>
      </c>
      <c r="N75" s="227" t="str">
        <f t="shared" si="8"/>
        <v/>
      </c>
      <c r="X75" t="str">
        <f t="shared" si="9"/>
        <v xml:space="preserve">          </v>
      </c>
      <c r="Y75" s="227" t="str">
        <f t="shared" si="10"/>
        <v/>
      </c>
      <c r="Z75" t="str">
        <f t="shared" si="11"/>
        <v/>
      </c>
      <c r="AL75" t="str">
        <f t="shared" si="12"/>
        <v/>
      </c>
      <c r="AM75" t="str">
        <f t="shared" si="13"/>
        <v/>
      </c>
    </row>
    <row r="76" spans="1:39">
      <c r="A76" t="str">
        <f>IF(ISBLANK(Record!A77),"",Record!A77)</f>
        <v/>
      </c>
      <c r="B76" t="str">
        <f>IF(ISBLANK(Record!B77),"",Record!B77)</f>
        <v/>
      </c>
      <c r="C76" s="227" t="str">
        <f>IF(ISBLANK(Record!C77),"",Record!C77)</f>
        <v/>
      </c>
      <c r="D76" t="str">
        <f>IF(ISBLANK(Record!D77),"",Record!D77)</f>
        <v/>
      </c>
      <c r="E76" t="str">
        <f>IF(ISBLANK(Record!E77),"",Record!E77)</f>
        <v/>
      </c>
      <c r="M76" t="str">
        <f t="shared" si="7"/>
        <v xml:space="preserve">          </v>
      </c>
      <c r="N76" s="227" t="str">
        <f t="shared" si="8"/>
        <v/>
      </c>
      <c r="X76" t="str">
        <f t="shared" si="9"/>
        <v xml:space="preserve">          </v>
      </c>
      <c r="Y76" s="227" t="str">
        <f t="shared" si="10"/>
        <v/>
      </c>
      <c r="Z76" t="str">
        <f t="shared" si="11"/>
        <v/>
      </c>
      <c r="AL76" t="str">
        <f t="shared" si="12"/>
        <v/>
      </c>
      <c r="AM76" t="str">
        <f t="shared" si="13"/>
        <v/>
      </c>
    </row>
    <row r="77" spans="1:39">
      <c r="A77" t="str">
        <f>IF(ISBLANK(Record!A78),"",Record!A78)</f>
        <v/>
      </c>
      <c r="B77" t="str">
        <f>IF(ISBLANK(Record!B78),"",Record!B78)</f>
        <v/>
      </c>
      <c r="C77" s="227" t="str">
        <f>IF(ISBLANK(Record!C78),"",Record!C78)</f>
        <v/>
      </c>
      <c r="D77" t="str">
        <f>IF(ISBLANK(Record!D78),"",Record!D78)</f>
        <v/>
      </c>
      <c r="E77" t="str">
        <f>IF(ISBLANK(Record!E78),"",Record!E78)</f>
        <v/>
      </c>
      <c r="M77" t="str">
        <f t="shared" si="7"/>
        <v xml:space="preserve">          </v>
      </c>
      <c r="N77" s="227" t="str">
        <f t="shared" si="8"/>
        <v/>
      </c>
      <c r="X77" t="str">
        <f t="shared" si="9"/>
        <v xml:space="preserve">          </v>
      </c>
      <c r="Y77" s="227" t="str">
        <f t="shared" si="10"/>
        <v/>
      </c>
      <c r="Z77" t="str">
        <f t="shared" si="11"/>
        <v/>
      </c>
      <c r="AL77" t="str">
        <f t="shared" si="12"/>
        <v/>
      </c>
      <c r="AM77" t="str">
        <f t="shared" si="13"/>
        <v/>
      </c>
    </row>
    <row r="78" spans="1:39">
      <c r="A78" t="str">
        <f>IF(ISBLANK(Record!A79),"",Record!A79)</f>
        <v/>
      </c>
      <c r="B78" t="str">
        <f>IF(ISBLANK(Record!B79),"",Record!B79)</f>
        <v/>
      </c>
      <c r="C78" s="227" t="str">
        <f>IF(ISBLANK(Record!C79),"",Record!C79)</f>
        <v/>
      </c>
      <c r="D78" t="str">
        <f>IF(ISBLANK(Record!D79),"",Record!D79)</f>
        <v/>
      </c>
      <c r="E78" t="str">
        <f>IF(ISBLANK(Record!E79),"",Record!E79)</f>
        <v/>
      </c>
      <c r="M78" t="str">
        <f t="shared" si="7"/>
        <v xml:space="preserve">          </v>
      </c>
      <c r="N78" s="227" t="str">
        <f t="shared" si="8"/>
        <v/>
      </c>
      <c r="X78" t="str">
        <f t="shared" si="9"/>
        <v xml:space="preserve">          </v>
      </c>
      <c r="Y78" s="227" t="str">
        <f t="shared" si="10"/>
        <v/>
      </c>
      <c r="Z78" t="str">
        <f t="shared" si="11"/>
        <v/>
      </c>
      <c r="AL78" t="str">
        <f t="shared" si="12"/>
        <v/>
      </c>
      <c r="AM78" t="str">
        <f t="shared" si="13"/>
        <v/>
      </c>
    </row>
    <row r="79" spans="1:39">
      <c r="A79" t="str">
        <f>IF(ISBLANK(Record!A80),"",Record!A80)</f>
        <v/>
      </c>
      <c r="B79" t="str">
        <f>IF(ISBLANK(Record!B80),"",Record!B80)</f>
        <v/>
      </c>
      <c r="C79" s="227" t="str">
        <f>IF(ISBLANK(Record!C80),"",Record!C80)</f>
        <v/>
      </c>
      <c r="D79" t="str">
        <f>IF(ISBLANK(Record!D80),"",Record!D80)</f>
        <v/>
      </c>
      <c r="E79" t="str">
        <f>IF(ISBLANK(Record!E80),"",Record!E80)</f>
        <v/>
      </c>
      <c r="M79" t="str">
        <f t="shared" si="7"/>
        <v xml:space="preserve">          </v>
      </c>
      <c r="N79" s="227" t="str">
        <f t="shared" si="8"/>
        <v/>
      </c>
      <c r="X79" t="str">
        <f t="shared" si="9"/>
        <v xml:space="preserve">          </v>
      </c>
      <c r="Y79" s="227" t="str">
        <f t="shared" si="10"/>
        <v/>
      </c>
      <c r="Z79" t="str">
        <f t="shared" si="11"/>
        <v/>
      </c>
      <c r="AL79" t="str">
        <f t="shared" si="12"/>
        <v/>
      </c>
      <c r="AM79" t="str">
        <f t="shared" si="13"/>
        <v/>
      </c>
    </row>
    <row r="80" spans="1:39">
      <c r="A80" t="str">
        <f>IF(ISBLANK(Record!A81),"",Record!A81)</f>
        <v/>
      </c>
      <c r="B80" t="str">
        <f>IF(ISBLANK(Record!B81),"",Record!B81)</f>
        <v/>
      </c>
      <c r="C80" s="227" t="str">
        <f>IF(ISBLANK(Record!C81),"",Record!C81)</f>
        <v/>
      </c>
      <c r="D80" t="str">
        <f>IF(ISBLANK(Record!D81),"",Record!D81)</f>
        <v/>
      </c>
      <c r="E80" t="str">
        <f>IF(ISBLANK(Record!E81),"",Record!E81)</f>
        <v/>
      </c>
      <c r="M80" t="str">
        <f t="shared" si="7"/>
        <v xml:space="preserve">          </v>
      </c>
      <c r="N80" s="227" t="str">
        <f t="shared" si="8"/>
        <v/>
      </c>
      <c r="X80" t="str">
        <f t="shared" si="9"/>
        <v xml:space="preserve">          </v>
      </c>
      <c r="Y80" s="227" t="str">
        <f t="shared" si="10"/>
        <v/>
      </c>
      <c r="Z80" t="str">
        <f t="shared" si="11"/>
        <v/>
      </c>
      <c r="AL80" t="str">
        <f t="shared" si="12"/>
        <v/>
      </c>
      <c r="AM80" t="str">
        <f t="shared" si="13"/>
        <v/>
      </c>
    </row>
    <row r="81" spans="1:39">
      <c r="A81" t="str">
        <f>IF(ISBLANK(Record!A82),"",Record!A82)</f>
        <v/>
      </c>
      <c r="B81" t="str">
        <f>IF(ISBLANK(Record!B82),"",Record!B82)</f>
        <v/>
      </c>
      <c r="C81" s="227" t="str">
        <f>IF(ISBLANK(Record!C82),"",Record!C82)</f>
        <v/>
      </c>
      <c r="D81" t="str">
        <f>IF(ISBLANK(Record!D82),"",Record!D82)</f>
        <v/>
      </c>
      <c r="E81" t="str">
        <f>IF(ISBLANK(Record!E82),"",Record!E82)</f>
        <v/>
      </c>
      <c r="M81" t="str">
        <f t="shared" si="7"/>
        <v xml:space="preserve">          </v>
      </c>
      <c r="N81" s="227" t="str">
        <f t="shared" si="8"/>
        <v/>
      </c>
      <c r="X81" t="str">
        <f t="shared" si="9"/>
        <v xml:space="preserve">          </v>
      </c>
      <c r="Y81" s="227" t="str">
        <f t="shared" si="10"/>
        <v/>
      </c>
      <c r="Z81" t="str">
        <f t="shared" si="11"/>
        <v/>
      </c>
      <c r="AL81" t="str">
        <f t="shared" si="12"/>
        <v/>
      </c>
      <c r="AM81" t="str">
        <f t="shared" si="13"/>
        <v/>
      </c>
    </row>
    <row r="82" spans="1:39">
      <c r="A82" t="str">
        <f>IF(ISBLANK(Record!A83),"",Record!A83)</f>
        <v/>
      </c>
      <c r="B82" t="str">
        <f>IF(ISBLANK(Record!B83),"",Record!B83)</f>
        <v/>
      </c>
      <c r="C82" s="227" t="str">
        <f>IF(ISBLANK(Record!C83),"",Record!C83)</f>
        <v/>
      </c>
      <c r="D82" t="str">
        <f>IF(ISBLANK(Record!D83),"",Record!D83)</f>
        <v/>
      </c>
      <c r="E82" t="str">
        <f>IF(ISBLANK(Record!E83),"",Record!E83)</f>
        <v/>
      </c>
      <c r="M82" t="str">
        <f t="shared" si="7"/>
        <v xml:space="preserve">          </v>
      </c>
      <c r="N82" s="227" t="str">
        <f t="shared" si="8"/>
        <v/>
      </c>
      <c r="X82" t="str">
        <f t="shared" si="9"/>
        <v xml:space="preserve">          </v>
      </c>
      <c r="Y82" s="227" t="str">
        <f t="shared" si="10"/>
        <v/>
      </c>
      <c r="Z82" t="str">
        <f t="shared" si="11"/>
        <v/>
      </c>
      <c r="AL82" t="str">
        <f t="shared" si="12"/>
        <v/>
      </c>
      <c r="AM82" t="str">
        <f t="shared" si="13"/>
        <v/>
      </c>
    </row>
    <row r="83" spans="1:39">
      <c r="A83" t="str">
        <f>IF(ISBLANK(Record!A84),"",Record!A84)</f>
        <v/>
      </c>
      <c r="B83" t="str">
        <f>IF(ISBLANK(Record!B84),"",Record!B84)</f>
        <v/>
      </c>
      <c r="C83" s="227" t="str">
        <f>IF(ISBLANK(Record!C84),"",Record!C84)</f>
        <v/>
      </c>
      <c r="D83" t="str">
        <f>IF(ISBLANK(Record!D84),"",Record!D84)</f>
        <v/>
      </c>
      <c r="E83" t="str">
        <f>IF(ISBLANK(Record!E84),"",Record!E84)</f>
        <v/>
      </c>
      <c r="M83" t="str">
        <f t="shared" si="7"/>
        <v xml:space="preserve">          </v>
      </c>
      <c r="N83" s="227" t="str">
        <f t="shared" si="8"/>
        <v/>
      </c>
      <c r="X83" t="str">
        <f t="shared" si="9"/>
        <v xml:space="preserve">          </v>
      </c>
      <c r="Y83" s="227" t="str">
        <f t="shared" si="10"/>
        <v/>
      </c>
      <c r="Z83" t="str">
        <f t="shared" si="11"/>
        <v/>
      </c>
      <c r="AL83" t="str">
        <f t="shared" si="12"/>
        <v/>
      </c>
      <c r="AM83" t="str">
        <f t="shared" si="13"/>
        <v/>
      </c>
    </row>
    <row r="84" spans="1:39">
      <c r="A84" t="str">
        <f>IF(ISBLANK(Record!A85),"",Record!A85)</f>
        <v/>
      </c>
      <c r="B84" t="str">
        <f>IF(ISBLANK(Record!B85),"",Record!B85)</f>
        <v/>
      </c>
      <c r="C84" s="227" t="str">
        <f>IF(ISBLANK(Record!C85),"",Record!C85)</f>
        <v/>
      </c>
      <c r="D84" t="str">
        <f>IF(ISBLANK(Record!D85),"",Record!D85)</f>
        <v/>
      </c>
      <c r="E84" t="str">
        <f>IF(ISBLANK(Record!E85),"",Record!E85)</f>
        <v/>
      </c>
      <c r="M84" t="str">
        <f t="shared" si="7"/>
        <v xml:space="preserve">          </v>
      </c>
      <c r="N84" s="227" t="str">
        <f t="shared" si="8"/>
        <v/>
      </c>
      <c r="X84" t="str">
        <f t="shared" si="9"/>
        <v xml:space="preserve">          </v>
      </c>
      <c r="Y84" s="227" t="str">
        <f t="shared" si="10"/>
        <v/>
      </c>
      <c r="Z84" t="str">
        <f t="shared" si="11"/>
        <v/>
      </c>
      <c r="AL84" t="str">
        <f t="shared" si="12"/>
        <v/>
      </c>
      <c r="AM84" t="str">
        <f t="shared" si="13"/>
        <v/>
      </c>
    </row>
    <row r="85" spans="1:39">
      <c r="A85" t="str">
        <f>IF(ISBLANK(Record!A86),"",Record!A86)</f>
        <v/>
      </c>
      <c r="B85" t="str">
        <f>IF(ISBLANK(Record!B86),"",Record!B86)</f>
        <v/>
      </c>
      <c r="C85" s="227" t="str">
        <f>IF(ISBLANK(Record!C86),"",Record!C86)</f>
        <v/>
      </c>
      <c r="D85" t="str">
        <f>IF(ISBLANK(Record!D86),"",Record!D86)</f>
        <v/>
      </c>
      <c r="E85" t="str">
        <f>IF(ISBLANK(Record!E86),"",Record!E86)</f>
        <v/>
      </c>
      <c r="M85" t="str">
        <f t="shared" si="7"/>
        <v xml:space="preserve">          </v>
      </c>
      <c r="N85" s="227" t="str">
        <f t="shared" si="8"/>
        <v/>
      </c>
      <c r="X85" t="str">
        <f t="shared" si="9"/>
        <v xml:space="preserve">          </v>
      </c>
      <c r="Y85" s="227" t="str">
        <f t="shared" si="10"/>
        <v/>
      </c>
      <c r="Z85" t="str">
        <f t="shared" si="11"/>
        <v/>
      </c>
      <c r="AL85" t="str">
        <f t="shared" si="12"/>
        <v/>
      </c>
      <c r="AM85" t="str">
        <f t="shared" si="13"/>
        <v/>
      </c>
    </row>
    <row r="86" spans="1:39">
      <c r="A86" t="str">
        <f>IF(ISBLANK(Record!A87),"",Record!A87)</f>
        <v/>
      </c>
      <c r="B86" t="str">
        <f>IF(ISBLANK(Record!B87),"",Record!B87)</f>
        <v/>
      </c>
      <c r="C86" s="227" t="str">
        <f>IF(ISBLANK(Record!C87),"",Record!C87)</f>
        <v/>
      </c>
      <c r="D86" t="str">
        <f>IF(ISBLANK(Record!D87),"",Record!D87)</f>
        <v/>
      </c>
      <c r="E86" t="str">
        <f>IF(ISBLANK(Record!E87),"",Record!E87)</f>
        <v/>
      </c>
      <c r="M86" t="str">
        <f t="shared" si="7"/>
        <v xml:space="preserve">          </v>
      </c>
      <c r="N86" s="227" t="str">
        <f t="shared" si="8"/>
        <v/>
      </c>
      <c r="X86" t="str">
        <f t="shared" si="9"/>
        <v xml:space="preserve">          </v>
      </c>
      <c r="Y86" s="227" t="str">
        <f t="shared" si="10"/>
        <v/>
      </c>
      <c r="Z86" t="str">
        <f t="shared" si="11"/>
        <v/>
      </c>
      <c r="AL86" t="str">
        <f t="shared" si="12"/>
        <v/>
      </c>
      <c r="AM86" t="str">
        <f t="shared" si="13"/>
        <v/>
      </c>
    </row>
    <row r="87" spans="1:39">
      <c r="A87" t="str">
        <f>IF(ISBLANK(Record!A88),"",Record!A88)</f>
        <v/>
      </c>
      <c r="B87" t="str">
        <f>IF(ISBLANK(Record!B88),"",Record!B88)</f>
        <v/>
      </c>
      <c r="C87" s="227" t="str">
        <f>IF(ISBLANK(Record!C88),"",Record!C88)</f>
        <v/>
      </c>
      <c r="D87" t="str">
        <f>IF(ISBLANK(Record!D88),"",Record!D88)</f>
        <v/>
      </c>
      <c r="E87" t="str">
        <f>IF(ISBLANK(Record!E88),"",Record!E88)</f>
        <v/>
      </c>
      <c r="M87" t="str">
        <f t="shared" si="7"/>
        <v xml:space="preserve">          </v>
      </c>
      <c r="N87" s="227" t="str">
        <f t="shared" si="8"/>
        <v/>
      </c>
      <c r="X87" t="str">
        <f t="shared" si="9"/>
        <v xml:space="preserve">          </v>
      </c>
      <c r="Y87" s="227" t="str">
        <f t="shared" si="10"/>
        <v/>
      </c>
      <c r="Z87" t="str">
        <f t="shared" si="11"/>
        <v/>
      </c>
      <c r="AL87" t="str">
        <f t="shared" si="12"/>
        <v/>
      </c>
      <c r="AM87" t="str">
        <f t="shared" si="13"/>
        <v/>
      </c>
    </row>
    <row r="88" spans="1:39">
      <c r="A88" t="str">
        <f>IF(ISBLANK(Record!A89),"",Record!A89)</f>
        <v/>
      </c>
      <c r="B88" t="str">
        <f>IF(ISBLANK(Record!B89),"",Record!B89)</f>
        <v/>
      </c>
      <c r="C88" s="227" t="str">
        <f>IF(ISBLANK(Record!C89),"",Record!C89)</f>
        <v/>
      </c>
      <c r="D88" t="str">
        <f>IF(ISBLANK(Record!D89),"",Record!D89)</f>
        <v/>
      </c>
      <c r="E88" t="str">
        <f>IF(ISBLANK(Record!E89),"",Record!E89)</f>
        <v/>
      </c>
      <c r="M88" t="str">
        <f t="shared" si="7"/>
        <v xml:space="preserve">          </v>
      </c>
      <c r="N88" s="227" t="str">
        <f t="shared" si="8"/>
        <v/>
      </c>
      <c r="X88" t="str">
        <f t="shared" si="9"/>
        <v xml:space="preserve">          </v>
      </c>
      <c r="Y88" s="227" t="str">
        <f t="shared" si="10"/>
        <v/>
      </c>
      <c r="Z88" t="str">
        <f t="shared" si="11"/>
        <v/>
      </c>
      <c r="AL88" t="str">
        <f t="shared" si="12"/>
        <v/>
      </c>
      <c r="AM88" t="str">
        <f t="shared" si="13"/>
        <v/>
      </c>
    </row>
    <row r="89" spans="1:39">
      <c r="A89" t="str">
        <f>IF(ISBLANK(Record!A90),"",Record!A90)</f>
        <v/>
      </c>
      <c r="B89" t="str">
        <f>IF(ISBLANK(Record!B90),"",Record!B90)</f>
        <v/>
      </c>
      <c r="C89" s="227" t="str">
        <f>IF(ISBLANK(Record!C90),"",Record!C90)</f>
        <v/>
      </c>
      <c r="D89" t="str">
        <f>IF(ISBLANK(Record!D90),"",Record!D90)</f>
        <v/>
      </c>
      <c r="E89" t="str">
        <f>IF(ISBLANK(Record!E90),"",Record!E90)</f>
        <v/>
      </c>
      <c r="M89" t="str">
        <f t="shared" si="7"/>
        <v xml:space="preserve">          </v>
      </c>
      <c r="N89" s="227" t="str">
        <f t="shared" si="8"/>
        <v/>
      </c>
      <c r="X89" t="str">
        <f t="shared" si="9"/>
        <v xml:space="preserve">          </v>
      </c>
      <c r="Y89" s="227" t="str">
        <f t="shared" si="10"/>
        <v/>
      </c>
      <c r="Z89" t="str">
        <f t="shared" si="11"/>
        <v/>
      </c>
      <c r="AL89" t="str">
        <f t="shared" si="12"/>
        <v/>
      </c>
      <c r="AM89" t="str">
        <f t="shared" si="13"/>
        <v/>
      </c>
    </row>
    <row r="90" spans="1:39">
      <c r="A90" t="str">
        <f>IF(ISBLANK(Record!A91),"",Record!A91)</f>
        <v/>
      </c>
      <c r="B90" t="str">
        <f>IF(ISBLANK(Record!B91),"",Record!B91)</f>
        <v/>
      </c>
      <c r="C90" s="227" t="str">
        <f>IF(ISBLANK(Record!C91),"",Record!C91)</f>
        <v/>
      </c>
      <c r="D90" t="str">
        <f>IF(ISBLANK(Record!D91),"",Record!D91)</f>
        <v/>
      </c>
      <c r="E90" t="str">
        <f>IF(ISBLANK(Record!E91),"",Record!E91)</f>
        <v/>
      </c>
      <c r="M90" t="str">
        <f t="shared" si="7"/>
        <v xml:space="preserve">          </v>
      </c>
      <c r="N90" s="227" t="str">
        <f t="shared" si="8"/>
        <v/>
      </c>
      <c r="X90" t="str">
        <f t="shared" si="9"/>
        <v xml:space="preserve">          </v>
      </c>
      <c r="Y90" s="227" t="str">
        <f t="shared" si="10"/>
        <v/>
      </c>
      <c r="Z90" t="str">
        <f t="shared" si="11"/>
        <v/>
      </c>
      <c r="AL90" t="str">
        <f t="shared" si="12"/>
        <v/>
      </c>
      <c r="AM90" t="str">
        <f t="shared" si="13"/>
        <v/>
      </c>
    </row>
    <row r="91" spans="1:39">
      <c r="A91" t="str">
        <f>IF(ISBLANK(Record!A92),"",Record!A92)</f>
        <v/>
      </c>
      <c r="B91" t="str">
        <f>IF(ISBLANK(Record!B92),"",Record!B92)</f>
        <v/>
      </c>
      <c r="C91" s="227" t="str">
        <f>IF(ISBLANK(Record!C92),"",Record!C92)</f>
        <v/>
      </c>
      <c r="D91" t="str">
        <f>IF(ISBLANK(Record!D92),"",Record!D92)</f>
        <v/>
      </c>
      <c r="E91" t="str">
        <f>IF(ISBLANK(Record!E92),"",Record!E92)</f>
        <v/>
      </c>
      <c r="M91" t="str">
        <f t="shared" si="7"/>
        <v xml:space="preserve">          </v>
      </c>
      <c r="N91" s="227" t="str">
        <f t="shared" si="8"/>
        <v/>
      </c>
      <c r="X91" t="str">
        <f t="shared" si="9"/>
        <v xml:space="preserve">          </v>
      </c>
      <c r="Y91" s="227" t="str">
        <f t="shared" si="10"/>
        <v/>
      </c>
      <c r="Z91" t="str">
        <f t="shared" si="11"/>
        <v/>
      </c>
      <c r="AL91" t="str">
        <f t="shared" si="12"/>
        <v/>
      </c>
      <c r="AM91" t="str">
        <f t="shared" si="13"/>
        <v/>
      </c>
    </row>
    <row r="92" spans="1:39">
      <c r="A92" t="str">
        <f>IF(ISBLANK(Record!A93),"",Record!A93)</f>
        <v/>
      </c>
      <c r="B92" t="str">
        <f>IF(ISBLANK(Record!B93),"",Record!B93)</f>
        <v/>
      </c>
      <c r="C92" s="227" t="str">
        <f>IF(ISBLANK(Record!C93),"",Record!C93)</f>
        <v/>
      </c>
      <c r="D92" t="str">
        <f>IF(ISBLANK(Record!D93),"",Record!D93)</f>
        <v/>
      </c>
      <c r="E92" t="str">
        <f>IF(ISBLANK(Record!E93),"",Record!E93)</f>
        <v/>
      </c>
      <c r="M92" t="str">
        <f t="shared" si="7"/>
        <v xml:space="preserve">          </v>
      </c>
      <c r="N92" s="227" t="str">
        <f t="shared" si="8"/>
        <v/>
      </c>
      <c r="X92" t="str">
        <f t="shared" si="9"/>
        <v xml:space="preserve">          </v>
      </c>
      <c r="Y92" s="227" t="str">
        <f t="shared" si="10"/>
        <v/>
      </c>
      <c r="Z92" t="str">
        <f t="shared" si="11"/>
        <v/>
      </c>
      <c r="AL92" t="str">
        <f t="shared" si="12"/>
        <v/>
      </c>
      <c r="AM92" t="str">
        <f t="shared" si="13"/>
        <v/>
      </c>
    </row>
    <row r="93" spans="1:39">
      <c r="A93" t="str">
        <f>IF(ISBLANK(Record!A94),"",Record!A94)</f>
        <v/>
      </c>
      <c r="B93" t="str">
        <f>IF(ISBLANK(Record!B94),"",Record!B94)</f>
        <v/>
      </c>
      <c r="C93" s="227" t="str">
        <f>IF(ISBLANK(Record!C94),"",Record!C94)</f>
        <v/>
      </c>
      <c r="D93" t="str">
        <f>IF(ISBLANK(Record!D94),"",Record!D94)</f>
        <v/>
      </c>
      <c r="E93" t="str">
        <f>IF(ISBLANK(Record!E94),"",Record!E94)</f>
        <v/>
      </c>
      <c r="M93" t="str">
        <f t="shared" si="7"/>
        <v xml:space="preserve">          </v>
      </c>
      <c r="N93" s="227" t="str">
        <f t="shared" si="8"/>
        <v/>
      </c>
      <c r="X93" t="str">
        <f t="shared" si="9"/>
        <v xml:space="preserve">          </v>
      </c>
      <c r="Y93" s="227" t="str">
        <f t="shared" si="10"/>
        <v/>
      </c>
      <c r="Z93" t="str">
        <f t="shared" si="11"/>
        <v/>
      </c>
      <c r="AL93" t="str">
        <f t="shared" si="12"/>
        <v/>
      </c>
      <c r="AM93" t="str">
        <f t="shared" si="13"/>
        <v/>
      </c>
    </row>
    <row r="94" spans="1:39">
      <c r="A94" t="str">
        <f>IF(ISBLANK(Record!A95),"",Record!A95)</f>
        <v/>
      </c>
      <c r="B94" t="str">
        <f>IF(ISBLANK(Record!B95),"",Record!B95)</f>
        <v/>
      </c>
      <c r="C94" s="227" t="str">
        <f>IF(ISBLANK(Record!C95),"",Record!C95)</f>
        <v/>
      </c>
      <c r="D94" t="str">
        <f>IF(ISBLANK(Record!D95),"",Record!D95)</f>
        <v/>
      </c>
      <c r="E94" t="str">
        <f>IF(ISBLANK(Record!E95),"",Record!E95)</f>
        <v/>
      </c>
      <c r="M94" t="str">
        <f t="shared" si="7"/>
        <v xml:space="preserve">          </v>
      </c>
      <c r="N94" s="227" t="str">
        <f t="shared" si="8"/>
        <v/>
      </c>
      <c r="X94" t="str">
        <f t="shared" si="9"/>
        <v xml:space="preserve">          </v>
      </c>
      <c r="Y94" s="227" t="str">
        <f t="shared" si="10"/>
        <v/>
      </c>
      <c r="Z94" t="str">
        <f t="shared" si="11"/>
        <v/>
      </c>
      <c r="AL94" t="str">
        <f t="shared" si="12"/>
        <v/>
      </c>
      <c r="AM94" t="str">
        <f t="shared" si="13"/>
        <v/>
      </c>
    </row>
    <row r="95" spans="1:39">
      <c r="A95" t="str">
        <f>IF(ISBLANK(Record!A96),"",Record!A96)</f>
        <v/>
      </c>
      <c r="B95" t="str">
        <f>IF(ISBLANK(Record!B96),"",Record!B96)</f>
        <v/>
      </c>
      <c r="C95" s="227" t="str">
        <f>IF(ISBLANK(Record!C96),"",Record!C96)</f>
        <v/>
      </c>
      <c r="D95" t="str">
        <f>IF(ISBLANK(Record!D96),"",Record!D96)</f>
        <v/>
      </c>
      <c r="E95" t="str">
        <f>IF(ISBLANK(Record!E96),"",Record!E96)</f>
        <v/>
      </c>
      <c r="M95" t="str">
        <f t="shared" si="7"/>
        <v xml:space="preserve">          </v>
      </c>
      <c r="N95" s="227" t="str">
        <f t="shared" si="8"/>
        <v/>
      </c>
      <c r="X95" t="str">
        <f t="shared" si="9"/>
        <v xml:space="preserve">          </v>
      </c>
      <c r="Y95" s="227" t="str">
        <f t="shared" si="10"/>
        <v/>
      </c>
      <c r="Z95" t="str">
        <f t="shared" si="11"/>
        <v/>
      </c>
      <c r="AL95" t="str">
        <f t="shared" si="12"/>
        <v/>
      </c>
      <c r="AM95" t="str">
        <f t="shared" si="13"/>
        <v/>
      </c>
    </row>
    <row r="96" spans="1:39">
      <c r="A96" t="str">
        <f>IF(ISBLANK(Record!A97),"",Record!A97)</f>
        <v/>
      </c>
      <c r="B96" t="str">
        <f>IF(ISBLANK(Record!B97),"",Record!B97)</f>
        <v/>
      </c>
      <c r="C96" s="227" t="str">
        <f>IF(ISBLANK(Record!C97),"",Record!C97)</f>
        <v/>
      </c>
      <c r="D96" t="str">
        <f>IF(ISBLANK(Record!D97),"",Record!D97)</f>
        <v/>
      </c>
      <c r="E96" t="str">
        <f>IF(ISBLANK(Record!E97),"",Record!E97)</f>
        <v/>
      </c>
      <c r="M96" t="str">
        <f t="shared" si="7"/>
        <v xml:space="preserve">          </v>
      </c>
      <c r="N96" s="227" t="str">
        <f t="shared" si="8"/>
        <v/>
      </c>
      <c r="X96" t="str">
        <f t="shared" si="9"/>
        <v xml:space="preserve">          </v>
      </c>
      <c r="Y96" s="227" t="str">
        <f t="shared" si="10"/>
        <v/>
      </c>
      <c r="Z96" t="str">
        <f t="shared" si="11"/>
        <v/>
      </c>
      <c r="AL96" t="str">
        <f t="shared" si="12"/>
        <v/>
      </c>
      <c r="AM96" t="str">
        <f t="shared" si="13"/>
        <v/>
      </c>
    </row>
    <row r="97" spans="1:39">
      <c r="A97" t="str">
        <f>IF(ISBLANK(Record!A98),"",Record!A98)</f>
        <v/>
      </c>
      <c r="B97" t="str">
        <f>IF(ISBLANK(Record!B98),"",Record!B98)</f>
        <v/>
      </c>
      <c r="C97" s="227" t="str">
        <f>IF(ISBLANK(Record!C98),"",Record!C98)</f>
        <v/>
      </c>
      <c r="D97" t="str">
        <f>IF(ISBLANK(Record!D98),"",Record!D98)</f>
        <v/>
      </c>
      <c r="E97" t="str">
        <f>IF(ISBLANK(Record!E98),"",Record!E98)</f>
        <v/>
      </c>
      <c r="M97" t="str">
        <f t="shared" si="7"/>
        <v xml:space="preserve">          </v>
      </c>
      <c r="N97" s="227" t="str">
        <f t="shared" si="8"/>
        <v/>
      </c>
      <c r="X97" t="str">
        <f t="shared" si="9"/>
        <v xml:space="preserve">          </v>
      </c>
      <c r="Y97" s="227" t="str">
        <f t="shared" si="10"/>
        <v/>
      </c>
      <c r="Z97" t="str">
        <f t="shared" si="11"/>
        <v/>
      </c>
      <c r="AL97" t="str">
        <f t="shared" si="12"/>
        <v/>
      </c>
      <c r="AM97" t="str">
        <f t="shared" si="13"/>
        <v/>
      </c>
    </row>
    <row r="98" spans="1:39">
      <c r="A98" t="str">
        <f>IF(ISBLANK(Record!A99),"",Record!A99)</f>
        <v/>
      </c>
      <c r="B98" t="str">
        <f>IF(ISBLANK(Record!B99),"",Record!B99)</f>
        <v/>
      </c>
      <c r="C98" s="227" t="str">
        <f>IF(ISBLANK(Record!C99),"",Record!C99)</f>
        <v/>
      </c>
      <c r="D98" t="str">
        <f>IF(ISBLANK(Record!D99),"",Record!D99)</f>
        <v/>
      </c>
      <c r="E98" t="str">
        <f>IF(ISBLANK(Record!E99),"",Record!E99)</f>
        <v/>
      </c>
      <c r="M98" t="str">
        <f t="shared" si="7"/>
        <v xml:space="preserve">          </v>
      </c>
      <c r="N98" s="227" t="str">
        <f t="shared" si="8"/>
        <v/>
      </c>
      <c r="X98" t="str">
        <f t="shared" si="9"/>
        <v xml:space="preserve">          </v>
      </c>
      <c r="Y98" s="227" t="str">
        <f t="shared" si="10"/>
        <v/>
      </c>
      <c r="Z98" t="str">
        <f t="shared" si="11"/>
        <v/>
      </c>
      <c r="AL98" t="str">
        <f t="shared" si="12"/>
        <v/>
      </c>
      <c r="AM98" t="str">
        <f t="shared" si="13"/>
        <v/>
      </c>
    </row>
    <row r="99" spans="1:39">
      <c r="A99" t="str">
        <f>IF(ISBLANK(Record!A100),"",Record!A100)</f>
        <v/>
      </c>
      <c r="B99" t="str">
        <f>IF(ISBLANK(Record!B100),"",Record!B100)</f>
        <v/>
      </c>
      <c r="C99" s="227" t="str">
        <f>IF(ISBLANK(Record!C100),"",Record!C100)</f>
        <v/>
      </c>
      <c r="D99" t="str">
        <f>IF(ISBLANK(Record!D100),"",Record!D100)</f>
        <v/>
      </c>
      <c r="E99" t="str">
        <f>IF(ISBLANK(Record!E100),"",Record!E100)</f>
        <v/>
      </c>
      <c r="M99" t="str">
        <f t="shared" si="7"/>
        <v xml:space="preserve">          </v>
      </c>
      <c r="N99" s="227" t="str">
        <f t="shared" si="8"/>
        <v/>
      </c>
      <c r="X99" t="str">
        <f t="shared" si="9"/>
        <v xml:space="preserve">          </v>
      </c>
      <c r="Y99" s="227" t="str">
        <f t="shared" si="10"/>
        <v/>
      </c>
      <c r="Z99" t="str">
        <f t="shared" si="11"/>
        <v/>
      </c>
      <c r="AL99" t="str">
        <f t="shared" si="12"/>
        <v/>
      </c>
      <c r="AM99" t="str">
        <f t="shared" si="13"/>
        <v/>
      </c>
    </row>
    <row r="100" spans="1:39">
      <c r="A100" t="str">
        <f>IF(ISBLANK(Record!A101),"",Record!A101)</f>
        <v/>
      </c>
      <c r="B100" t="str">
        <f>IF(ISBLANK(Record!B101),"",Record!B101)</f>
        <v/>
      </c>
      <c r="C100" s="227" t="str">
        <f>IF(ISBLANK(Record!C101),"",Record!C101)</f>
        <v/>
      </c>
      <c r="D100" t="str">
        <f>IF(ISBLANK(Record!D101),"",Record!D101)</f>
        <v/>
      </c>
      <c r="E100" t="str">
        <f>IF(ISBLANK(Record!E101),"",Record!E101)</f>
        <v/>
      </c>
      <c r="M100" t="str">
        <f t="shared" si="7"/>
        <v xml:space="preserve">          </v>
      </c>
      <c r="N100" s="227" t="str">
        <f t="shared" si="8"/>
        <v/>
      </c>
      <c r="X100" t="str">
        <f t="shared" si="9"/>
        <v xml:space="preserve">          </v>
      </c>
      <c r="Y100" s="227" t="str">
        <f t="shared" si="10"/>
        <v/>
      </c>
      <c r="Z100" t="str">
        <f t="shared" si="11"/>
        <v/>
      </c>
      <c r="AL100" t="str">
        <f t="shared" si="12"/>
        <v/>
      </c>
      <c r="AM100" t="str">
        <f t="shared" si="13"/>
        <v/>
      </c>
    </row>
    <row r="101" spans="1:39">
      <c r="A101" t="str">
        <f>IF(ISBLANK(Record!A102),"",Record!A102)</f>
        <v/>
      </c>
      <c r="B101" t="str">
        <f>IF(ISBLANK(Record!B102),"",Record!B102)</f>
        <v/>
      </c>
      <c r="C101" s="227" t="str">
        <f>IF(ISBLANK(Record!C102),"",Record!C102)</f>
        <v/>
      </c>
      <c r="D101" t="str">
        <f>IF(ISBLANK(Record!D102),"",Record!D102)</f>
        <v/>
      </c>
      <c r="E101" t="str">
        <f>IF(ISBLANK(Record!E102),"",Record!E102)</f>
        <v/>
      </c>
      <c r="M101" t="str">
        <f t="shared" si="7"/>
        <v xml:space="preserve">          </v>
      </c>
      <c r="N101" s="227" t="str">
        <f t="shared" si="8"/>
        <v/>
      </c>
      <c r="X101" t="str">
        <f t="shared" si="9"/>
        <v xml:space="preserve">          </v>
      </c>
      <c r="Y101" s="227" t="str">
        <f t="shared" si="10"/>
        <v/>
      </c>
      <c r="Z101" t="str">
        <f t="shared" si="11"/>
        <v/>
      </c>
      <c r="AL101" t="str">
        <f t="shared" si="12"/>
        <v/>
      </c>
      <c r="AM101" t="str">
        <f t="shared" si="13"/>
        <v/>
      </c>
    </row>
    <row r="102" spans="1:39">
      <c r="A102" t="str">
        <f>IF(ISBLANK(Record!A103),"",Record!A103)</f>
        <v/>
      </c>
      <c r="B102" t="str">
        <f>IF(ISBLANK(Record!B103),"",Record!B103)</f>
        <v/>
      </c>
      <c r="C102" s="227" t="str">
        <f>IF(ISBLANK(Record!C103),"",Record!C103)</f>
        <v/>
      </c>
      <c r="D102" t="str">
        <f>IF(ISBLANK(Record!D103),"",Record!D103)</f>
        <v/>
      </c>
      <c r="E102" t="str">
        <f>IF(ISBLANK(Record!E103),"",Record!E103)</f>
        <v/>
      </c>
      <c r="M102" t="str">
        <f t="shared" si="7"/>
        <v xml:space="preserve">          </v>
      </c>
      <c r="N102" s="227" t="str">
        <f t="shared" si="8"/>
        <v/>
      </c>
      <c r="X102" t="str">
        <f t="shared" si="9"/>
        <v xml:space="preserve">          </v>
      </c>
      <c r="Y102" s="227" t="str">
        <f t="shared" si="10"/>
        <v/>
      </c>
      <c r="Z102" t="str">
        <f t="shared" si="11"/>
        <v/>
      </c>
      <c r="AL102" t="str">
        <f t="shared" si="12"/>
        <v/>
      </c>
      <c r="AM102" t="str">
        <f t="shared" si="13"/>
        <v/>
      </c>
    </row>
    <row r="103" spans="1:39">
      <c r="A103" t="str">
        <f>IF(ISBLANK(Record!A104),"",Record!A104)</f>
        <v/>
      </c>
      <c r="B103" t="str">
        <f>IF(ISBLANK(Record!B104),"",Record!B104)</f>
        <v/>
      </c>
      <c r="C103" s="227" t="str">
        <f>IF(ISBLANK(Record!C104),"",Record!C104)</f>
        <v/>
      </c>
      <c r="D103" t="str">
        <f>IF(ISBLANK(Record!D104),"",Record!D104)</f>
        <v/>
      </c>
      <c r="E103" t="str">
        <f>IF(ISBLANK(Record!E104),"",Record!E104)</f>
        <v/>
      </c>
      <c r="M103" t="str">
        <f t="shared" si="7"/>
        <v xml:space="preserve">          </v>
      </c>
      <c r="N103" s="227" t="str">
        <f t="shared" si="8"/>
        <v/>
      </c>
      <c r="X103" t="str">
        <f t="shared" si="9"/>
        <v xml:space="preserve">          </v>
      </c>
      <c r="Y103" s="227" t="str">
        <f t="shared" si="10"/>
        <v/>
      </c>
      <c r="Z103" t="str">
        <f t="shared" si="11"/>
        <v/>
      </c>
      <c r="AL103" t="str">
        <f t="shared" si="12"/>
        <v/>
      </c>
      <c r="AM103" t="str">
        <f t="shared" si="13"/>
        <v/>
      </c>
    </row>
    <row r="104" spans="1:39">
      <c r="A104" t="str">
        <f>IF(ISBLANK(Record!A105),"",Record!A105)</f>
        <v/>
      </c>
      <c r="B104" t="str">
        <f>IF(ISBLANK(Record!B105),"",Record!B105)</f>
        <v/>
      </c>
      <c r="C104" s="227" t="str">
        <f>IF(ISBLANK(Record!C105),"",Record!C105)</f>
        <v/>
      </c>
      <c r="D104" t="str">
        <f>IF(ISBLANK(Record!D105),"",Record!D105)</f>
        <v/>
      </c>
      <c r="E104" t="str">
        <f>IF(ISBLANK(Record!E105),"",Record!E105)</f>
        <v/>
      </c>
      <c r="M104" t="str">
        <f t="shared" si="7"/>
        <v xml:space="preserve">          </v>
      </c>
      <c r="N104" s="227" t="str">
        <f t="shared" si="8"/>
        <v/>
      </c>
      <c r="X104" t="str">
        <f t="shared" si="9"/>
        <v xml:space="preserve">          </v>
      </c>
      <c r="Y104" s="227" t="str">
        <f t="shared" si="10"/>
        <v/>
      </c>
      <c r="Z104" t="str">
        <f t="shared" si="11"/>
        <v/>
      </c>
      <c r="AL104" t="str">
        <f t="shared" si="12"/>
        <v/>
      </c>
      <c r="AM104" t="str">
        <f t="shared" si="13"/>
        <v/>
      </c>
    </row>
    <row r="105" spans="1:39">
      <c r="A105" t="str">
        <f>IF(ISBLANK(Record!A106),"",Record!A106)</f>
        <v/>
      </c>
      <c r="B105" t="str">
        <f>IF(ISBLANK(Record!B106),"",Record!B106)</f>
        <v/>
      </c>
      <c r="C105" s="227" t="str">
        <f>IF(ISBLANK(Record!C106),"",Record!C106)</f>
        <v/>
      </c>
      <c r="D105" t="str">
        <f>IF(ISBLANK(Record!D106),"",Record!D106)</f>
        <v/>
      </c>
      <c r="E105" t="str">
        <f>IF(ISBLANK(Record!E106),"",Record!E106)</f>
        <v/>
      </c>
      <c r="M105" t="str">
        <f t="shared" si="7"/>
        <v xml:space="preserve">          </v>
      </c>
      <c r="N105" s="227" t="str">
        <f t="shared" si="8"/>
        <v/>
      </c>
      <c r="X105" t="str">
        <f t="shared" si="9"/>
        <v xml:space="preserve">          </v>
      </c>
      <c r="Y105" s="227" t="str">
        <f t="shared" si="10"/>
        <v/>
      </c>
      <c r="Z105" t="str">
        <f t="shared" si="11"/>
        <v/>
      </c>
      <c r="AL105" t="str">
        <f t="shared" si="12"/>
        <v/>
      </c>
      <c r="AM105" t="str">
        <f t="shared" si="13"/>
        <v/>
      </c>
    </row>
    <row r="106" spans="1:39">
      <c r="A106" t="str">
        <f>IF(ISBLANK(Record!A107),"",Record!A107)</f>
        <v/>
      </c>
      <c r="B106" t="str">
        <f>IF(ISBLANK(Record!B107),"",Record!B107)</f>
        <v/>
      </c>
      <c r="C106" s="227" t="str">
        <f>IF(ISBLANK(Record!C107),"",Record!C107)</f>
        <v/>
      </c>
      <c r="D106" t="str">
        <f>IF(ISBLANK(Record!D107),"",Record!D107)</f>
        <v/>
      </c>
      <c r="E106" t="str">
        <f>IF(ISBLANK(Record!E107),"",Record!E107)</f>
        <v/>
      </c>
      <c r="M106" t="str">
        <f t="shared" si="7"/>
        <v xml:space="preserve">          </v>
      </c>
      <c r="N106" s="227" t="str">
        <f t="shared" si="8"/>
        <v/>
      </c>
      <c r="X106" t="str">
        <f t="shared" si="9"/>
        <v xml:space="preserve">          </v>
      </c>
      <c r="Y106" s="227" t="str">
        <f t="shared" si="10"/>
        <v/>
      </c>
      <c r="Z106" t="str">
        <f t="shared" si="11"/>
        <v/>
      </c>
      <c r="AL106" t="str">
        <f t="shared" si="12"/>
        <v/>
      </c>
      <c r="AM106" t="str">
        <f t="shared" si="13"/>
        <v/>
      </c>
    </row>
    <row r="107" spans="1:39">
      <c r="A107" t="str">
        <f>IF(ISBLANK(Record!A108),"",Record!A108)</f>
        <v/>
      </c>
      <c r="B107" t="str">
        <f>IF(ISBLANK(Record!B108),"",Record!B108)</f>
        <v/>
      </c>
      <c r="C107" s="227" t="str">
        <f>IF(ISBLANK(Record!C108),"",Record!C108)</f>
        <v/>
      </c>
      <c r="D107" t="str">
        <f>IF(ISBLANK(Record!D108),"",Record!D108)</f>
        <v/>
      </c>
      <c r="E107" t="str">
        <f>IF(ISBLANK(Record!E108),"",Record!E108)</f>
        <v/>
      </c>
      <c r="M107" t="str">
        <f t="shared" si="7"/>
        <v xml:space="preserve">          </v>
      </c>
      <c r="N107" s="227" t="str">
        <f t="shared" si="8"/>
        <v/>
      </c>
      <c r="X107" t="str">
        <f t="shared" si="9"/>
        <v xml:space="preserve">          </v>
      </c>
      <c r="Y107" s="227" t="str">
        <f t="shared" si="10"/>
        <v/>
      </c>
      <c r="Z107" t="str">
        <f t="shared" si="11"/>
        <v/>
      </c>
      <c r="AL107" t="str">
        <f t="shared" si="12"/>
        <v/>
      </c>
      <c r="AM107" t="str">
        <f t="shared" si="13"/>
        <v/>
      </c>
    </row>
    <row r="108" spans="1:39">
      <c r="A108" t="str">
        <f>IF(ISBLANK(Record!A109),"",Record!A109)</f>
        <v/>
      </c>
      <c r="B108" t="str">
        <f>IF(ISBLANK(Record!B109),"",Record!B109)</f>
        <v/>
      </c>
      <c r="C108" s="227" t="str">
        <f>IF(ISBLANK(Record!C109),"",Record!C109)</f>
        <v/>
      </c>
      <c r="D108" t="str">
        <f>IF(ISBLANK(Record!D109),"",Record!D109)</f>
        <v/>
      </c>
      <c r="E108" t="str">
        <f>IF(ISBLANK(Record!E109),"",Record!E109)</f>
        <v/>
      </c>
      <c r="M108" t="str">
        <f t="shared" si="7"/>
        <v xml:space="preserve">          </v>
      </c>
      <c r="N108" s="227" t="str">
        <f t="shared" si="8"/>
        <v/>
      </c>
      <c r="X108" t="str">
        <f t="shared" si="9"/>
        <v xml:space="preserve">          </v>
      </c>
      <c r="Y108" s="227" t="str">
        <f t="shared" si="10"/>
        <v/>
      </c>
      <c r="Z108" t="str">
        <f t="shared" si="11"/>
        <v/>
      </c>
      <c r="AL108" t="str">
        <f t="shared" si="12"/>
        <v/>
      </c>
      <c r="AM108" t="str">
        <f t="shared" si="13"/>
        <v/>
      </c>
    </row>
    <row r="109" spans="1:39">
      <c r="A109" t="str">
        <f>IF(ISBLANK(Record!A110),"",Record!A110)</f>
        <v/>
      </c>
      <c r="B109" t="str">
        <f>IF(ISBLANK(Record!B110),"",Record!B110)</f>
        <v/>
      </c>
      <c r="C109" s="227" t="str">
        <f>IF(ISBLANK(Record!C110),"",Record!C110)</f>
        <v/>
      </c>
      <c r="D109" t="str">
        <f>IF(ISBLANK(Record!D110),"",Record!D110)</f>
        <v/>
      </c>
      <c r="E109" t="str">
        <f>IF(ISBLANK(Record!E110),"",Record!E110)</f>
        <v/>
      </c>
      <c r="M109" t="str">
        <f t="shared" si="7"/>
        <v xml:space="preserve">          </v>
      </c>
      <c r="N109" s="227" t="str">
        <f t="shared" si="8"/>
        <v/>
      </c>
      <c r="X109" t="str">
        <f t="shared" si="9"/>
        <v xml:space="preserve">          </v>
      </c>
      <c r="Y109" s="227" t="str">
        <f t="shared" si="10"/>
        <v/>
      </c>
      <c r="Z109" t="str">
        <f t="shared" si="11"/>
        <v/>
      </c>
      <c r="AL109" t="str">
        <f t="shared" si="12"/>
        <v/>
      </c>
      <c r="AM109" t="str">
        <f t="shared" si="13"/>
        <v/>
      </c>
    </row>
    <row r="110" spans="1:39">
      <c r="A110" t="str">
        <f>IF(ISBLANK(Record!A111),"",Record!A111)</f>
        <v/>
      </c>
      <c r="B110" t="str">
        <f>IF(ISBLANK(Record!B111),"",Record!B111)</f>
        <v/>
      </c>
      <c r="C110" s="227" t="str">
        <f>IF(ISBLANK(Record!C111),"",Record!C111)</f>
        <v/>
      </c>
      <c r="D110" t="str">
        <f>IF(ISBLANK(Record!D111),"",Record!D111)</f>
        <v/>
      </c>
      <c r="E110" t="str">
        <f>IF(ISBLANK(Record!E111),"",Record!E111)</f>
        <v/>
      </c>
      <c r="M110" t="str">
        <f t="shared" si="7"/>
        <v xml:space="preserve">          </v>
      </c>
      <c r="N110" s="227" t="str">
        <f t="shared" si="8"/>
        <v/>
      </c>
      <c r="X110" t="str">
        <f t="shared" si="9"/>
        <v xml:space="preserve">          </v>
      </c>
      <c r="Y110" s="227" t="str">
        <f t="shared" si="10"/>
        <v/>
      </c>
      <c r="Z110" t="str">
        <f t="shared" si="11"/>
        <v/>
      </c>
      <c r="AL110" t="str">
        <f t="shared" si="12"/>
        <v/>
      </c>
      <c r="AM110" t="str">
        <f t="shared" si="13"/>
        <v/>
      </c>
    </row>
    <row r="111" spans="1:39">
      <c r="A111" t="str">
        <f>IF(ISBLANK(Record!A112),"",Record!A112)</f>
        <v/>
      </c>
      <c r="B111" t="str">
        <f>IF(ISBLANK(Record!B112),"",Record!B112)</f>
        <v/>
      </c>
      <c r="C111" s="227" t="str">
        <f>IF(ISBLANK(Record!C112),"",Record!C112)</f>
        <v/>
      </c>
      <c r="D111" t="str">
        <f>IF(ISBLANK(Record!D112),"",Record!D112)</f>
        <v/>
      </c>
      <c r="E111" t="str">
        <f>IF(ISBLANK(Record!E112),"",Record!E112)</f>
        <v/>
      </c>
      <c r="M111" t="str">
        <f t="shared" si="7"/>
        <v xml:space="preserve">          </v>
      </c>
      <c r="N111" s="227" t="str">
        <f t="shared" si="8"/>
        <v/>
      </c>
      <c r="X111" t="str">
        <f t="shared" si="9"/>
        <v xml:space="preserve">          </v>
      </c>
      <c r="Y111" s="227" t="str">
        <f t="shared" si="10"/>
        <v/>
      </c>
      <c r="Z111" t="str">
        <f t="shared" si="11"/>
        <v/>
      </c>
      <c r="AL111" t="str">
        <f t="shared" si="12"/>
        <v/>
      </c>
      <c r="AM111" t="str">
        <f t="shared" si="13"/>
        <v/>
      </c>
    </row>
    <row r="112" spans="1:39">
      <c r="A112" t="str">
        <f>IF(ISBLANK(Record!A113),"",Record!A113)</f>
        <v/>
      </c>
      <c r="B112" t="str">
        <f>IF(ISBLANK(Record!B113),"",Record!B113)</f>
        <v/>
      </c>
      <c r="C112" s="227" t="str">
        <f>IF(ISBLANK(Record!C113),"",Record!C113)</f>
        <v/>
      </c>
      <c r="D112" t="str">
        <f>IF(ISBLANK(Record!D113),"",Record!D113)</f>
        <v/>
      </c>
      <c r="E112" t="str">
        <f>IF(ISBLANK(Record!E113),"",Record!E113)</f>
        <v/>
      </c>
      <c r="M112" t="str">
        <f t="shared" si="7"/>
        <v xml:space="preserve">          </v>
      </c>
      <c r="N112" s="227" t="str">
        <f t="shared" si="8"/>
        <v/>
      </c>
      <c r="X112" t="str">
        <f t="shared" si="9"/>
        <v xml:space="preserve">          </v>
      </c>
      <c r="Y112" s="227" t="str">
        <f t="shared" si="10"/>
        <v/>
      </c>
      <c r="Z112" t="str">
        <f t="shared" si="11"/>
        <v/>
      </c>
      <c r="AL112" t="str">
        <f t="shared" si="12"/>
        <v/>
      </c>
      <c r="AM112" t="str">
        <f t="shared" si="13"/>
        <v/>
      </c>
    </row>
    <row r="113" spans="1:39">
      <c r="A113" t="str">
        <f>IF(ISBLANK(Record!A114),"",Record!A114)</f>
        <v/>
      </c>
      <c r="B113" t="str">
        <f>IF(ISBLANK(Record!B114),"",Record!B114)</f>
        <v/>
      </c>
      <c r="C113" s="227" t="str">
        <f>IF(ISBLANK(Record!C114),"",Record!C114)</f>
        <v/>
      </c>
      <c r="D113" t="str">
        <f>IF(ISBLANK(Record!D114),"",Record!D114)</f>
        <v/>
      </c>
      <c r="E113" t="str">
        <f>IF(ISBLANK(Record!E114),"",Record!E114)</f>
        <v/>
      </c>
      <c r="M113" t="str">
        <f t="shared" si="7"/>
        <v xml:space="preserve">          </v>
      </c>
      <c r="N113" s="227" t="str">
        <f t="shared" si="8"/>
        <v/>
      </c>
      <c r="X113" t="str">
        <f t="shared" si="9"/>
        <v xml:space="preserve">          </v>
      </c>
      <c r="Y113" s="227" t="str">
        <f t="shared" si="10"/>
        <v/>
      </c>
      <c r="Z113" t="str">
        <f t="shared" si="11"/>
        <v/>
      </c>
      <c r="AL113" t="str">
        <f t="shared" si="12"/>
        <v/>
      </c>
      <c r="AM113" t="str">
        <f t="shared" si="13"/>
        <v/>
      </c>
    </row>
    <row r="114" spans="1:39">
      <c r="A114" t="str">
        <f>IF(ISBLANK(Record!A115),"",Record!A115)</f>
        <v/>
      </c>
      <c r="B114" t="str">
        <f>IF(ISBLANK(Record!B115),"",Record!B115)</f>
        <v/>
      </c>
      <c r="C114" s="227" t="str">
        <f>IF(ISBLANK(Record!C115),"",Record!C115)</f>
        <v/>
      </c>
      <c r="D114" t="str">
        <f>IF(ISBLANK(Record!D115),"",Record!D115)</f>
        <v/>
      </c>
      <c r="E114" t="str">
        <f>IF(ISBLANK(Record!E115),"",Record!E115)</f>
        <v/>
      </c>
      <c r="M114" t="str">
        <f t="shared" si="7"/>
        <v xml:space="preserve">          </v>
      </c>
      <c r="N114" s="227" t="str">
        <f t="shared" si="8"/>
        <v/>
      </c>
      <c r="X114" t="str">
        <f t="shared" si="9"/>
        <v xml:space="preserve">          </v>
      </c>
      <c r="Y114" s="227" t="str">
        <f t="shared" si="10"/>
        <v/>
      </c>
      <c r="Z114" t="str">
        <f t="shared" si="11"/>
        <v/>
      </c>
      <c r="AL114" t="str">
        <f t="shared" si="12"/>
        <v/>
      </c>
      <c r="AM114" t="str">
        <f t="shared" si="13"/>
        <v/>
      </c>
    </row>
    <row r="115" spans="1:39">
      <c r="A115" t="str">
        <f>IF(ISBLANK(Record!A116),"",Record!A116)</f>
        <v/>
      </c>
      <c r="B115" t="str">
        <f>IF(ISBLANK(Record!B116),"",Record!B116)</f>
        <v/>
      </c>
      <c r="C115" s="227" t="str">
        <f>IF(ISBLANK(Record!C116),"",Record!C116)</f>
        <v/>
      </c>
      <c r="D115" t="str">
        <f>IF(ISBLANK(Record!D116),"",Record!D116)</f>
        <v/>
      </c>
      <c r="E115" t="str">
        <f>IF(ISBLANK(Record!E116),"",Record!E116)</f>
        <v/>
      </c>
      <c r="M115" t="str">
        <f t="shared" si="7"/>
        <v xml:space="preserve">          </v>
      </c>
      <c r="N115" s="227" t="str">
        <f t="shared" si="8"/>
        <v/>
      </c>
      <c r="X115" t="str">
        <f t="shared" si="9"/>
        <v xml:space="preserve">          </v>
      </c>
      <c r="Y115" s="227" t="str">
        <f t="shared" si="10"/>
        <v/>
      </c>
      <c r="Z115" t="str">
        <f t="shared" si="11"/>
        <v/>
      </c>
      <c r="AL115" t="str">
        <f t="shared" si="12"/>
        <v/>
      </c>
      <c r="AM115" t="str">
        <f t="shared" si="13"/>
        <v/>
      </c>
    </row>
    <row r="116" spans="1:39">
      <c r="A116" t="str">
        <f>IF(ISBLANK(Record!A117),"",Record!A117)</f>
        <v/>
      </c>
      <c r="B116" t="str">
        <f>IF(ISBLANK(Record!B117),"",Record!B117)</f>
        <v/>
      </c>
      <c r="C116" s="227" t="str">
        <f>IF(ISBLANK(Record!C117),"",Record!C117)</f>
        <v/>
      </c>
      <c r="D116" t="str">
        <f>IF(ISBLANK(Record!D117),"",Record!D117)</f>
        <v/>
      </c>
      <c r="E116" t="str">
        <f>IF(ISBLANK(Record!E117),"",Record!E117)</f>
        <v/>
      </c>
      <c r="M116" t="str">
        <f t="shared" si="7"/>
        <v xml:space="preserve">          </v>
      </c>
      <c r="N116" s="227" t="str">
        <f t="shared" si="8"/>
        <v/>
      </c>
      <c r="X116" t="str">
        <f t="shared" si="9"/>
        <v xml:space="preserve">          </v>
      </c>
      <c r="Y116" s="227" t="str">
        <f t="shared" si="10"/>
        <v/>
      </c>
      <c r="Z116" t="str">
        <f t="shared" si="11"/>
        <v/>
      </c>
      <c r="AL116" t="str">
        <f t="shared" si="12"/>
        <v/>
      </c>
      <c r="AM116" t="str">
        <f t="shared" si="13"/>
        <v/>
      </c>
    </row>
    <row r="117" spans="1:39">
      <c r="A117" t="str">
        <f>IF(ISBLANK(Record!A118),"",Record!A118)</f>
        <v/>
      </c>
      <c r="B117" t="str">
        <f>IF(ISBLANK(Record!B118),"",Record!B118)</f>
        <v/>
      </c>
      <c r="C117" s="227" t="str">
        <f>IF(ISBLANK(Record!C118),"",Record!C118)</f>
        <v/>
      </c>
      <c r="D117" t="str">
        <f>IF(ISBLANK(Record!D118),"",Record!D118)</f>
        <v/>
      </c>
      <c r="E117" t="str">
        <f>IF(ISBLANK(Record!E118),"",Record!E118)</f>
        <v/>
      </c>
      <c r="M117" t="str">
        <f t="shared" si="7"/>
        <v xml:space="preserve">          </v>
      </c>
      <c r="N117" s="227" t="str">
        <f t="shared" si="8"/>
        <v/>
      </c>
      <c r="X117" t="str">
        <f t="shared" si="9"/>
        <v xml:space="preserve">          </v>
      </c>
      <c r="Y117" s="227" t="str">
        <f t="shared" si="10"/>
        <v/>
      </c>
      <c r="Z117" t="str">
        <f t="shared" si="11"/>
        <v/>
      </c>
      <c r="AL117" t="str">
        <f t="shared" si="12"/>
        <v/>
      </c>
      <c r="AM117" t="str">
        <f t="shared" si="13"/>
        <v/>
      </c>
    </row>
    <row r="118" spans="1:39">
      <c r="A118" t="str">
        <f>IF(ISBLANK(Record!A119),"",Record!A119)</f>
        <v/>
      </c>
      <c r="B118" t="str">
        <f>IF(ISBLANK(Record!B119),"",Record!B119)</f>
        <v/>
      </c>
      <c r="C118" s="227" t="str">
        <f>IF(ISBLANK(Record!C119),"",Record!C119)</f>
        <v/>
      </c>
      <c r="D118" t="str">
        <f>IF(ISBLANK(Record!D119),"",Record!D119)</f>
        <v/>
      </c>
      <c r="E118" t="str">
        <f>IF(ISBLANK(Record!E119),"",Record!E119)</f>
        <v/>
      </c>
      <c r="M118" t="str">
        <f t="shared" si="7"/>
        <v xml:space="preserve">          </v>
      </c>
      <c r="N118" s="227" t="str">
        <f t="shared" si="8"/>
        <v/>
      </c>
      <c r="X118" t="str">
        <f t="shared" si="9"/>
        <v xml:space="preserve">          </v>
      </c>
      <c r="Y118" s="227" t="str">
        <f t="shared" si="10"/>
        <v/>
      </c>
      <c r="Z118" t="str">
        <f t="shared" si="11"/>
        <v/>
      </c>
      <c r="AL118" t="str">
        <f t="shared" si="12"/>
        <v/>
      </c>
      <c r="AM118" t="str">
        <f t="shared" si="13"/>
        <v/>
      </c>
    </row>
    <row r="119" spans="1:39">
      <c r="A119" t="str">
        <f>IF(ISBLANK(Record!A120),"",Record!A120)</f>
        <v/>
      </c>
      <c r="B119" t="str">
        <f>IF(ISBLANK(Record!B120),"",Record!B120)</f>
        <v/>
      </c>
      <c r="C119" s="227" t="str">
        <f>IF(ISBLANK(Record!C120),"",Record!C120)</f>
        <v/>
      </c>
      <c r="D119" t="str">
        <f>IF(ISBLANK(Record!D120),"",Record!D120)</f>
        <v/>
      </c>
      <c r="E119" t="str">
        <f>IF(ISBLANK(Record!E120),"",Record!E120)</f>
        <v/>
      </c>
      <c r="M119" t="str">
        <f t="shared" si="7"/>
        <v xml:space="preserve">          </v>
      </c>
      <c r="N119" s="227" t="str">
        <f t="shared" si="8"/>
        <v/>
      </c>
      <c r="X119" t="str">
        <f t="shared" si="9"/>
        <v xml:space="preserve">          </v>
      </c>
      <c r="Y119" s="227" t="str">
        <f t="shared" si="10"/>
        <v/>
      </c>
      <c r="Z119" t="str">
        <f t="shared" si="11"/>
        <v/>
      </c>
      <c r="AL119" t="str">
        <f t="shared" si="12"/>
        <v/>
      </c>
      <c r="AM119" t="str">
        <f t="shared" si="13"/>
        <v/>
      </c>
    </row>
    <row r="120" spans="1:39">
      <c r="A120" t="str">
        <f>IF(ISBLANK(Record!A121),"",Record!A121)</f>
        <v/>
      </c>
      <c r="B120" t="str">
        <f>IF(ISBLANK(Record!B121),"",Record!B121)</f>
        <v/>
      </c>
      <c r="C120" s="227" t="str">
        <f>IF(ISBLANK(Record!C121),"",Record!C121)</f>
        <v/>
      </c>
      <c r="D120" t="str">
        <f>IF(ISBLANK(Record!D121),"",Record!D121)</f>
        <v/>
      </c>
      <c r="E120" t="str">
        <f>IF(ISBLANK(Record!E121),"",Record!E121)</f>
        <v/>
      </c>
      <c r="M120" t="str">
        <f t="shared" si="7"/>
        <v xml:space="preserve">          </v>
      </c>
      <c r="N120" s="227" t="str">
        <f t="shared" si="8"/>
        <v/>
      </c>
      <c r="X120" t="str">
        <f t="shared" si="9"/>
        <v xml:space="preserve">          </v>
      </c>
      <c r="Y120" s="227" t="str">
        <f t="shared" si="10"/>
        <v/>
      </c>
      <c r="Z120" t="str">
        <f t="shared" si="11"/>
        <v/>
      </c>
      <c r="AL120" t="str">
        <f t="shared" si="12"/>
        <v/>
      </c>
      <c r="AM120" t="str">
        <f t="shared" si="13"/>
        <v/>
      </c>
    </row>
    <row r="121" spans="1:39">
      <c r="A121" t="str">
        <f>IF(ISBLANK(Record!A122),"",Record!A122)</f>
        <v/>
      </c>
      <c r="B121" t="str">
        <f>IF(ISBLANK(Record!B122),"",Record!B122)</f>
        <v/>
      </c>
      <c r="C121" s="227" t="str">
        <f>IF(ISBLANK(Record!C122),"",Record!C122)</f>
        <v/>
      </c>
      <c r="D121" t="str">
        <f>IF(ISBLANK(Record!D122),"",Record!D122)</f>
        <v/>
      </c>
      <c r="E121" t="str">
        <f>IF(ISBLANK(Record!E122),"",Record!E122)</f>
        <v/>
      </c>
      <c r="M121" t="str">
        <f t="shared" si="7"/>
        <v xml:space="preserve">          </v>
      </c>
      <c r="N121" s="227" t="str">
        <f t="shared" si="8"/>
        <v/>
      </c>
      <c r="X121" t="str">
        <f t="shared" si="9"/>
        <v xml:space="preserve">          </v>
      </c>
      <c r="Y121" s="227" t="str">
        <f t="shared" si="10"/>
        <v/>
      </c>
      <c r="Z121" t="str">
        <f t="shared" si="11"/>
        <v/>
      </c>
      <c r="AL121" t="str">
        <f t="shared" si="12"/>
        <v/>
      </c>
      <c r="AM121" t="str">
        <f t="shared" si="13"/>
        <v/>
      </c>
    </row>
    <row r="122" spans="1:39">
      <c r="A122" t="str">
        <f>IF(ISBLANK(Record!A123),"",Record!A123)</f>
        <v/>
      </c>
      <c r="B122" t="str">
        <f>IF(ISBLANK(Record!B123),"",Record!B123)</f>
        <v/>
      </c>
      <c r="C122" s="227" t="str">
        <f>IF(ISBLANK(Record!C123),"",Record!C123)</f>
        <v/>
      </c>
      <c r="D122" t="str">
        <f>IF(ISBLANK(Record!D123),"",Record!D123)</f>
        <v/>
      </c>
      <c r="E122" t="str">
        <f>IF(ISBLANK(Record!E123),"",Record!E123)</f>
        <v/>
      </c>
      <c r="M122" t="str">
        <f t="shared" si="7"/>
        <v xml:space="preserve">          </v>
      </c>
      <c r="N122" s="227" t="str">
        <f t="shared" si="8"/>
        <v/>
      </c>
      <c r="X122" t="str">
        <f t="shared" si="9"/>
        <v xml:space="preserve">          </v>
      </c>
      <c r="Y122" s="227" t="str">
        <f t="shared" si="10"/>
        <v/>
      </c>
      <c r="Z122" t="str">
        <f t="shared" si="11"/>
        <v/>
      </c>
      <c r="AL122" t="str">
        <f t="shared" si="12"/>
        <v/>
      </c>
      <c r="AM122" t="str">
        <f t="shared" si="13"/>
        <v/>
      </c>
    </row>
    <row r="123" spans="1:39">
      <c r="A123" t="str">
        <f>IF(ISBLANK(Record!A124),"",Record!A124)</f>
        <v/>
      </c>
      <c r="B123" t="str">
        <f>IF(ISBLANK(Record!B124),"",Record!B124)</f>
        <v/>
      </c>
      <c r="C123" s="227" t="str">
        <f>IF(ISBLANK(Record!C124),"",Record!C124)</f>
        <v/>
      </c>
      <c r="D123" t="str">
        <f>IF(ISBLANK(Record!D124),"",Record!D124)</f>
        <v/>
      </c>
      <c r="E123" t="str">
        <f>IF(ISBLANK(Record!E124),"",Record!E124)</f>
        <v/>
      </c>
      <c r="M123" t="str">
        <f t="shared" si="7"/>
        <v xml:space="preserve">          </v>
      </c>
      <c r="N123" s="227" t="str">
        <f t="shared" si="8"/>
        <v/>
      </c>
      <c r="X123" t="str">
        <f t="shared" si="9"/>
        <v xml:space="preserve">          </v>
      </c>
      <c r="Y123" s="227" t="str">
        <f t="shared" si="10"/>
        <v/>
      </c>
      <c r="Z123" t="str">
        <f t="shared" si="11"/>
        <v/>
      </c>
      <c r="AL123" t="str">
        <f t="shared" si="12"/>
        <v/>
      </c>
      <c r="AM123" t="str">
        <f t="shared" si="13"/>
        <v/>
      </c>
    </row>
    <row r="124" spans="1:39">
      <c r="A124" t="str">
        <f>IF(ISBLANK(Record!A125),"",Record!A125)</f>
        <v/>
      </c>
      <c r="B124" t="str">
        <f>IF(ISBLANK(Record!B125),"",Record!B125)</f>
        <v/>
      </c>
      <c r="C124" s="227" t="str">
        <f>IF(ISBLANK(Record!C125),"",Record!C125)</f>
        <v/>
      </c>
      <c r="D124" t="str">
        <f>IF(ISBLANK(Record!D125),"",Record!D125)</f>
        <v/>
      </c>
      <c r="E124" t="str">
        <f>IF(ISBLANK(Record!E125),"",Record!E125)</f>
        <v/>
      </c>
      <c r="M124" t="str">
        <f t="shared" si="7"/>
        <v xml:space="preserve">          </v>
      </c>
      <c r="N124" s="227" t="str">
        <f t="shared" si="8"/>
        <v/>
      </c>
      <c r="X124" t="str">
        <f t="shared" si="9"/>
        <v xml:space="preserve">          </v>
      </c>
      <c r="Y124" s="227" t="str">
        <f t="shared" si="10"/>
        <v/>
      </c>
      <c r="Z124" t="str">
        <f t="shared" si="11"/>
        <v/>
      </c>
      <c r="AL124" t="str">
        <f t="shared" si="12"/>
        <v/>
      </c>
      <c r="AM124" t="str">
        <f t="shared" si="13"/>
        <v/>
      </c>
    </row>
    <row r="125" spans="1:39">
      <c r="A125" t="str">
        <f>IF(ISBLANK(Record!A126),"",Record!A126)</f>
        <v/>
      </c>
      <c r="B125" t="str">
        <f>IF(ISBLANK(Record!B126),"",Record!B126)</f>
        <v/>
      </c>
      <c r="C125" s="227" t="str">
        <f>IF(ISBLANK(Record!C126),"",Record!C126)</f>
        <v/>
      </c>
      <c r="D125" t="str">
        <f>IF(ISBLANK(Record!D126),"",Record!D126)</f>
        <v/>
      </c>
      <c r="E125" t="str">
        <f>IF(ISBLANK(Record!E126),"",Record!E126)</f>
        <v/>
      </c>
      <c r="M125" t="str">
        <f t="shared" si="7"/>
        <v xml:space="preserve">          </v>
      </c>
      <c r="N125" s="227" t="str">
        <f t="shared" si="8"/>
        <v/>
      </c>
      <c r="X125" t="str">
        <f t="shared" si="9"/>
        <v xml:space="preserve">          </v>
      </c>
      <c r="Y125" s="227" t="str">
        <f t="shared" si="10"/>
        <v/>
      </c>
      <c r="Z125" t="str">
        <f t="shared" si="11"/>
        <v/>
      </c>
      <c r="AL125" t="str">
        <f t="shared" si="12"/>
        <v/>
      </c>
      <c r="AM125" t="str">
        <f t="shared" si="13"/>
        <v/>
      </c>
    </row>
    <row r="126" spans="1:39">
      <c r="A126" t="str">
        <f>IF(ISBLANK(Record!A127),"",Record!A127)</f>
        <v/>
      </c>
      <c r="B126" t="str">
        <f>IF(ISBLANK(Record!B127),"",Record!B127)</f>
        <v/>
      </c>
      <c r="C126" s="227" t="str">
        <f>IF(ISBLANK(Record!C127),"",Record!C127)</f>
        <v/>
      </c>
      <c r="D126" t="str">
        <f>IF(ISBLANK(Record!D127),"",Record!D127)</f>
        <v/>
      </c>
      <c r="E126" t="str">
        <f>IF(ISBLANK(Record!E127),"",Record!E127)</f>
        <v/>
      </c>
      <c r="M126" t="str">
        <f t="shared" si="7"/>
        <v xml:space="preserve">          </v>
      </c>
      <c r="N126" s="227" t="str">
        <f t="shared" si="8"/>
        <v/>
      </c>
      <c r="X126" t="str">
        <f t="shared" si="9"/>
        <v xml:space="preserve">          </v>
      </c>
      <c r="Y126" s="227" t="str">
        <f t="shared" si="10"/>
        <v/>
      </c>
      <c r="Z126" t="str">
        <f t="shared" si="11"/>
        <v/>
      </c>
      <c r="AL126" t="str">
        <f t="shared" si="12"/>
        <v/>
      </c>
      <c r="AM126" t="str">
        <f t="shared" si="13"/>
        <v/>
      </c>
    </row>
    <row r="127" spans="1:39">
      <c r="A127" t="str">
        <f>IF(ISBLANK(Record!A128),"",Record!A128)</f>
        <v/>
      </c>
      <c r="B127" t="str">
        <f>IF(ISBLANK(Record!B128),"",Record!B128)</f>
        <v/>
      </c>
      <c r="C127" s="227" t="str">
        <f>IF(ISBLANK(Record!C128),"",Record!C128)</f>
        <v/>
      </c>
      <c r="D127" t="str">
        <f>IF(ISBLANK(Record!D128),"",Record!D128)</f>
        <v/>
      </c>
      <c r="E127" t="str">
        <f>IF(ISBLANK(Record!E128),"",Record!E128)</f>
        <v/>
      </c>
      <c r="M127" t="str">
        <f t="shared" si="7"/>
        <v xml:space="preserve">          </v>
      </c>
      <c r="N127" s="227" t="str">
        <f t="shared" si="8"/>
        <v/>
      </c>
      <c r="X127" t="str">
        <f t="shared" si="9"/>
        <v xml:space="preserve">          </v>
      </c>
      <c r="Y127" s="227" t="str">
        <f t="shared" si="10"/>
        <v/>
      </c>
      <c r="Z127" t="str">
        <f t="shared" si="11"/>
        <v/>
      </c>
      <c r="AL127" t="str">
        <f t="shared" si="12"/>
        <v/>
      </c>
      <c r="AM127" t="str">
        <f t="shared" si="13"/>
        <v/>
      </c>
    </row>
    <row r="128" spans="1:39">
      <c r="A128" t="str">
        <f>IF(ISBLANK(Record!A129),"",Record!A129)</f>
        <v/>
      </c>
      <c r="B128" t="str">
        <f>IF(ISBLANK(Record!B129),"",Record!B129)</f>
        <v/>
      </c>
      <c r="C128" s="227" t="str">
        <f>IF(ISBLANK(Record!C129),"",Record!C129)</f>
        <v/>
      </c>
      <c r="D128" t="str">
        <f>IF(ISBLANK(Record!D129),"",Record!D129)</f>
        <v/>
      </c>
      <c r="E128" t="str">
        <f>IF(ISBLANK(Record!E129),"",Record!E129)</f>
        <v/>
      </c>
      <c r="M128" t="str">
        <f t="shared" si="7"/>
        <v xml:space="preserve">          </v>
      </c>
      <c r="N128" s="227" t="str">
        <f t="shared" si="8"/>
        <v/>
      </c>
      <c r="X128" t="str">
        <f t="shared" si="9"/>
        <v xml:space="preserve">          </v>
      </c>
      <c r="Y128" s="227" t="str">
        <f t="shared" si="10"/>
        <v/>
      </c>
      <c r="Z128" t="str">
        <f t="shared" si="11"/>
        <v/>
      </c>
      <c r="AL128" t="str">
        <f t="shared" si="12"/>
        <v/>
      </c>
      <c r="AM128" t="str">
        <f t="shared" si="13"/>
        <v/>
      </c>
    </row>
    <row r="129" spans="1:39">
      <c r="A129" t="str">
        <f>IF(ISBLANK(Record!A130),"",Record!A130)</f>
        <v/>
      </c>
      <c r="B129" t="str">
        <f>IF(ISBLANK(Record!B130),"",Record!B130)</f>
        <v/>
      </c>
      <c r="C129" s="227" t="str">
        <f>IF(ISBLANK(Record!C130),"",Record!C130)</f>
        <v/>
      </c>
      <c r="D129" t="str">
        <f>IF(ISBLANK(Record!D130),"",Record!D130)</f>
        <v/>
      </c>
      <c r="E129" t="str">
        <f>IF(ISBLANK(Record!E130),"",Record!E130)</f>
        <v/>
      </c>
      <c r="M129" t="str">
        <f t="shared" si="7"/>
        <v xml:space="preserve">          </v>
      </c>
      <c r="N129" s="227" t="str">
        <f t="shared" si="8"/>
        <v/>
      </c>
      <c r="X129" t="str">
        <f t="shared" si="9"/>
        <v xml:space="preserve">          </v>
      </c>
      <c r="Y129" s="227" t="str">
        <f t="shared" si="10"/>
        <v/>
      </c>
      <c r="Z129" t="str">
        <f t="shared" si="11"/>
        <v/>
      </c>
      <c r="AL129" t="str">
        <f t="shared" si="12"/>
        <v/>
      </c>
      <c r="AM129" t="str">
        <f t="shared" si="13"/>
        <v/>
      </c>
    </row>
    <row r="130" spans="1:39">
      <c r="A130" t="str">
        <f>IF(ISBLANK(Record!A131),"",Record!A131)</f>
        <v/>
      </c>
      <c r="B130" t="str">
        <f>IF(ISBLANK(Record!B131),"",Record!B131)</f>
        <v/>
      </c>
      <c r="C130" s="227" t="str">
        <f>IF(ISBLANK(Record!C131),"",Record!C131)</f>
        <v/>
      </c>
      <c r="D130" t="str">
        <f>IF(ISBLANK(Record!D131),"",Record!D131)</f>
        <v/>
      </c>
      <c r="E130" t="str">
        <f>IF(ISBLANK(Record!E131),"",Record!E131)</f>
        <v/>
      </c>
      <c r="M130" t="str">
        <f t="shared" si="7"/>
        <v xml:space="preserve">          </v>
      </c>
      <c r="N130" s="227" t="str">
        <f t="shared" si="8"/>
        <v/>
      </c>
      <c r="X130" t="str">
        <f t="shared" si="9"/>
        <v xml:space="preserve">          </v>
      </c>
      <c r="Y130" s="227" t="str">
        <f t="shared" si="10"/>
        <v/>
      </c>
      <c r="Z130" t="str">
        <f t="shared" si="11"/>
        <v/>
      </c>
      <c r="AL130" t="str">
        <f t="shared" si="12"/>
        <v/>
      </c>
      <c r="AM130" t="str">
        <f t="shared" si="13"/>
        <v/>
      </c>
    </row>
    <row r="131" spans="1:39">
      <c r="A131" t="str">
        <f>IF(ISBLANK(Record!A132),"",Record!A132)</f>
        <v/>
      </c>
      <c r="B131" t="str">
        <f>IF(ISBLANK(Record!B132),"",Record!B132)</f>
        <v/>
      </c>
      <c r="C131" s="227" t="str">
        <f>IF(ISBLANK(Record!C132),"",Record!C132)</f>
        <v/>
      </c>
      <c r="D131" t="str">
        <f>IF(ISBLANK(Record!D132),"",Record!D132)</f>
        <v/>
      </c>
      <c r="E131" t="str">
        <f>IF(ISBLANK(Record!E132),"",Record!E132)</f>
        <v/>
      </c>
      <c r="M131" t="str">
        <f t="shared" ref="M131:M194" si="14">RIGHT("                                   " &amp; A131,10)</f>
        <v xml:space="preserve">          </v>
      </c>
      <c r="N131" s="227" t="str">
        <f t="shared" ref="N131:N194" si="15">RIGHT(C131,16)</f>
        <v/>
      </c>
      <c r="X131" t="str">
        <f t="shared" ref="X131:X194" si="16">RIGHT("                                   " &amp; A131,10)</f>
        <v xml:space="preserve">          </v>
      </c>
      <c r="Y131" s="227" t="str">
        <f t="shared" ref="Y131:Y194" si="17">RIGHT(C131,16)</f>
        <v/>
      </c>
      <c r="Z131" t="str">
        <f t="shared" ref="Z131:Z194" si="18">RIGHT(D131,8)</f>
        <v/>
      </c>
      <c r="AL131" t="str">
        <f t="shared" ref="AL131:AL194" si="19">D131</f>
        <v/>
      </c>
      <c r="AM131" t="str">
        <f t="shared" ref="AM131:AM194" si="20">IF(E131&lt;&gt;AL131,E131,E131)</f>
        <v/>
      </c>
    </row>
    <row r="132" spans="1:39">
      <c r="A132" t="str">
        <f>IF(ISBLANK(Record!A133),"",Record!A133)</f>
        <v/>
      </c>
      <c r="B132" t="str">
        <f>IF(ISBLANK(Record!B133),"",Record!B133)</f>
        <v/>
      </c>
      <c r="C132" s="227" t="str">
        <f>IF(ISBLANK(Record!C133),"",Record!C133)</f>
        <v/>
      </c>
      <c r="D132" t="str">
        <f>IF(ISBLANK(Record!D133),"",Record!D133)</f>
        <v/>
      </c>
      <c r="E132" t="str">
        <f>IF(ISBLANK(Record!E133),"",Record!E133)</f>
        <v/>
      </c>
      <c r="M132" t="str">
        <f t="shared" si="14"/>
        <v xml:space="preserve">          </v>
      </c>
      <c r="N132" s="227" t="str">
        <f t="shared" si="15"/>
        <v/>
      </c>
      <c r="X132" t="str">
        <f t="shared" si="16"/>
        <v xml:space="preserve">          </v>
      </c>
      <c r="Y132" s="227" t="str">
        <f t="shared" si="17"/>
        <v/>
      </c>
      <c r="Z132" t="str">
        <f t="shared" si="18"/>
        <v/>
      </c>
      <c r="AL132" t="str">
        <f t="shared" si="19"/>
        <v/>
      </c>
      <c r="AM132" t="str">
        <f t="shared" si="20"/>
        <v/>
      </c>
    </row>
    <row r="133" spans="1:39">
      <c r="A133" t="str">
        <f>IF(ISBLANK(Record!A134),"",Record!A134)</f>
        <v/>
      </c>
      <c r="B133" t="str">
        <f>IF(ISBLANK(Record!B134),"",Record!B134)</f>
        <v/>
      </c>
      <c r="C133" s="227" t="str">
        <f>IF(ISBLANK(Record!C134),"",Record!C134)</f>
        <v/>
      </c>
      <c r="D133" t="str">
        <f>IF(ISBLANK(Record!D134),"",Record!D134)</f>
        <v/>
      </c>
      <c r="E133" t="str">
        <f>IF(ISBLANK(Record!E134),"",Record!E134)</f>
        <v/>
      </c>
      <c r="M133" t="str">
        <f t="shared" si="14"/>
        <v xml:space="preserve">          </v>
      </c>
      <c r="N133" s="227" t="str">
        <f t="shared" si="15"/>
        <v/>
      </c>
      <c r="X133" t="str">
        <f t="shared" si="16"/>
        <v xml:space="preserve">          </v>
      </c>
      <c r="Y133" s="227" t="str">
        <f t="shared" si="17"/>
        <v/>
      </c>
      <c r="Z133" t="str">
        <f t="shared" si="18"/>
        <v/>
      </c>
      <c r="AL133" t="str">
        <f t="shared" si="19"/>
        <v/>
      </c>
      <c r="AM133" t="str">
        <f t="shared" si="20"/>
        <v/>
      </c>
    </row>
    <row r="134" spans="1:39">
      <c r="A134" t="str">
        <f>IF(ISBLANK(Record!A135),"",Record!A135)</f>
        <v/>
      </c>
      <c r="B134" t="str">
        <f>IF(ISBLANK(Record!B135),"",Record!B135)</f>
        <v/>
      </c>
      <c r="C134" s="227" t="str">
        <f>IF(ISBLANK(Record!C135),"",Record!C135)</f>
        <v/>
      </c>
      <c r="D134" t="str">
        <f>IF(ISBLANK(Record!D135),"",Record!D135)</f>
        <v/>
      </c>
      <c r="E134" t="str">
        <f>IF(ISBLANK(Record!E135),"",Record!E135)</f>
        <v/>
      </c>
      <c r="M134" t="str">
        <f t="shared" si="14"/>
        <v xml:space="preserve">          </v>
      </c>
      <c r="N134" s="227" t="str">
        <f t="shared" si="15"/>
        <v/>
      </c>
      <c r="X134" t="str">
        <f t="shared" si="16"/>
        <v xml:space="preserve">          </v>
      </c>
      <c r="Y134" s="227" t="str">
        <f t="shared" si="17"/>
        <v/>
      </c>
      <c r="Z134" t="str">
        <f t="shared" si="18"/>
        <v/>
      </c>
      <c r="AL134" t="str">
        <f t="shared" si="19"/>
        <v/>
      </c>
      <c r="AM134" t="str">
        <f t="shared" si="20"/>
        <v/>
      </c>
    </row>
    <row r="135" spans="1:39">
      <c r="A135" t="str">
        <f>IF(ISBLANK(Record!A136),"",Record!A136)</f>
        <v/>
      </c>
      <c r="B135" t="str">
        <f>IF(ISBLANK(Record!B136),"",Record!B136)</f>
        <v/>
      </c>
      <c r="C135" s="227" t="str">
        <f>IF(ISBLANK(Record!C136),"",Record!C136)</f>
        <v/>
      </c>
      <c r="D135" t="str">
        <f>IF(ISBLANK(Record!D136),"",Record!D136)</f>
        <v/>
      </c>
      <c r="E135" t="str">
        <f>IF(ISBLANK(Record!E136),"",Record!E136)</f>
        <v/>
      </c>
      <c r="M135" t="str">
        <f t="shared" si="14"/>
        <v xml:space="preserve">          </v>
      </c>
      <c r="N135" s="227" t="str">
        <f t="shared" si="15"/>
        <v/>
      </c>
      <c r="X135" t="str">
        <f t="shared" si="16"/>
        <v xml:space="preserve">          </v>
      </c>
      <c r="Y135" s="227" t="str">
        <f t="shared" si="17"/>
        <v/>
      </c>
      <c r="Z135" t="str">
        <f t="shared" si="18"/>
        <v/>
      </c>
      <c r="AL135" t="str">
        <f t="shared" si="19"/>
        <v/>
      </c>
      <c r="AM135" t="str">
        <f t="shared" si="20"/>
        <v/>
      </c>
    </row>
    <row r="136" spans="1:39">
      <c r="A136" t="str">
        <f>IF(ISBLANK(Record!A137),"",Record!A137)</f>
        <v/>
      </c>
      <c r="B136" t="str">
        <f>IF(ISBLANK(Record!B137),"",Record!B137)</f>
        <v/>
      </c>
      <c r="C136" s="227" t="str">
        <f>IF(ISBLANK(Record!C137),"",Record!C137)</f>
        <v/>
      </c>
      <c r="D136" t="str">
        <f>IF(ISBLANK(Record!D137),"",Record!D137)</f>
        <v/>
      </c>
      <c r="E136" t="str">
        <f>IF(ISBLANK(Record!E137),"",Record!E137)</f>
        <v/>
      </c>
      <c r="M136" t="str">
        <f t="shared" si="14"/>
        <v xml:space="preserve">          </v>
      </c>
      <c r="N136" s="227" t="str">
        <f t="shared" si="15"/>
        <v/>
      </c>
      <c r="X136" t="str">
        <f t="shared" si="16"/>
        <v xml:space="preserve">          </v>
      </c>
      <c r="Y136" s="227" t="str">
        <f t="shared" si="17"/>
        <v/>
      </c>
      <c r="Z136" t="str">
        <f t="shared" si="18"/>
        <v/>
      </c>
      <c r="AL136" t="str">
        <f t="shared" si="19"/>
        <v/>
      </c>
      <c r="AM136" t="str">
        <f t="shared" si="20"/>
        <v/>
      </c>
    </row>
    <row r="137" spans="1:39">
      <c r="A137" t="str">
        <f>IF(ISBLANK(Record!A138),"",Record!A138)</f>
        <v/>
      </c>
      <c r="B137" t="str">
        <f>IF(ISBLANK(Record!B138),"",Record!B138)</f>
        <v/>
      </c>
      <c r="C137" s="227" t="str">
        <f>IF(ISBLANK(Record!C138),"",Record!C138)</f>
        <v/>
      </c>
      <c r="D137" t="str">
        <f>IF(ISBLANK(Record!D138),"",Record!D138)</f>
        <v/>
      </c>
      <c r="E137" t="str">
        <f>IF(ISBLANK(Record!E138),"",Record!E138)</f>
        <v/>
      </c>
      <c r="M137" t="str">
        <f t="shared" si="14"/>
        <v xml:space="preserve">          </v>
      </c>
      <c r="N137" s="227" t="str">
        <f t="shared" si="15"/>
        <v/>
      </c>
      <c r="X137" t="str">
        <f t="shared" si="16"/>
        <v xml:space="preserve">          </v>
      </c>
      <c r="Y137" s="227" t="str">
        <f t="shared" si="17"/>
        <v/>
      </c>
      <c r="Z137" t="str">
        <f t="shared" si="18"/>
        <v/>
      </c>
      <c r="AL137" t="str">
        <f t="shared" si="19"/>
        <v/>
      </c>
      <c r="AM137" t="str">
        <f t="shared" si="20"/>
        <v/>
      </c>
    </row>
    <row r="138" spans="1:39">
      <c r="A138" t="str">
        <f>IF(ISBLANK(Record!A139),"",Record!A139)</f>
        <v/>
      </c>
      <c r="B138" t="str">
        <f>IF(ISBLANK(Record!B139),"",Record!B139)</f>
        <v/>
      </c>
      <c r="C138" s="227" t="str">
        <f>IF(ISBLANK(Record!C139),"",Record!C139)</f>
        <v/>
      </c>
      <c r="D138" t="str">
        <f>IF(ISBLANK(Record!D139),"",Record!D139)</f>
        <v/>
      </c>
      <c r="E138" t="str">
        <f>IF(ISBLANK(Record!E139),"",Record!E139)</f>
        <v/>
      </c>
      <c r="M138" t="str">
        <f t="shared" si="14"/>
        <v xml:space="preserve">          </v>
      </c>
      <c r="N138" s="227" t="str">
        <f t="shared" si="15"/>
        <v/>
      </c>
      <c r="X138" t="str">
        <f t="shared" si="16"/>
        <v xml:space="preserve">          </v>
      </c>
      <c r="Y138" s="227" t="str">
        <f t="shared" si="17"/>
        <v/>
      </c>
      <c r="Z138" t="str">
        <f t="shared" si="18"/>
        <v/>
      </c>
      <c r="AL138" t="str">
        <f t="shared" si="19"/>
        <v/>
      </c>
      <c r="AM138" t="str">
        <f t="shared" si="20"/>
        <v/>
      </c>
    </row>
    <row r="139" spans="1:39">
      <c r="A139" t="str">
        <f>IF(ISBLANK(Record!A140),"",Record!A140)</f>
        <v/>
      </c>
      <c r="B139" t="str">
        <f>IF(ISBLANK(Record!B140),"",Record!B140)</f>
        <v/>
      </c>
      <c r="C139" s="227" t="str">
        <f>IF(ISBLANK(Record!C140),"",Record!C140)</f>
        <v/>
      </c>
      <c r="D139" t="str">
        <f>IF(ISBLANK(Record!D140),"",Record!D140)</f>
        <v/>
      </c>
      <c r="E139" t="str">
        <f>IF(ISBLANK(Record!E140),"",Record!E140)</f>
        <v/>
      </c>
      <c r="M139" t="str">
        <f t="shared" si="14"/>
        <v xml:space="preserve">          </v>
      </c>
      <c r="N139" s="227" t="str">
        <f t="shared" si="15"/>
        <v/>
      </c>
      <c r="X139" t="str">
        <f t="shared" si="16"/>
        <v xml:space="preserve">          </v>
      </c>
      <c r="Y139" s="227" t="str">
        <f t="shared" si="17"/>
        <v/>
      </c>
      <c r="Z139" t="str">
        <f t="shared" si="18"/>
        <v/>
      </c>
      <c r="AL139" t="str">
        <f t="shared" si="19"/>
        <v/>
      </c>
      <c r="AM139" t="str">
        <f t="shared" si="20"/>
        <v/>
      </c>
    </row>
    <row r="140" spans="1:39">
      <c r="A140" t="str">
        <f>IF(ISBLANK(Record!A141),"",Record!A141)</f>
        <v/>
      </c>
      <c r="B140" t="str">
        <f>IF(ISBLANK(Record!B141),"",Record!B141)</f>
        <v/>
      </c>
      <c r="C140" s="227" t="str">
        <f>IF(ISBLANK(Record!C141),"",Record!C141)</f>
        <v/>
      </c>
      <c r="D140" t="str">
        <f>IF(ISBLANK(Record!D141),"",Record!D141)</f>
        <v/>
      </c>
      <c r="E140" t="str">
        <f>IF(ISBLANK(Record!E141),"",Record!E141)</f>
        <v/>
      </c>
      <c r="M140" t="str">
        <f t="shared" si="14"/>
        <v xml:space="preserve">          </v>
      </c>
      <c r="N140" s="227" t="str">
        <f t="shared" si="15"/>
        <v/>
      </c>
      <c r="X140" t="str">
        <f t="shared" si="16"/>
        <v xml:space="preserve">          </v>
      </c>
      <c r="Y140" s="227" t="str">
        <f t="shared" si="17"/>
        <v/>
      </c>
      <c r="Z140" t="str">
        <f t="shared" si="18"/>
        <v/>
      </c>
      <c r="AL140" t="str">
        <f t="shared" si="19"/>
        <v/>
      </c>
      <c r="AM140" t="str">
        <f t="shared" si="20"/>
        <v/>
      </c>
    </row>
    <row r="141" spans="1:39">
      <c r="A141" t="str">
        <f>IF(ISBLANK(Record!A142),"",Record!A142)</f>
        <v/>
      </c>
      <c r="B141" t="str">
        <f>IF(ISBLANK(Record!B142),"",Record!B142)</f>
        <v/>
      </c>
      <c r="C141" s="227" t="str">
        <f>IF(ISBLANK(Record!C142),"",Record!C142)</f>
        <v/>
      </c>
      <c r="D141" t="str">
        <f>IF(ISBLANK(Record!D142),"",Record!D142)</f>
        <v/>
      </c>
      <c r="E141" t="str">
        <f>IF(ISBLANK(Record!E142),"",Record!E142)</f>
        <v/>
      </c>
      <c r="M141" t="str">
        <f t="shared" si="14"/>
        <v xml:space="preserve">          </v>
      </c>
      <c r="N141" s="227" t="str">
        <f t="shared" si="15"/>
        <v/>
      </c>
      <c r="X141" t="str">
        <f t="shared" si="16"/>
        <v xml:space="preserve">          </v>
      </c>
      <c r="Y141" s="227" t="str">
        <f t="shared" si="17"/>
        <v/>
      </c>
      <c r="Z141" t="str">
        <f t="shared" si="18"/>
        <v/>
      </c>
      <c r="AL141" t="str">
        <f t="shared" si="19"/>
        <v/>
      </c>
      <c r="AM141" t="str">
        <f t="shared" si="20"/>
        <v/>
      </c>
    </row>
    <row r="142" spans="1:39">
      <c r="A142" t="str">
        <f>IF(ISBLANK(Record!A143),"",Record!A143)</f>
        <v/>
      </c>
      <c r="B142" t="str">
        <f>IF(ISBLANK(Record!B143),"",Record!B143)</f>
        <v/>
      </c>
      <c r="C142" s="227" t="str">
        <f>IF(ISBLANK(Record!C143),"",Record!C143)</f>
        <v/>
      </c>
      <c r="D142" t="str">
        <f>IF(ISBLANK(Record!D143),"",Record!D143)</f>
        <v/>
      </c>
      <c r="E142" t="str">
        <f>IF(ISBLANK(Record!E143),"",Record!E143)</f>
        <v/>
      </c>
      <c r="M142" t="str">
        <f t="shared" si="14"/>
        <v xml:space="preserve">          </v>
      </c>
      <c r="N142" s="227" t="str">
        <f t="shared" si="15"/>
        <v/>
      </c>
      <c r="X142" t="str">
        <f t="shared" si="16"/>
        <v xml:space="preserve">          </v>
      </c>
      <c r="Y142" s="227" t="str">
        <f t="shared" si="17"/>
        <v/>
      </c>
      <c r="Z142" t="str">
        <f t="shared" si="18"/>
        <v/>
      </c>
      <c r="AL142" t="str">
        <f t="shared" si="19"/>
        <v/>
      </c>
      <c r="AM142" t="str">
        <f t="shared" si="20"/>
        <v/>
      </c>
    </row>
    <row r="143" spans="1:39">
      <c r="A143" t="str">
        <f>IF(ISBLANK(Record!A144),"",Record!A144)</f>
        <v/>
      </c>
      <c r="B143" t="str">
        <f>IF(ISBLANK(Record!B144),"",Record!B144)</f>
        <v/>
      </c>
      <c r="C143" s="227" t="str">
        <f>IF(ISBLANK(Record!C144),"",Record!C144)</f>
        <v/>
      </c>
      <c r="D143" t="str">
        <f>IF(ISBLANK(Record!D144),"",Record!D144)</f>
        <v/>
      </c>
      <c r="E143" t="str">
        <f>IF(ISBLANK(Record!E144),"",Record!E144)</f>
        <v/>
      </c>
      <c r="M143" t="str">
        <f t="shared" si="14"/>
        <v xml:space="preserve">          </v>
      </c>
      <c r="N143" s="227" t="str">
        <f t="shared" si="15"/>
        <v/>
      </c>
      <c r="X143" t="str">
        <f t="shared" si="16"/>
        <v xml:space="preserve">          </v>
      </c>
      <c r="Y143" s="227" t="str">
        <f t="shared" si="17"/>
        <v/>
      </c>
      <c r="Z143" t="str">
        <f t="shared" si="18"/>
        <v/>
      </c>
      <c r="AL143" t="str">
        <f t="shared" si="19"/>
        <v/>
      </c>
      <c r="AM143" t="str">
        <f t="shared" si="20"/>
        <v/>
      </c>
    </row>
    <row r="144" spans="1:39">
      <c r="A144" t="str">
        <f>IF(ISBLANK(Record!A145),"",Record!A145)</f>
        <v/>
      </c>
      <c r="B144" t="str">
        <f>IF(ISBLANK(Record!B145),"",Record!B145)</f>
        <v/>
      </c>
      <c r="C144" s="227" t="str">
        <f>IF(ISBLANK(Record!C145),"",Record!C145)</f>
        <v/>
      </c>
      <c r="D144" t="str">
        <f>IF(ISBLANK(Record!D145),"",Record!D145)</f>
        <v/>
      </c>
      <c r="E144" t="str">
        <f>IF(ISBLANK(Record!E145),"",Record!E145)</f>
        <v/>
      </c>
      <c r="M144" t="str">
        <f t="shared" si="14"/>
        <v xml:space="preserve">          </v>
      </c>
      <c r="N144" s="227" t="str">
        <f t="shared" si="15"/>
        <v/>
      </c>
      <c r="X144" t="str">
        <f t="shared" si="16"/>
        <v xml:space="preserve">          </v>
      </c>
      <c r="Y144" s="227" t="str">
        <f t="shared" si="17"/>
        <v/>
      </c>
      <c r="Z144" t="str">
        <f t="shared" si="18"/>
        <v/>
      </c>
      <c r="AL144" t="str">
        <f t="shared" si="19"/>
        <v/>
      </c>
      <c r="AM144" t="str">
        <f t="shared" si="20"/>
        <v/>
      </c>
    </row>
    <row r="145" spans="1:39">
      <c r="A145" t="str">
        <f>IF(ISBLANK(Record!A146),"",Record!A146)</f>
        <v/>
      </c>
      <c r="B145" t="str">
        <f>IF(ISBLANK(Record!B146),"",Record!B146)</f>
        <v/>
      </c>
      <c r="C145" s="227" t="str">
        <f>IF(ISBLANK(Record!C146),"",Record!C146)</f>
        <v/>
      </c>
      <c r="D145" t="str">
        <f>IF(ISBLANK(Record!D146),"",Record!D146)</f>
        <v/>
      </c>
      <c r="E145" t="str">
        <f>IF(ISBLANK(Record!E146),"",Record!E146)</f>
        <v/>
      </c>
      <c r="M145" t="str">
        <f t="shared" si="14"/>
        <v xml:space="preserve">          </v>
      </c>
      <c r="N145" s="227" t="str">
        <f t="shared" si="15"/>
        <v/>
      </c>
      <c r="X145" t="str">
        <f t="shared" si="16"/>
        <v xml:space="preserve">          </v>
      </c>
      <c r="Y145" s="227" t="str">
        <f t="shared" si="17"/>
        <v/>
      </c>
      <c r="Z145" t="str">
        <f t="shared" si="18"/>
        <v/>
      </c>
      <c r="AL145" t="str">
        <f t="shared" si="19"/>
        <v/>
      </c>
      <c r="AM145" t="str">
        <f t="shared" si="20"/>
        <v/>
      </c>
    </row>
    <row r="146" spans="1:39">
      <c r="A146" t="str">
        <f>IF(ISBLANK(Record!A147),"",Record!A147)</f>
        <v/>
      </c>
      <c r="B146" t="str">
        <f>IF(ISBLANK(Record!B147),"",Record!B147)</f>
        <v/>
      </c>
      <c r="C146" s="227" t="str">
        <f>IF(ISBLANK(Record!C147),"",Record!C147)</f>
        <v/>
      </c>
      <c r="D146" t="str">
        <f>IF(ISBLANK(Record!D147),"",Record!D147)</f>
        <v/>
      </c>
      <c r="E146" t="str">
        <f>IF(ISBLANK(Record!E147),"",Record!E147)</f>
        <v/>
      </c>
      <c r="M146" t="str">
        <f t="shared" si="14"/>
        <v xml:space="preserve">          </v>
      </c>
      <c r="N146" s="227" t="str">
        <f t="shared" si="15"/>
        <v/>
      </c>
      <c r="X146" t="str">
        <f t="shared" si="16"/>
        <v xml:space="preserve">          </v>
      </c>
      <c r="Y146" s="227" t="str">
        <f t="shared" si="17"/>
        <v/>
      </c>
      <c r="Z146" t="str">
        <f t="shared" si="18"/>
        <v/>
      </c>
      <c r="AL146" t="str">
        <f t="shared" si="19"/>
        <v/>
      </c>
      <c r="AM146" t="str">
        <f t="shared" si="20"/>
        <v/>
      </c>
    </row>
    <row r="147" spans="1:39">
      <c r="A147" t="str">
        <f>IF(ISBLANK(Record!A148),"",Record!A148)</f>
        <v/>
      </c>
      <c r="B147" t="str">
        <f>IF(ISBLANK(Record!B148),"",Record!B148)</f>
        <v/>
      </c>
      <c r="C147" s="227" t="str">
        <f>IF(ISBLANK(Record!C148),"",Record!C148)</f>
        <v/>
      </c>
      <c r="D147" t="str">
        <f>IF(ISBLANK(Record!D148),"",Record!D148)</f>
        <v/>
      </c>
      <c r="E147" t="str">
        <f>IF(ISBLANK(Record!E148),"",Record!E148)</f>
        <v/>
      </c>
      <c r="M147" t="str">
        <f t="shared" si="14"/>
        <v xml:space="preserve">          </v>
      </c>
      <c r="N147" s="227" t="str">
        <f t="shared" si="15"/>
        <v/>
      </c>
      <c r="X147" t="str">
        <f t="shared" si="16"/>
        <v xml:space="preserve">          </v>
      </c>
      <c r="Y147" s="227" t="str">
        <f t="shared" si="17"/>
        <v/>
      </c>
      <c r="Z147" t="str">
        <f t="shared" si="18"/>
        <v/>
      </c>
      <c r="AL147" t="str">
        <f t="shared" si="19"/>
        <v/>
      </c>
      <c r="AM147" t="str">
        <f t="shared" si="20"/>
        <v/>
      </c>
    </row>
    <row r="148" spans="1:39">
      <c r="A148" t="str">
        <f>IF(ISBLANK(Record!A149),"",Record!A149)</f>
        <v/>
      </c>
      <c r="B148" t="str">
        <f>IF(ISBLANK(Record!B149),"",Record!B149)</f>
        <v/>
      </c>
      <c r="C148" s="227" t="str">
        <f>IF(ISBLANK(Record!C149),"",Record!C149)</f>
        <v/>
      </c>
      <c r="D148" t="str">
        <f>IF(ISBLANK(Record!D149),"",Record!D149)</f>
        <v/>
      </c>
      <c r="E148" t="str">
        <f>IF(ISBLANK(Record!E149),"",Record!E149)</f>
        <v/>
      </c>
      <c r="M148" t="str">
        <f t="shared" si="14"/>
        <v xml:space="preserve">          </v>
      </c>
      <c r="N148" s="227" t="str">
        <f t="shared" si="15"/>
        <v/>
      </c>
      <c r="X148" t="str">
        <f t="shared" si="16"/>
        <v xml:space="preserve">          </v>
      </c>
      <c r="Y148" s="227" t="str">
        <f t="shared" si="17"/>
        <v/>
      </c>
      <c r="Z148" t="str">
        <f t="shared" si="18"/>
        <v/>
      </c>
      <c r="AL148" t="str">
        <f t="shared" si="19"/>
        <v/>
      </c>
      <c r="AM148" t="str">
        <f t="shared" si="20"/>
        <v/>
      </c>
    </row>
    <row r="149" spans="1:39">
      <c r="A149" t="str">
        <f>IF(ISBLANK(Record!A150),"",Record!A150)</f>
        <v/>
      </c>
      <c r="B149" t="str">
        <f>IF(ISBLANK(Record!B150),"",Record!B150)</f>
        <v/>
      </c>
      <c r="C149" s="227" t="str">
        <f>IF(ISBLANK(Record!C150),"",Record!C150)</f>
        <v/>
      </c>
      <c r="D149" t="str">
        <f>IF(ISBLANK(Record!D150),"",Record!D150)</f>
        <v/>
      </c>
      <c r="E149" t="str">
        <f>IF(ISBLANK(Record!E150),"",Record!E150)</f>
        <v/>
      </c>
      <c r="M149" t="str">
        <f t="shared" si="14"/>
        <v xml:space="preserve">          </v>
      </c>
      <c r="N149" s="227" t="str">
        <f t="shared" si="15"/>
        <v/>
      </c>
      <c r="X149" t="str">
        <f t="shared" si="16"/>
        <v xml:space="preserve">          </v>
      </c>
      <c r="Y149" s="227" t="str">
        <f t="shared" si="17"/>
        <v/>
      </c>
      <c r="Z149" t="str">
        <f t="shared" si="18"/>
        <v/>
      </c>
      <c r="AL149" t="str">
        <f t="shared" si="19"/>
        <v/>
      </c>
      <c r="AM149" t="str">
        <f t="shared" si="20"/>
        <v/>
      </c>
    </row>
    <row r="150" spans="1:39">
      <c r="A150" t="str">
        <f>IF(ISBLANK(Record!A151),"",Record!A151)</f>
        <v/>
      </c>
      <c r="B150" t="str">
        <f>IF(ISBLANK(Record!B151),"",Record!B151)</f>
        <v/>
      </c>
      <c r="C150" s="227" t="str">
        <f>IF(ISBLANK(Record!C151),"",Record!C151)</f>
        <v/>
      </c>
      <c r="D150" t="str">
        <f>IF(ISBLANK(Record!D151),"",Record!D151)</f>
        <v/>
      </c>
      <c r="E150" t="str">
        <f>IF(ISBLANK(Record!E151),"",Record!E151)</f>
        <v/>
      </c>
      <c r="M150" t="str">
        <f t="shared" si="14"/>
        <v xml:space="preserve">          </v>
      </c>
      <c r="N150" s="227" t="str">
        <f t="shared" si="15"/>
        <v/>
      </c>
      <c r="X150" t="str">
        <f t="shared" si="16"/>
        <v xml:space="preserve">          </v>
      </c>
      <c r="Y150" s="227" t="str">
        <f t="shared" si="17"/>
        <v/>
      </c>
      <c r="Z150" t="str">
        <f t="shared" si="18"/>
        <v/>
      </c>
      <c r="AL150" t="str">
        <f t="shared" si="19"/>
        <v/>
      </c>
      <c r="AM150" t="str">
        <f t="shared" si="20"/>
        <v/>
      </c>
    </row>
    <row r="151" spans="1:39">
      <c r="A151" t="str">
        <f>IF(ISBLANK(Record!A152),"",Record!A152)</f>
        <v/>
      </c>
      <c r="B151" t="str">
        <f>IF(ISBLANK(Record!B152),"",Record!B152)</f>
        <v/>
      </c>
      <c r="C151" s="227" t="str">
        <f>IF(ISBLANK(Record!C152),"",Record!C152)</f>
        <v/>
      </c>
      <c r="D151" t="str">
        <f>IF(ISBLANK(Record!D152),"",Record!D152)</f>
        <v/>
      </c>
      <c r="E151" t="str">
        <f>IF(ISBLANK(Record!E152),"",Record!E152)</f>
        <v/>
      </c>
      <c r="M151" t="str">
        <f t="shared" si="14"/>
        <v xml:space="preserve">          </v>
      </c>
      <c r="N151" s="227" t="str">
        <f t="shared" si="15"/>
        <v/>
      </c>
      <c r="X151" t="str">
        <f t="shared" si="16"/>
        <v xml:space="preserve">          </v>
      </c>
      <c r="Y151" s="227" t="str">
        <f t="shared" si="17"/>
        <v/>
      </c>
      <c r="Z151" t="str">
        <f t="shared" si="18"/>
        <v/>
      </c>
      <c r="AL151" t="str">
        <f t="shared" si="19"/>
        <v/>
      </c>
      <c r="AM151" t="str">
        <f t="shared" si="20"/>
        <v/>
      </c>
    </row>
    <row r="152" spans="1:39">
      <c r="A152" t="str">
        <f>IF(ISBLANK(Record!A153),"",Record!A153)</f>
        <v/>
      </c>
      <c r="B152" t="str">
        <f>IF(ISBLANK(Record!B153),"",Record!B153)</f>
        <v/>
      </c>
      <c r="C152" s="227" t="str">
        <f>IF(ISBLANK(Record!C153),"",Record!C153)</f>
        <v/>
      </c>
      <c r="D152" t="str">
        <f>IF(ISBLANK(Record!D153),"",Record!D153)</f>
        <v/>
      </c>
      <c r="E152" t="str">
        <f>IF(ISBLANK(Record!E153),"",Record!E153)</f>
        <v/>
      </c>
      <c r="M152" t="str">
        <f t="shared" si="14"/>
        <v xml:space="preserve">          </v>
      </c>
      <c r="N152" s="227" t="str">
        <f t="shared" si="15"/>
        <v/>
      </c>
      <c r="X152" t="str">
        <f t="shared" si="16"/>
        <v xml:space="preserve">          </v>
      </c>
      <c r="Y152" s="227" t="str">
        <f t="shared" si="17"/>
        <v/>
      </c>
      <c r="Z152" t="str">
        <f t="shared" si="18"/>
        <v/>
      </c>
      <c r="AL152" t="str">
        <f t="shared" si="19"/>
        <v/>
      </c>
      <c r="AM152" t="str">
        <f t="shared" si="20"/>
        <v/>
      </c>
    </row>
    <row r="153" spans="1:39">
      <c r="A153" t="str">
        <f>IF(ISBLANK(Record!A154),"",Record!A154)</f>
        <v/>
      </c>
      <c r="B153" t="str">
        <f>IF(ISBLANK(Record!B154),"",Record!B154)</f>
        <v/>
      </c>
      <c r="C153" s="227" t="str">
        <f>IF(ISBLANK(Record!C154),"",Record!C154)</f>
        <v/>
      </c>
      <c r="D153" t="str">
        <f>IF(ISBLANK(Record!D154),"",Record!D154)</f>
        <v/>
      </c>
      <c r="E153" t="str">
        <f>IF(ISBLANK(Record!E154),"",Record!E154)</f>
        <v/>
      </c>
      <c r="M153" t="str">
        <f t="shared" si="14"/>
        <v xml:space="preserve">          </v>
      </c>
      <c r="N153" s="227" t="str">
        <f t="shared" si="15"/>
        <v/>
      </c>
      <c r="X153" t="str">
        <f t="shared" si="16"/>
        <v xml:space="preserve">          </v>
      </c>
      <c r="Y153" s="227" t="str">
        <f t="shared" si="17"/>
        <v/>
      </c>
      <c r="Z153" t="str">
        <f t="shared" si="18"/>
        <v/>
      </c>
      <c r="AL153" t="str">
        <f t="shared" si="19"/>
        <v/>
      </c>
      <c r="AM153" t="str">
        <f t="shared" si="20"/>
        <v/>
      </c>
    </row>
    <row r="154" spans="1:39">
      <c r="A154" t="str">
        <f>IF(ISBLANK(Record!A155),"",Record!A155)</f>
        <v/>
      </c>
      <c r="B154" t="str">
        <f>IF(ISBLANK(Record!B155),"",Record!B155)</f>
        <v/>
      </c>
      <c r="C154" s="227" t="str">
        <f>IF(ISBLANK(Record!C155),"",Record!C155)</f>
        <v/>
      </c>
      <c r="D154" t="str">
        <f>IF(ISBLANK(Record!D155),"",Record!D155)</f>
        <v/>
      </c>
      <c r="E154" t="str">
        <f>IF(ISBLANK(Record!E155),"",Record!E155)</f>
        <v/>
      </c>
      <c r="M154" t="str">
        <f t="shared" si="14"/>
        <v xml:space="preserve">          </v>
      </c>
      <c r="N154" s="227" t="str">
        <f t="shared" si="15"/>
        <v/>
      </c>
      <c r="X154" t="str">
        <f t="shared" si="16"/>
        <v xml:space="preserve">          </v>
      </c>
      <c r="Y154" s="227" t="str">
        <f t="shared" si="17"/>
        <v/>
      </c>
      <c r="Z154" t="str">
        <f t="shared" si="18"/>
        <v/>
      </c>
      <c r="AL154" t="str">
        <f t="shared" si="19"/>
        <v/>
      </c>
      <c r="AM154" t="str">
        <f t="shared" si="20"/>
        <v/>
      </c>
    </row>
    <row r="155" spans="1:39">
      <c r="A155" t="str">
        <f>IF(ISBLANK(Record!A156),"",Record!A156)</f>
        <v/>
      </c>
      <c r="B155" t="str">
        <f>IF(ISBLANK(Record!B156),"",Record!B156)</f>
        <v/>
      </c>
      <c r="C155" s="227" t="str">
        <f>IF(ISBLANK(Record!C156),"",Record!C156)</f>
        <v/>
      </c>
      <c r="D155" t="str">
        <f>IF(ISBLANK(Record!D156),"",Record!D156)</f>
        <v/>
      </c>
      <c r="E155" t="str">
        <f>IF(ISBLANK(Record!E156),"",Record!E156)</f>
        <v/>
      </c>
      <c r="M155" t="str">
        <f t="shared" si="14"/>
        <v xml:space="preserve">          </v>
      </c>
      <c r="N155" s="227" t="str">
        <f t="shared" si="15"/>
        <v/>
      </c>
      <c r="X155" t="str">
        <f t="shared" si="16"/>
        <v xml:space="preserve">          </v>
      </c>
      <c r="Y155" s="227" t="str">
        <f t="shared" si="17"/>
        <v/>
      </c>
      <c r="Z155" t="str">
        <f t="shared" si="18"/>
        <v/>
      </c>
      <c r="AL155" t="str">
        <f t="shared" si="19"/>
        <v/>
      </c>
      <c r="AM155" t="str">
        <f t="shared" si="20"/>
        <v/>
      </c>
    </row>
    <row r="156" spans="1:39">
      <c r="A156" t="str">
        <f>IF(ISBLANK(Record!A157),"",Record!A157)</f>
        <v/>
      </c>
      <c r="B156" t="str">
        <f>IF(ISBLANK(Record!B157),"",Record!B157)</f>
        <v/>
      </c>
      <c r="C156" s="227" t="str">
        <f>IF(ISBLANK(Record!C157),"",Record!C157)</f>
        <v/>
      </c>
      <c r="D156" t="str">
        <f>IF(ISBLANK(Record!D157),"",Record!D157)</f>
        <v/>
      </c>
      <c r="E156" t="str">
        <f>IF(ISBLANK(Record!E157),"",Record!E157)</f>
        <v/>
      </c>
      <c r="M156" t="str">
        <f t="shared" si="14"/>
        <v xml:space="preserve">          </v>
      </c>
      <c r="N156" s="227" t="str">
        <f t="shared" si="15"/>
        <v/>
      </c>
      <c r="X156" t="str">
        <f t="shared" si="16"/>
        <v xml:space="preserve">          </v>
      </c>
      <c r="Y156" s="227" t="str">
        <f t="shared" si="17"/>
        <v/>
      </c>
      <c r="Z156" t="str">
        <f t="shared" si="18"/>
        <v/>
      </c>
      <c r="AL156" t="str">
        <f t="shared" si="19"/>
        <v/>
      </c>
      <c r="AM156" t="str">
        <f t="shared" si="20"/>
        <v/>
      </c>
    </row>
    <row r="157" spans="1:39">
      <c r="A157" t="str">
        <f>IF(ISBLANK(Record!A158),"",Record!A158)</f>
        <v/>
      </c>
      <c r="B157" t="str">
        <f>IF(ISBLANK(Record!B158),"",Record!B158)</f>
        <v/>
      </c>
      <c r="C157" s="227" t="str">
        <f>IF(ISBLANK(Record!C158),"",Record!C158)</f>
        <v/>
      </c>
      <c r="D157" t="str">
        <f>IF(ISBLANK(Record!D158),"",Record!D158)</f>
        <v/>
      </c>
      <c r="E157" t="str">
        <f>IF(ISBLANK(Record!E158),"",Record!E158)</f>
        <v/>
      </c>
      <c r="M157" t="str">
        <f t="shared" si="14"/>
        <v xml:space="preserve">          </v>
      </c>
      <c r="N157" s="227" t="str">
        <f t="shared" si="15"/>
        <v/>
      </c>
      <c r="X157" t="str">
        <f t="shared" si="16"/>
        <v xml:space="preserve">          </v>
      </c>
      <c r="Y157" s="227" t="str">
        <f t="shared" si="17"/>
        <v/>
      </c>
      <c r="Z157" t="str">
        <f t="shared" si="18"/>
        <v/>
      </c>
      <c r="AL157" t="str">
        <f t="shared" si="19"/>
        <v/>
      </c>
      <c r="AM157" t="str">
        <f t="shared" si="20"/>
        <v/>
      </c>
    </row>
    <row r="158" spans="1:39">
      <c r="A158" t="str">
        <f>IF(ISBLANK(Record!A159),"",Record!A159)</f>
        <v/>
      </c>
      <c r="B158" t="str">
        <f>IF(ISBLANK(Record!B159),"",Record!B159)</f>
        <v/>
      </c>
      <c r="C158" s="227" t="str">
        <f>IF(ISBLANK(Record!C159),"",Record!C159)</f>
        <v/>
      </c>
      <c r="D158" t="str">
        <f>IF(ISBLANK(Record!D159),"",Record!D159)</f>
        <v/>
      </c>
      <c r="E158" t="str">
        <f>IF(ISBLANK(Record!E159),"",Record!E159)</f>
        <v/>
      </c>
      <c r="M158" t="str">
        <f t="shared" si="14"/>
        <v xml:space="preserve">          </v>
      </c>
      <c r="N158" s="227" t="str">
        <f t="shared" si="15"/>
        <v/>
      </c>
      <c r="X158" t="str">
        <f t="shared" si="16"/>
        <v xml:space="preserve">          </v>
      </c>
      <c r="Y158" s="227" t="str">
        <f t="shared" si="17"/>
        <v/>
      </c>
      <c r="Z158" t="str">
        <f t="shared" si="18"/>
        <v/>
      </c>
      <c r="AL158" t="str">
        <f t="shared" si="19"/>
        <v/>
      </c>
      <c r="AM158" t="str">
        <f t="shared" si="20"/>
        <v/>
      </c>
    </row>
    <row r="159" spans="1:39">
      <c r="A159" t="str">
        <f>IF(ISBLANK(Record!A160),"",Record!A160)</f>
        <v/>
      </c>
      <c r="B159" t="str">
        <f>IF(ISBLANK(Record!B160),"",Record!B160)</f>
        <v/>
      </c>
      <c r="C159" s="227" t="str">
        <f>IF(ISBLANK(Record!C160),"",Record!C160)</f>
        <v/>
      </c>
      <c r="D159" t="str">
        <f>IF(ISBLANK(Record!D160),"",Record!D160)</f>
        <v/>
      </c>
      <c r="E159" t="str">
        <f>IF(ISBLANK(Record!E160),"",Record!E160)</f>
        <v/>
      </c>
      <c r="M159" t="str">
        <f t="shared" si="14"/>
        <v xml:space="preserve">          </v>
      </c>
      <c r="N159" s="227" t="str">
        <f t="shared" si="15"/>
        <v/>
      </c>
      <c r="X159" t="str">
        <f t="shared" si="16"/>
        <v xml:space="preserve">          </v>
      </c>
      <c r="Y159" s="227" t="str">
        <f t="shared" si="17"/>
        <v/>
      </c>
      <c r="Z159" t="str">
        <f t="shared" si="18"/>
        <v/>
      </c>
      <c r="AL159" t="str">
        <f t="shared" si="19"/>
        <v/>
      </c>
      <c r="AM159" t="str">
        <f t="shared" si="20"/>
        <v/>
      </c>
    </row>
    <row r="160" spans="1:39">
      <c r="A160" t="str">
        <f>IF(ISBLANK(Record!A161),"",Record!A161)</f>
        <v/>
      </c>
      <c r="B160" t="str">
        <f>IF(ISBLANK(Record!B161),"",Record!B161)</f>
        <v/>
      </c>
      <c r="C160" s="227" t="str">
        <f>IF(ISBLANK(Record!C161),"",Record!C161)</f>
        <v/>
      </c>
      <c r="D160" t="str">
        <f>IF(ISBLANK(Record!D161),"",Record!D161)</f>
        <v/>
      </c>
      <c r="E160" t="str">
        <f>IF(ISBLANK(Record!E161),"",Record!E161)</f>
        <v/>
      </c>
      <c r="M160" t="str">
        <f t="shared" si="14"/>
        <v xml:space="preserve">          </v>
      </c>
      <c r="N160" s="227" t="str">
        <f t="shared" si="15"/>
        <v/>
      </c>
      <c r="X160" t="str">
        <f t="shared" si="16"/>
        <v xml:space="preserve">          </v>
      </c>
      <c r="Y160" s="227" t="str">
        <f t="shared" si="17"/>
        <v/>
      </c>
      <c r="Z160" t="str">
        <f t="shared" si="18"/>
        <v/>
      </c>
      <c r="AL160" t="str">
        <f t="shared" si="19"/>
        <v/>
      </c>
      <c r="AM160" t="str">
        <f t="shared" si="20"/>
        <v/>
      </c>
    </row>
    <row r="161" spans="1:39">
      <c r="A161" t="str">
        <f>IF(ISBLANK(Record!A162),"",Record!A162)</f>
        <v/>
      </c>
      <c r="B161" t="str">
        <f>IF(ISBLANK(Record!B162),"",Record!B162)</f>
        <v/>
      </c>
      <c r="C161" s="227" t="str">
        <f>IF(ISBLANK(Record!C162),"",Record!C162)</f>
        <v/>
      </c>
      <c r="D161" t="str">
        <f>IF(ISBLANK(Record!D162),"",Record!D162)</f>
        <v/>
      </c>
      <c r="E161" t="str">
        <f>IF(ISBLANK(Record!E162),"",Record!E162)</f>
        <v/>
      </c>
      <c r="M161" t="str">
        <f t="shared" si="14"/>
        <v xml:space="preserve">          </v>
      </c>
      <c r="N161" s="227" t="str">
        <f t="shared" si="15"/>
        <v/>
      </c>
      <c r="X161" t="str">
        <f t="shared" si="16"/>
        <v xml:space="preserve">          </v>
      </c>
      <c r="Y161" s="227" t="str">
        <f t="shared" si="17"/>
        <v/>
      </c>
      <c r="Z161" t="str">
        <f t="shared" si="18"/>
        <v/>
      </c>
      <c r="AL161" t="str">
        <f t="shared" si="19"/>
        <v/>
      </c>
      <c r="AM161" t="str">
        <f t="shared" si="20"/>
        <v/>
      </c>
    </row>
    <row r="162" spans="1:39">
      <c r="A162" t="str">
        <f>IF(ISBLANK(Record!A163),"",Record!A163)</f>
        <v/>
      </c>
      <c r="B162" t="str">
        <f>IF(ISBLANK(Record!B163),"",Record!B163)</f>
        <v/>
      </c>
      <c r="C162" s="227" t="str">
        <f>IF(ISBLANK(Record!C163),"",Record!C163)</f>
        <v/>
      </c>
      <c r="D162" t="str">
        <f>IF(ISBLANK(Record!D163),"",Record!D163)</f>
        <v/>
      </c>
      <c r="E162" t="str">
        <f>IF(ISBLANK(Record!E163),"",Record!E163)</f>
        <v/>
      </c>
      <c r="M162" t="str">
        <f t="shared" si="14"/>
        <v xml:space="preserve">          </v>
      </c>
      <c r="N162" s="227" t="str">
        <f t="shared" si="15"/>
        <v/>
      </c>
      <c r="X162" t="str">
        <f t="shared" si="16"/>
        <v xml:space="preserve">          </v>
      </c>
      <c r="Y162" s="227" t="str">
        <f t="shared" si="17"/>
        <v/>
      </c>
      <c r="Z162" t="str">
        <f t="shared" si="18"/>
        <v/>
      </c>
      <c r="AL162" t="str">
        <f t="shared" si="19"/>
        <v/>
      </c>
      <c r="AM162" t="str">
        <f t="shared" si="20"/>
        <v/>
      </c>
    </row>
    <row r="163" spans="1:39">
      <c r="A163" t="str">
        <f>IF(ISBLANK(Record!A164),"",Record!A164)</f>
        <v/>
      </c>
      <c r="B163" t="str">
        <f>IF(ISBLANK(Record!B164),"",Record!B164)</f>
        <v/>
      </c>
      <c r="C163" s="227" t="str">
        <f>IF(ISBLANK(Record!C164),"",Record!C164)</f>
        <v/>
      </c>
      <c r="D163" t="str">
        <f>IF(ISBLANK(Record!D164),"",Record!D164)</f>
        <v/>
      </c>
      <c r="E163" t="str">
        <f>IF(ISBLANK(Record!E164),"",Record!E164)</f>
        <v/>
      </c>
      <c r="M163" t="str">
        <f t="shared" si="14"/>
        <v xml:space="preserve">          </v>
      </c>
      <c r="N163" s="227" t="str">
        <f t="shared" si="15"/>
        <v/>
      </c>
      <c r="X163" t="str">
        <f t="shared" si="16"/>
        <v xml:space="preserve">          </v>
      </c>
      <c r="Y163" s="227" t="str">
        <f t="shared" si="17"/>
        <v/>
      </c>
      <c r="Z163" t="str">
        <f t="shared" si="18"/>
        <v/>
      </c>
      <c r="AL163" t="str">
        <f t="shared" si="19"/>
        <v/>
      </c>
      <c r="AM163" t="str">
        <f t="shared" si="20"/>
        <v/>
      </c>
    </row>
    <row r="164" spans="1:39">
      <c r="A164" t="str">
        <f>IF(ISBLANK(Record!A165),"",Record!A165)</f>
        <v/>
      </c>
      <c r="B164" t="str">
        <f>IF(ISBLANK(Record!B165),"",Record!B165)</f>
        <v/>
      </c>
      <c r="C164" s="227" t="str">
        <f>IF(ISBLANK(Record!C165),"",Record!C165)</f>
        <v/>
      </c>
      <c r="D164" t="str">
        <f>IF(ISBLANK(Record!D165),"",Record!D165)</f>
        <v/>
      </c>
      <c r="E164" t="str">
        <f>IF(ISBLANK(Record!E165),"",Record!E165)</f>
        <v/>
      </c>
      <c r="M164" t="str">
        <f t="shared" si="14"/>
        <v xml:space="preserve">          </v>
      </c>
      <c r="N164" s="227" t="str">
        <f t="shared" si="15"/>
        <v/>
      </c>
      <c r="X164" t="str">
        <f t="shared" si="16"/>
        <v xml:space="preserve">          </v>
      </c>
      <c r="Y164" s="227" t="str">
        <f t="shared" si="17"/>
        <v/>
      </c>
      <c r="Z164" t="str">
        <f t="shared" si="18"/>
        <v/>
      </c>
      <c r="AL164" t="str">
        <f t="shared" si="19"/>
        <v/>
      </c>
      <c r="AM164" t="str">
        <f t="shared" si="20"/>
        <v/>
      </c>
    </row>
    <row r="165" spans="1:39">
      <c r="A165" t="str">
        <f>IF(ISBLANK(Record!A166),"",Record!A166)</f>
        <v/>
      </c>
      <c r="B165" t="str">
        <f>IF(ISBLANK(Record!B166),"",Record!B166)</f>
        <v/>
      </c>
      <c r="C165" s="227" t="str">
        <f>IF(ISBLANK(Record!C166),"",Record!C166)</f>
        <v/>
      </c>
      <c r="D165" t="str">
        <f>IF(ISBLANK(Record!D166),"",Record!D166)</f>
        <v/>
      </c>
      <c r="E165" t="str">
        <f>IF(ISBLANK(Record!E166),"",Record!E166)</f>
        <v/>
      </c>
      <c r="M165" t="str">
        <f t="shared" si="14"/>
        <v xml:space="preserve">          </v>
      </c>
      <c r="N165" s="227" t="str">
        <f t="shared" si="15"/>
        <v/>
      </c>
      <c r="X165" t="str">
        <f t="shared" si="16"/>
        <v xml:space="preserve">          </v>
      </c>
      <c r="Y165" s="227" t="str">
        <f t="shared" si="17"/>
        <v/>
      </c>
      <c r="Z165" t="str">
        <f t="shared" si="18"/>
        <v/>
      </c>
      <c r="AL165" t="str">
        <f t="shared" si="19"/>
        <v/>
      </c>
      <c r="AM165" t="str">
        <f t="shared" si="20"/>
        <v/>
      </c>
    </row>
    <row r="166" spans="1:39">
      <c r="A166" t="str">
        <f>IF(ISBLANK(Record!A167),"",Record!A167)</f>
        <v/>
      </c>
      <c r="B166" t="str">
        <f>IF(ISBLANK(Record!B167),"",Record!B167)</f>
        <v/>
      </c>
      <c r="C166" s="227" t="str">
        <f>IF(ISBLANK(Record!C167),"",Record!C167)</f>
        <v/>
      </c>
      <c r="D166" t="str">
        <f>IF(ISBLANK(Record!D167),"",Record!D167)</f>
        <v/>
      </c>
      <c r="E166" t="str">
        <f>IF(ISBLANK(Record!E167),"",Record!E167)</f>
        <v/>
      </c>
      <c r="M166" t="str">
        <f t="shared" si="14"/>
        <v xml:space="preserve">          </v>
      </c>
      <c r="N166" s="227" t="str">
        <f t="shared" si="15"/>
        <v/>
      </c>
      <c r="X166" t="str">
        <f t="shared" si="16"/>
        <v xml:space="preserve">          </v>
      </c>
      <c r="Y166" s="227" t="str">
        <f t="shared" si="17"/>
        <v/>
      </c>
      <c r="Z166" t="str">
        <f t="shared" si="18"/>
        <v/>
      </c>
      <c r="AL166" t="str">
        <f t="shared" si="19"/>
        <v/>
      </c>
      <c r="AM166" t="str">
        <f t="shared" si="20"/>
        <v/>
      </c>
    </row>
    <row r="167" spans="1:39">
      <c r="A167" t="str">
        <f>IF(ISBLANK(Record!A168),"",Record!A168)</f>
        <v/>
      </c>
      <c r="B167" t="str">
        <f>IF(ISBLANK(Record!B168),"",Record!B168)</f>
        <v/>
      </c>
      <c r="C167" s="227" t="str">
        <f>IF(ISBLANK(Record!C168),"",Record!C168)</f>
        <v/>
      </c>
      <c r="D167" t="str">
        <f>IF(ISBLANK(Record!D168),"",Record!D168)</f>
        <v/>
      </c>
      <c r="E167" t="str">
        <f>IF(ISBLANK(Record!E168),"",Record!E168)</f>
        <v/>
      </c>
      <c r="M167" t="str">
        <f t="shared" si="14"/>
        <v xml:space="preserve">          </v>
      </c>
      <c r="N167" s="227" t="str">
        <f t="shared" si="15"/>
        <v/>
      </c>
      <c r="X167" t="str">
        <f t="shared" si="16"/>
        <v xml:space="preserve">          </v>
      </c>
      <c r="Y167" s="227" t="str">
        <f t="shared" si="17"/>
        <v/>
      </c>
      <c r="Z167" t="str">
        <f t="shared" si="18"/>
        <v/>
      </c>
      <c r="AL167" t="str">
        <f t="shared" si="19"/>
        <v/>
      </c>
      <c r="AM167" t="str">
        <f t="shared" si="20"/>
        <v/>
      </c>
    </row>
    <row r="168" spans="1:39">
      <c r="A168" t="str">
        <f>IF(ISBLANK(Record!A169),"",Record!A169)</f>
        <v/>
      </c>
      <c r="B168" t="str">
        <f>IF(ISBLANK(Record!B169),"",Record!B169)</f>
        <v/>
      </c>
      <c r="C168" s="227" t="str">
        <f>IF(ISBLANK(Record!C169),"",Record!C169)</f>
        <v/>
      </c>
      <c r="D168" t="str">
        <f>IF(ISBLANK(Record!D169),"",Record!D169)</f>
        <v/>
      </c>
      <c r="E168" t="str">
        <f>IF(ISBLANK(Record!E169),"",Record!E169)</f>
        <v/>
      </c>
      <c r="M168" t="str">
        <f t="shared" si="14"/>
        <v xml:space="preserve">          </v>
      </c>
      <c r="N168" s="227" t="str">
        <f t="shared" si="15"/>
        <v/>
      </c>
      <c r="X168" t="str">
        <f t="shared" si="16"/>
        <v xml:space="preserve">          </v>
      </c>
      <c r="Y168" s="227" t="str">
        <f t="shared" si="17"/>
        <v/>
      </c>
      <c r="Z168" t="str">
        <f t="shared" si="18"/>
        <v/>
      </c>
      <c r="AL168" t="str">
        <f t="shared" si="19"/>
        <v/>
      </c>
      <c r="AM168" t="str">
        <f t="shared" si="20"/>
        <v/>
      </c>
    </row>
    <row r="169" spans="1:39">
      <c r="A169" t="str">
        <f>IF(ISBLANK(Record!A170),"",Record!A170)</f>
        <v/>
      </c>
      <c r="B169" t="str">
        <f>IF(ISBLANK(Record!B170),"",Record!B170)</f>
        <v/>
      </c>
      <c r="C169" s="227" t="str">
        <f>IF(ISBLANK(Record!C170),"",Record!C170)</f>
        <v/>
      </c>
      <c r="D169" t="str">
        <f>IF(ISBLANK(Record!D170),"",Record!D170)</f>
        <v/>
      </c>
      <c r="E169" t="str">
        <f>IF(ISBLANK(Record!E170),"",Record!E170)</f>
        <v/>
      </c>
      <c r="M169" t="str">
        <f t="shared" si="14"/>
        <v xml:space="preserve">          </v>
      </c>
      <c r="N169" s="227" t="str">
        <f t="shared" si="15"/>
        <v/>
      </c>
      <c r="X169" t="str">
        <f t="shared" si="16"/>
        <v xml:space="preserve">          </v>
      </c>
      <c r="Y169" s="227" t="str">
        <f t="shared" si="17"/>
        <v/>
      </c>
      <c r="Z169" t="str">
        <f t="shared" si="18"/>
        <v/>
      </c>
      <c r="AL169" t="str">
        <f t="shared" si="19"/>
        <v/>
      </c>
      <c r="AM169" t="str">
        <f t="shared" si="20"/>
        <v/>
      </c>
    </row>
    <row r="170" spans="1:39">
      <c r="A170" t="str">
        <f>IF(ISBLANK(Record!A171),"",Record!A171)</f>
        <v/>
      </c>
      <c r="B170" t="str">
        <f>IF(ISBLANK(Record!B171),"",Record!B171)</f>
        <v/>
      </c>
      <c r="C170" s="227" t="str">
        <f>IF(ISBLANK(Record!C171),"",Record!C171)</f>
        <v/>
      </c>
      <c r="D170" t="str">
        <f>IF(ISBLANK(Record!D171),"",Record!D171)</f>
        <v/>
      </c>
      <c r="E170" t="str">
        <f>IF(ISBLANK(Record!E171),"",Record!E171)</f>
        <v/>
      </c>
      <c r="M170" t="str">
        <f t="shared" si="14"/>
        <v xml:space="preserve">          </v>
      </c>
      <c r="N170" s="227" t="str">
        <f t="shared" si="15"/>
        <v/>
      </c>
      <c r="X170" t="str">
        <f t="shared" si="16"/>
        <v xml:space="preserve">          </v>
      </c>
      <c r="Y170" s="227" t="str">
        <f t="shared" si="17"/>
        <v/>
      </c>
      <c r="Z170" t="str">
        <f t="shared" si="18"/>
        <v/>
      </c>
      <c r="AL170" t="str">
        <f t="shared" si="19"/>
        <v/>
      </c>
      <c r="AM170" t="str">
        <f t="shared" si="20"/>
        <v/>
      </c>
    </row>
    <row r="171" spans="1:39">
      <c r="A171" t="str">
        <f>IF(ISBLANK(Record!A172),"",Record!A172)</f>
        <v/>
      </c>
      <c r="B171" t="str">
        <f>IF(ISBLANK(Record!B172),"",Record!B172)</f>
        <v/>
      </c>
      <c r="C171" s="227" t="str">
        <f>IF(ISBLANK(Record!C172),"",Record!C172)</f>
        <v/>
      </c>
      <c r="D171" t="str">
        <f>IF(ISBLANK(Record!D172),"",Record!D172)</f>
        <v/>
      </c>
      <c r="E171" t="str">
        <f>IF(ISBLANK(Record!E172),"",Record!E172)</f>
        <v/>
      </c>
      <c r="M171" t="str">
        <f t="shared" si="14"/>
        <v xml:space="preserve">          </v>
      </c>
      <c r="N171" s="227" t="str">
        <f t="shared" si="15"/>
        <v/>
      </c>
      <c r="X171" t="str">
        <f t="shared" si="16"/>
        <v xml:space="preserve">          </v>
      </c>
      <c r="Y171" s="227" t="str">
        <f t="shared" si="17"/>
        <v/>
      </c>
      <c r="Z171" t="str">
        <f t="shared" si="18"/>
        <v/>
      </c>
      <c r="AL171" t="str">
        <f t="shared" si="19"/>
        <v/>
      </c>
      <c r="AM171" t="str">
        <f t="shared" si="20"/>
        <v/>
      </c>
    </row>
    <row r="172" spans="1:39">
      <c r="A172" t="str">
        <f>IF(ISBLANK(Record!A173),"",Record!A173)</f>
        <v/>
      </c>
      <c r="B172" t="str">
        <f>IF(ISBLANK(Record!B173),"",Record!B173)</f>
        <v/>
      </c>
      <c r="C172" s="227" t="str">
        <f>IF(ISBLANK(Record!C173),"",Record!C173)</f>
        <v/>
      </c>
      <c r="D172" t="str">
        <f>IF(ISBLANK(Record!D173),"",Record!D173)</f>
        <v/>
      </c>
      <c r="E172" t="str">
        <f>IF(ISBLANK(Record!E173),"",Record!E173)</f>
        <v/>
      </c>
      <c r="M172" t="str">
        <f t="shared" si="14"/>
        <v xml:space="preserve">          </v>
      </c>
      <c r="N172" s="227" t="str">
        <f t="shared" si="15"/>
        <v/>
      </c>
      <c r="X172" t="str">
        <f t="shared" si="16"/>
        <v xml:space="preserve">          </v>
      </c>
      <c r="Y172" s="227" t="str">
        <f t="shared" si="17"/>
        <v/>
      </c>
      <c r="Z172" t="str">
        <f t="shared" si="18"/>
        <v/>
      </c>
      <c r="AL172" t="str">
        <f t="shared" si="19"/>
        <v/>
      </c>
      <c r="AM172" t="str">
        <f t="shared" si="20"/>
        <v/>
      </c>
    </row>
    <row r="173" spans="1:39">
      <c r="A173" t="str">
        <f>IF(ISBLANK(Record!A174),"",Record!A174)</f>
        <v/>
      </c>
      <c r="B173" t="str">
        <f>IF(ISBLANK(Record!B174),"",Record!B174)</f>
        <v/>
      </c>
      <c r="C173" s="227" t="str">
        <f>IF(ISBLANK(Record!C174),"",Record!C174)</f>
        <v/>
      </c>
      <c r="D173" t="str">
        <f>IF(ISBLANK(Record!D174),"",Record!D174)</f>
        <v/>
      </c>
      <c r="E173" t="str">
        <f>IF(ISBLANK(Record!E174),"",Record!E174)</f>
        <v/>
      </c>
      <c r="M173" t="str">
        <f t="shared" si="14"/>
        <v xml:space="preserve">          </v>
      </c>
      <c r="N173" s="227" t="str">
        <f t="shared" si="15"/>
        <v/>
      </c>
      <c r="X173" t="str">
        <f t="shared" si="16"/>
        <v xml:space="preserve">          </v>
      </c>
      <c r="Y173" s="227" t="str">
        <f t="shared" si="17"/>
        <v/>
      </c>
      <c r="Z173" t="str">
        <f t="shared" si="18"/>
        <v/>
      </c>
      <c r="AL173" t="str">
        <f t="shared" si="19"/>
        <v/>
      </c>
      <c r="AM173" t="str">
        <f t="shared" si="20"/>
        <v/>
      </c>
    </row>
    <row r="174" spans="1:39">
      <c r="A174" t="str">
        <f>IF(ISBLANK(Record!A175),"",Record!A175)</f>
        <v/>
      </c>
      <c r="B174" t="str">
        <f>IF(ISBLANK(Record!B175),"",Record!B175)</f>
        <v/>
      </c>
      <c r="C174" s="227" t="str">
        <f>IF(ISBLANK(Record!C175),"",Record!C175)</f>
        <v/>
      </c>
      <c r="D174" t="str">
        <f>IF(ISBLANK(Record!D175),"",Record!D175)</f>
        <v/>
      </c>
      <c r="E174" t="str">
        <f>IF(ISBLANK(Record!E175),"",Record!E175)</f>
        <v/>
      </c>
      <c r="M174" t="str">
        <f t="shared" si="14"/>
        <v xml:space="preserve">          </v>
      </c>
      <c r="N174" s="227" t="str">
        <f t="shared" si="15"/>
        <v/>
      </c>
      <c r="X174" t="str">
        <f t="shared" si="16"/>
        <v xml:space="preserve">          </v>
      </c>
      <c r="Y174" s="227" t="str">
        <f t="shared" si="17"/>
        <v/>
      </c>
      <c r="Z174" t="str">
        <f t="shared" si="18"/>
        <v/>
      </c>
      <c r="AL174" t="str">
        <f t="shared" si="19"/>
        <v/>
      </c>
      <c r="AM174" t="str">
        <f t="shared" si="20"/>
        <v/>
      </c>
    </row>
    <row r="175" spans="1:39">
      <c r="A175" t="str">
        <f>IF(ISBLANK(Record!A176),"",Record!A176)</f>
        <v/>
      </c>
      <c r="B175" t="str">
        <f>IF(ISBLANK(Record!B176),"",Record!B176)</f>
        <v/>
      </c>
      <c r="C175" s="227" t="str">
        <f>IF(ISBLANK(Record!C176),"",Record!C176)</f>
        <v/>
      </c>
      <c r="D175" t="str">
        <f>IF(ISBLANK(Record!D176),"",Record!D176)</f>
        <v/>
      </c>
      <c r="E175" t="str">
        <f>IF(ISBLANK(Record!E176),"",Record!E176)</f>
        <v/>
      </c>
      <c r="M175" t="str">
        <f t="shared" si="14"/>
        <v xml:space="preserve">          </v>
      </c>
      <c r="N175" s="227" t="str">
        <f t="shared" si="15"/>
        <v/>
      </c>
      <c r="X175" t="str">
        <f t="shared" si="16"/>
        <v xml:space="preserve">          </v>
      </c>
      <c r="Y175" s="227" t="str">
        <f t="shared" si="17"/>
        <v/>
      </c>
      <c r="Z175" t="str">
        <f t="shared" si="18"/>
        <v/>
      </c>
      <c r="AL175" t="str">
        <f t="shared" si="19"/>
        <v/>
      </c>
      <c r="AM175" t="str">
        <f t="shared" si="20"/>
        <v/>
      </c>
    </row>
    <row r="176" spans="1:39">
      <c r="A176" t="str">
        <f>IF(ISBLANK(Record!A177),"",Record!A177)</f>
        <v/>
      </c>
      <c r="B176" t="str">
        <f>IF(ISBLANK(Record!B177),"",Record!B177)</f>
        <v/>
      </c>
      <c r="C176" s="227" t="str">
        <f>IF(ISBLANK(Record!C177),"",Record!C177)</f>
        <v/>
      </c>
      <c r="D176" t="str">
        <f>IF(ISBLANK(Record!D177),"",Record!D177)</f>
        <v/>
      </c>
      <c r="E176" t="str">
        <f>IF(ISBLANK(Record!E177),"",Record!E177)</f>
        <v/>
      </c>
      <c r="M176" t="str">
        <f t="shared" si="14"/>
        <v xml:space="preserve">          </v>
      </c>
      <c r="N176" s="227" t="str">
        <f t="shared" si="15"/>
        <v/>
      </c>
      <c r="X176" t="str">
        <f t="shared" si="16"/>
        <v xml:space="preserve">          </v>
      </c>
      <c r="Y176" s="227" t="str">
        <f t="shared" si="17"/>
        <v/>
      </c>
      <c r="Z176" t="str">
        <f t="shared" si="18"/>
        <v/>
      </c>
      <c r="AL176" t="str">
        <f t="shared" si="19"/>
        <v/>
      </c>
      <c r="AM176" t="str">
        <f t="shared" si="20"/>
        <v/>
      </c>
    </row>
    <row r="177" spans="1:39">
      <c r="A177" t="str">
        <f>IF(ISBLANK(Record!A178),"",Record!A178)</f>
        <v/>
      </c>
      <c r="B177" t="str">
        <f>IF(ISBLANK(Record!B178),"",Record!B178)</f>
        <v/>
      </c>
      <c r="C177" s="227" t="str">
        <f>IF(ISBLANK(Record!C178),"",Record!C178)</f>
        <v/>
      </c>
      <c r="D177" t="str">
        <f>IF(ISBLANK(Record!D178),"",Record!D178)</f>
        <v/>
      </c>
      <c r="E177" t="str">
        <f>IF(ISBLANK(Record!E178),"",Record!E178)</f>
        <v/>
      </c>
      <c r="M177" t="str">
        <f t="shared" si="14"/>
        <v xml:space="preserve">          </v>
      </c>
      <c r="N177" s="227" t="str">
        <f t="shared" si="15"/>
        <v/>
      </c>
      <c r="X177" t="str">
        <f t="shared" si="16"/>
        <v xml:space="preserve">          </v>
      </c>
      <c r="Y177" s="227" t="str">
        <f t="shared" si="17"/>
        <v/>
      </c>
      <c r="Z177" t="str">
        <f t="shared" si="18"/>
        <v/>
      </c>
      <c r="AL177" t="str">
        <f t="shared" si="19"/>
        <v/>
      </c>
      <c r="AM177" t="str">
        <f t="shared" si="20"/>
        <v/>
      </c>
    </row>
    <row r="178" spans="1:39">
      <c r="A178" t="str">
        <f>IF(ISBLANK(Record!A179),"",Record!A179)</f>
        <v/>
      </c>
      <c r="B178" t="str">
        <f>IF(ISBLANK(Record!B179),"",Record!B179)</f>
        <v/>
      </c>
      <c r="C178" s="227" t="str">
        <f>IF(ISBLANK(Record!C179),"",Record!C179)</f>
        <v/>
      </c>
      <c r="D178" t="str">
        <f>IF(ISBLANK(Record!D179),"",Record!D179)</f>
        <v/>
      </c>
      <c r="E178" t="str">
        <f>IF(ISBLANK(Record!E179),"",Record!E179)</f>
        <v/>
      </c>
      <c r="M178" t="str">
        <f t="shared" si="14"/>
        <v xml:space="preserve">          </v>
      </c>
      <c r="N178" s="227" t="str">
        <f t="shared" si="15"/>
        <v/>
      </c>
      <c r="X178" t="str">
        <f t="shared" si="16"/>
        <v xml:space="preserve">          </v>
      </c>
      <c r="Y178" s="227" t="str">
        <f t="shared" si="17"/>
        <v/>
      </c>
      <c r="Z178" t="str">
        <f t="shared" si="18"/>
        <v/>
      </c>
      <c r="AL178" t="str">
        <f t="shared" si="19"/>
        <v/>
      </c>
      <c r="AM178" t="str">
        <f t="shared" si="20"/>
        <v/>
      </c>
    </row>
    <row r="179" spans="1:39">
      <c r="A179" t="str">
        <f>IF(ISBLANK(Record!A180),"",Record!A180)</f>
        <v/>
      </c>
      <c r="B179" t="str">
        <f>IF(ISBLANK(Record!B180),"",Record!B180)</f>
        <v/>
      </c>
      <c r="C179" s="227" t="str">
        <f>IF(ISBLANK(Record!C180),"",Record!C180)</f>
        <v/>
      </c>
      <c r="D179" t="str">
        <f>IF(ISBLANK(Record!D180),"",Record!D180)</f>
        <v/>
      </c>
      <c r="E179" t="str">
        <f>IF(ISBLANK(Record!E180),"",Record!E180)</f>
        <v/>
      </c>
      <c r="M179" t="str">
        <f t="shared" si="14"/>
        <v xml:space="preserve">          </v>
      </c>
      <c r="N179" s="227" t="str">
        <f t="shared" si="15"/>
        <v/>
      </c>
      <c r="X179" t="str">
        <f t="shared" si="16"/>
        <v xml:space="preserve">          </v>
      </c>
      <c r="Y179" s="227" t="str">
        <f t="shared" si="17"/>
        <v/>
      </c>
      <c r="Z179" t="str">
        <f t="shared" si="18"/>
        <v/>
      </c>
      <c r="AL179" t="str">
        <f t="shared" si="19"/>
        <v/>
      </c>
      <c r="AM179" t="str">
        <f t="shared" si="20"/>
        <v/>
      </c>
    </row>
    <row r="180" spans="1:39">
      <c r="A180" t="str">
        <f>IF(ISBLANK(Record!A181),"",Record!A181)</f>
        <v/>
      </c>
      <c r="B180" t="str">
        <f>IF(ISBLANK(Record!B181),"",Record!B181)</f>
        <v/>
      </c>
      <c r="C180" s="227" t="str">
        <f>IF(ISBLANK(Record!C181),"",Record!C181)</f>
        <v/>
      </c>
      <c r="D180" t="str">
        <f>IF(ISBLANK(Record!D181),"",Record!D181)</f>
        <v/>
      </c>
      <c r="E180" t="str">
        <f>IF(ISBLANK(Record!E181),"",Record!E181)</f>
        <v/>
      </c>
      <c r="M180" t="str">
        <f t="shared" si="14"/>
        <v xml:space="preserve">          </v>
      </c>
      <c r="N180" s="227" t="str">
        <f t="shared" si="15"/>
        <v/>
      </c>
      <c r="X180" t="str">
        <f t="shared" si="16"/>
        <v xml:space="preserve">          </v>
      </c>
      <c r="Y180" s="227" t="str">
        <f t="shared" si="17"/>
        <v/>
      </c>
      <c r="Z180" t="str">
        <f t="shared" si="18"/>
        <v/>
      </c>
      <c r="AL180" t="str">
        <f t="shared" si="19"/>
        <v/>
      </c>
      <c r="AM180" t="str">
        <f t="shared" si="20"/>
        <v/>
      </c>
    </row>
    <row r="181" spans="1:39">
      <c r="A181" t="str">
        <f>IF(ISBLANK(Record!A182),"",Record!A182)</f>
        <v/>
      </c>
      <c r="B181" t="str">
        <f>IF(ISBLANK(Record!B182),"",Record!B182)</f>
        <v/>
      </c>
      <c r="C181" s="227" t="str">
        <f>IF(ISBLANK(Record!C182),"",Record!C182)</f>
        <v/>
      </c>
      <c r="D181" t="str">
        <f>IF(ISBLANK(Record!D182),"",Record!D182)</f>
        <v/>
      </c>
      <c r="E181" t="str">
        <f>IF(ISBLANK(Record!E182),"",Record!E182)</f>
        <v/>
      </c>
      <c r="M181" t="str">
        <f t="shared" si="14"/>
        <v xml:space="preserve">          </v>
      </c>
      <c r="N181" s="227" t="str">
        <f t="shared" si="15"/>
        <v/>
      </c>
      <c r="X181" t="str">
        <f t="shared" si="16"/>
        <v xml:space="preserve">          </v>
      </c>
      <c r="Y181" s="227" t="str">
        <f t="shared" si="17"/>
        <v/>
      </c>
      <c r="Z181" t="str">
        <f t="shared" si="18"/>
        <v/>
      </c>
      <c r="AL181" t="str">
        <f t="shared" si="19"/>
        <v/>
      </c>
      <c r="AM181" t="str">
        <f t="shared" si="20"/>
        <v/>
      </c>
    </row>
    <row r="182" spans="1:39">
      <c r="A182" t="str">
        <f>IF(ISBLANK(Record!A183),"",Record!A183)</f>
        <v/>
      </c>
      <c r="B182" t="str">
        <f>IF(ISBLANK(Record!B183),"",Record!B183)</f>
        <v/>
      </c>
      <c r="C182" s="227" t="str">
        <f>IF(ISBLANK(Record!C183),"",Record!C183)</f>
        <v/>
      </c>
      <c r="D182" t="str">
        <f>IF(ISBLANK(Record!D183),"",Record!D183)</f>
        <v/>
      </c>
      <c r="E182" t="str">
        <f>IF(ISBLANK(Record!E183),"",Record!E183)</f>
        <v/>
      </c>
      <c r="M182" t="str">
        <f t="shared" si="14"/>
        <v xml:space="preserve">          </v>
      </c>
      <c r="N182" s="227" t="str">
        <f t="shared" si="15"/>
        <v/>
      </c>
      <c r="X182" t="str">
        <f t="shared" si="16"/>
        <v xml:space="preserve">          </v>
      </c>
      <c r="Y182" s="227" t="str">
        <f t="shared" si="17"/>
        <v/>
      </c>
      <c r="Z182" t="str">
        <f t="shared" si="18"/>
        <v/>
      </c>
      <c r="AL182" t="str">
        <f t="shared" si="19"/>
        <v/>
      </c>
      <c r="AM182" t="str">
        <f t="shared" si="20"/>
        <v/>
      </c>
    </row>
    <row r="183" spans="1:39">
      <c r="A183" t="str">
        <f>IF(ISBLANK(Record!A184),"",Record!A184)</f>
        <v/>
      </c>
      <c r="B183" t="str">
        <f>IF(ISBLANK(Record!B184),"",Record!B184)</f>
        <v/>
      </c>
      <c r="C183" s="227" t="str">
        <f>IF(ISBLANK(Record!C184),"",Record!C184)</f>
        <v/>
      </c>
      <c r="D183" t="str">
        <f>IF(ISBLANK(Record!D184),"",Record!D184)</f>
        <v/>
      </c>
      <c r="E183" t="str">
        <f>IF(ISBLANK(Record!E184),"",Record!E184)</f>
        <v/>
      </c>
      <c r="M183" t="str">
        <f t="shared" si="14"/>
        <v xml:space="preserve">          </v>
      </c>
      <c r="N183" s="227" t="str">
        <f t="shared" si="15"/>
        <v/>
      </c>
      <c r="X183" t="str">
        <f t="shared" si="16"/>
        <v xml:space="preserve">          </v>
      </c>
      <c r="Y183" s="227" t="str">
        <f t="shared" si="17"/>
        <v/>
      </c>
      <c r="Z183" t="str">
        <f t="shared" si="18"/>
        <v/>
      </c>
      <c r="AL183" t="str">
        <f t="shared" si="19"/>
        <v/>
      </c>
      <c r="AM183" t="str">
        <f t="shared" si="20"/>
        <v/>
      </c>
    </row>
    <row r="184" spans="1:39">
      <c r="A184" t="str">
        <f>IF(ISBLANK(Record!A185),"",Record!A185)</f>
        <v/>
      </c>
      <c r="B184" t="str">
        <f>IF(ISBLANK(Record!B185),"",Record!B185)</f>
        <v/>
      </c>
      <c r="C184" s="227" t="str">
        <f>IF(ISBLANK(Record!C185),"",Record!C185)</f>
        <v/>
      </c>
      <c r="D184" t="str">
        <f>IF(ISBLANK(Record!D185),"",Record!D185)</f>
        <v/>
      </c>
      <c r="E184" t="str">
        <f>IF(ISBLANK(Record!E185),"",Record!E185)</f>
        <v/>
      </c>
      <c r="M184" t="str">
        <f t="shared" si="14"/>
        <v xml:space="preserve">          </v>
      </c>
      <c r="N184" s="227" t="str">
        <f t="shared" si="15"/>
        <v/>
      </c>
      <c r="X184" t="str">
        <f t="shared" si="16"/>
        <v xml:space="preserve">          </v>
      </c>
      <c r="Y184" s="227" t="str">
        <f t="shared" si="17"/>
        <v/>
      </c>
      <c r="Z184" t="str">
        <f t="shared" si="18"/>
        <v/>
      </c>
      <c r="AL184" t="str">
        <f t="shared" si="19"/>
        <v/>
      </c>
      <c r="AM184" t="str">
        <f t="shared" si="20"/>
        <v/>
      </c>
    </row>
    <row r="185" spans="1:39">
      <c r="A185" t="str">
        <f>IF(ISBLANK(Record!A186),"",Record!A186)</f>
        <v/>
      </c>
      <c r="B185" t="str">
        <f>IF(ISBLANK(Record!B186),"",Record!B186)</f>
        <v/>
      </c>
      <c r="C185" s="227" t="str">
        <f>IF(ISBLANK(Record!C186),"",Record!C186)</f>
        <v/>
      </c>
      <c r="D185" t="str">
        <f>IF(ISBLANK(Record!D186),"",Record!D186)</f>
        <v/>
      </c>
      <c r="E185" t="str">
        <f>IF(ISBLANK(Record!E186),"",Record!E186)</f>
        <v/>
      </c>
      <c r="M185" t="str">
        <f t="shared" si="14"/>
        <v xml:space="preserve">          </v>
      </c>
      <c r="N185" s="227" t="str">
        <f t="shared" si="15"/>
        <v/>
      </c>
      <c r="X185" t="str">
        <f t="shared" si="16"/>
        <v xml:space="preserve">          </v>
      </c>
      <c r="Y185" s="227" t="str">
        <f t="shared" si="17"/>
        <v/>
      </c>
      <c r="Z185" t="str">
        <f t="shared" si="18"/>
        <v/>
      </c>
      <c r="AL185" t="str">
        <f t="shared" si="19"/>
        <v/>
      </c>
      <c r="AM185" t="str">
        <f t="shared" si="20"/>
        <v/>
      </c>
    </row>
    <row r="186" spans="1:39">
      <c r="A186" t="str">
        <f>IF(ISBLANK(Record!A187),"",Record!A187)</f>
        <v/>
      </c>
      <c r="B186" t="str">
        <f>IF(ISBLANK(Record!B187),"",Record!B187)</f>
        <v/>
      </c>
      <c r="C186" s="227" t="str">
        <f>IF(ISBLANK(Record!C187),"",Record!C187)</f>
        <v/>
      </c>
      <c r="D186" t="str">
        <f>IF(ISBLANK(Record!D187),"",Record!D187)</f>
        <v/>
      </c>
      <c r="E186" t="str">
        <f>IF(ISBLANK(Record!E187),"",Record!E187)</f>
        <v/>
      </c>
      <c r="M186" t="str">
        <f t="shared" si="14"/>
        <v xml:space="preserve">          </v>
      </c>
      <c r="N186" s="227" t="str">
        <f t="shared" si="15"/>
        <v/>
      </c>
      <c r="X186" t="str">
        <f t="shared" si="16"/>
        <v xml:space="preserve">          </v>
      </c>
      <c r="Y186" s="227" t="str">
        <f t="shared" si="17"/>
        <v/>
      </c>
      <c r="Z186" t="str">
        <f t="shared" si="18"/>
        <v/>
      </c>
      <c r="AL186" t="str">
        <f t="shared" si="19"/>
        <v/>
      </c>
      <c r="AM186" t="str">
        <f t="shared" si="20"/>
        <v/>
      </c>
    </row>
    <row r="187" spans="1:39">
      <c r="A187" t="str">
        <f>IF(ISBLANK(Record!A188),"",Record!A188)</f>
        <v/>
      </c>
      <c r="B187" t="str">
        <f>IF(ISBLANK(Record!B188),"",Record!B188)</f>
        <v/>
      </c>
      <c r="C187" s="227" t="str">
        <f>IF(ISBLANK(Record!C188),"",Record!C188)</f>
        <v/>
      </c>
      <c r="D187" t="str">
        <f>IF(ISBLANK(Record!D188),"",Record!D188)</f>
        <v/>
      </c>
      <c r="E187" t="str">
        <f>IF(ISBLANK(Record!E188),"",Record!E188)</f>
        <v/>
      </c>
      <c r="M187" t="str">
        <f t="shared" si="14"/>
        <v xml:space="preserve">          </v>
      </c>
      <c r="N187" s="227" t="str">
        <f t="shared" si="15"/>
        <v/>
      </c>
      <c r="X187" t="str">
        <f t="shared" si="16"/>
        <v xml:space="preserve">          </v>
      </c>
      <c r="Y187" s="227" t="str">
        <f t="shared" si="17"/>
        <v/>
      </c>
      <c r="Z187" t="str">
        <f t="shared" si="18"/>
        <v/>
      </c>
      <c r="AL187" t="str">
        <f t="shared" si="19"/>
        <v/>
      </c>
      <c r="AM187" t="str">
        <f t="shared" si="20"/>
        <v/>
      </c>
    </row>
    <row r="188" spans="1:39">
      <c r="A188" t="str">
        <f>IF(ISBLANK(Record!A189),"",Record!A189)</f>
        <v/>
      </c>
      <c r="B188" t="str">
        <f>IF(ISBLANK(Record!B189),"",Record!B189)</f>
        <v/>
      </c>
      <c r="C188" s="227" t="str">
        <f>IF(ISBLANK(Record!C189),"",Record!C189)</f>
        <v/>
      </c>
      <c r="D188" t="str">
        <f>IF(ISBLANK(Record!D189),"",Record!D189)</f>
        <v/>
      </c>
      <c r="E188" t="str">
        <f>IF(ISBLANK(Record!E189),"",Record!E189)</f>
        <v/>
      </c>
      <c r="M188" t="str">
        <f t="shared" si="14"/>
        <v xml:space="preserve">          </v>
      </c>
      <c r="N188" s="227" t="str">
        <f t="shared" si="15"/>
        <v/>
      </c>
      <c r="X188" t="str">
        <f t="shared" si="16"/>
        <v xml:space="preserve">          </v>
      </c>
      <c r="Y188" s="227" t="str">
        <f t="shared" si="17"/>
        <v/>
      </c>
      <c r="Z188" t="str">
        <f t="shared" si="18"/>
        <v/>
      </c>
      <c r="AL188" t="str">
        <f t="shared" si="19"/>
        <v/>
      </c>
      <c r="AM188" t="str">
        <f t="shared" si="20"/>
        <v/>
      </c>
    </row>
    <row r="189" spans="1:39">
      <c r="A189" t="str">
        <f>IF(ISBLANK(Record!A190),"",Record!A190)</f>
        <v/>
      </c>
      <c r="B189" t="str">
        <f>IF(ISBLANK(Record!B190),"",Record!B190)</f>
        <v/>
      </c>
      <c r="C189" s="227" t="str">
        <f>IF(ISBLANK(Record!C190),"",Record!C190)</f>
        <v/>
      </c>
      <c r="D189" t="str">
        <f>IF(ISBLANK(Record!D190),"",Record!D190)</f>
        <v/>
      </c>
      <c r="E189" t="str">
        <f>IF(ISBLANK(Record!E190),"",Record!E190)</f>
        <v/>
      </c>
      <c r="M189" t="str">
        <f t="shared" si="14"/>
        <v xml:space="preserve">          </v>
      </c>
      <c r="N189" s="227" t="str">
        <f t="shared" si="15"/>
        <v/>
      </c>
      <c r="X189" t="str">
        <f t="shared" si="16"/>
        <v xml:space="preserve">          </v>
      </c>
      <c r="Y189" s="227" t="str">
        <f t="shared" si="17"/>
        <v/>
      </c>
      <c r="Z189" t="str">
        <f t="shared" si="18"/>
        <v/>
      </c>
      <c r="AL189" t="str">
        <f t="shared" si="19"/>
        <v/>
      </c>
      <c r="AM189" t="str">
        <f t="shared" si="20"/>
        <v/>
      </c>
    </row>
    <row r="190" spans="1:39">
      <c r="A190" t="str">
        <f>IF(ISBLANK(Record!A191),"",Record!A191)</f>
        <v/>
      </c>
      <c r="B190" t="str">
        <f>IF(ISBLANK(Record!B191),"",Record!B191)</f>
        <v/>
      </c>
      <c r="C190" s="227" t="str">
        <f>IF(ISBLANK(Record!C191),"",Record!C191)</f>
        <v/>
      </c>
      <c r="D190" t="str">
        <f>IF(ISBLANK(Record!D191),"",Record!D191)</f>
        <v/>
      </c>
      <c r="E190" t="str">
        <f>IF(ISBLANK(Record!E191),"",Record!E191)</f>
        <v/>
      </c>
      <c r="M190" t="str">
        <f t="shared" si="14"/>
        <v xml:space="preserve">          </v>
      </c>
      <c r="N190" s="227" t="str">
        <f t="shared" si="15"/>
        <v/>
      </c>
      <c r="X190" t="str">
        <f t="shared" si="16"/>
        <v xml:space="preserve">          </v>
      </c>
      <c r="Y190" s="227" t="str">
        <f t="shared" si="17"/>
        <v/>
      </c>
      <c r="Z190" t="str">
        <f t="shared" si="18"/>
        <v/>
      </c>
      <c r="AL190" t="str">
        <f t="shared" si="19"/>
        <v/>
      </c>
      <c r="AM190" t="str">
        <f t="shared" si="20"/>
        <v/>
      </c>
    </row>
    <row r="191" spans="1:39">
      <c r="A191" t="str">
        <f>IF(ISBLANK(Record!A192),"",Record!A192)</f>
        <v/>
      </c>
      <c r="B191" t="str">
        <f>IF(ISBLANK(Record!B192),"",Record!B192)</f>
        <v/>
      </c>
      <c r="C191" s="227" t="str">
        <f>IF(ISBLANK(Record!C192),"",Record!C192)</f>
        <v/>
      </c>
      <c r="D191" t="str">
        <f>IF(ISBLANK(Record!D192),"",Record!D192)</f>
        <v/>
      </c>
      <c r="E191" t="str">
        <f>IF(ISBLANK(Record!E192),"",Record!E192)</f>
        <v/>
      </c>
      <c r="M191" t="str">
        <f t="shared" si="14"/>
        <v xml:space="preserve">          </v>
      </c>
      <c r="N191" s="227" t="str">
        <f t="shared" si="15"/>
        <v/>
      </c>
      <c r="X191" t="str">
        <f t="shared" si="16"/>
        <v xml:space="preserve">          </v>
      </c>
      <c r="Y191" s="227" t="str">
        <f t="shared" si="17"/>
        <v/>
      </c>
      <c r="Z191" t="str">
        <f t="shared" si="18"/>
        <v/>
      </c>
      <c r="AL191" t="str">
        <f t="shared" si="19"/>
        <v/>
      </c>
      <c r="AM191" t="str">
        <f t="shared" si="20"/>
        <v/>
      </c>
    </row>
    <row r="192" spans="1:39">
      <c r="A192" t="str">
        <f>IF(ISBLANK(Record!A193),"",Record!A193)</f>
        <v/>
      </c>
      <c r="B192" t="str">
        <f>IF(ISBLANK(Record!B193),"",Record!B193)</f>
        <v/>
      </c>
      <c r="C192" s="227" t="str">
        <f>IF(ISBLANK(Record!C193),"",Record!C193)</f>
        <v/>
      </c>
      <c r="D192" t="str">
        <f>IF(ISBLANK(Record!D193),"",Record!D193)</f>
        <v/>
      </c>
      <c r="E192" t="str">
        <f>IF(ISBLANK(Record!E193),"",Record!E193)</f>
        <v/>
      </c>
      <c r="M192" t="str">
        <f t="shared" si="14"/>
        <v xml:space="preserve">          </v>
      </c>
      <c r="N192" s="227" t="str">
        <f t="shared" si="15"/>
        <v/>
      </c>
      <c r="X192" t="str">
        <f t="shared" si="16"/>
        <v xml:space="preserve">          </v>
      </c>
      <c r="Y192" s="227" t="str">
        <f t="shared" si="17"/>
        <v/>
      </c>
      <c r="Z192" t="str">
        <f t="shared" si="18"/>
        <v/>
      </c>
      <c r="AL192" t="str">
        <f t="shared" si="19"/>
        <v/>
      </c>
      <c r="AM192" t="str">
        <f t="shared" si="20"/>
        <v/>
      </c>
    </row>
    <row r="193" spans="1:39">
      <c r="A193" t="str">
        <f>IF(ISBLANK(Record!A194),"",Record!A194)</f>
        <v/>
      </c>
      <c r="B193" t="str">
        <f>IF(ISBLANK(Record!B194),"",Record!B194)</f>
        <v/>
      </c>
      <c r="C193" s="227" t="str">
        <f>IF(ISBLANK(Record!C194),"",Record!C194)</f>
        <v/>
      </c>
      <c r="D193" t="str">
        <f>IF(ISBLANK(Record!D194),"",Record!D194)</f>
        <v/>
      </c>
      <c r="E193" t="str">
        <f>IF(ISBLANK(Record!E194),"",Record!E194)</f>
        <v/>
      </c>
      <c r="M193" t="str">
        <f t="shared" si="14"/>
        <v xml:space="preserve">          </v>
      </c>
      <c r="N193" s="227" t="str">
        <f t="shared" si="15"/>
        <v/>
      </c>
      <c r="X193" t="str">
        <f t="shared" si="16"/>
        <v xml:space="preserve">          </v>
      </c>
      <c r="Y193" s="227" t="str">
        <f t="shared" si="17"/>
        <v/>
      </c>
      <c r="Z193" t="str">
        <f t="shared" si="18"/>
        <v/>
      </c>
      <c r="AL193" t="str">
        <f t="shared" si="19"/>
        <v/>
      </c>
      <c r="AM193" t="str">
        <f t="shared" si="20"/>
        <v/>
      </c>
    </row>
    <row r="194" spans="1:39">
      <c r="A194" t="str">
        <f>IF(ISBLANK(Record!A195),"",Record!A195)</f>
        <v/>
      </c>
      <c r="B194" t="str">
        <f>IF(ISBLANK(Record!B195),"",Record!B195)</f>
        <v/>
      </c>
      <c r="C194" s="227" t="str">
        <f>IF(ISBLANK(Record!C195),"",Record!C195)</f>
        <v/>
      </c>
      <c r="D194" t="str">
        <f>IF(ISBLANK(Record!D195),"",Record!D195)</f>
        <v/>
      </c>
      <c r="E194" t="str">
        <f>IF(ISBLANK(Record!E195),"",Record!E195)</f>
        <v/>
      </c>
      <c r="M194" t="str">
        <f t="shared" si="14"/>
        <v xml:space="preserve">          </v>
      </c>
      <c r="N194" s="227" t="str">
        <f t="shared" si="15"/>
        <v/>
      </c>
      <c r="X194" t="str">
        <f t="shared" si="16"/>
        <v xml:space="preserve">          </v>
      </c>
      <c r="Y194" s="227" t="str">
        <f t="shared" si="17"/>
        <v/>
      </c>
      <c r="Z194" t="str">
        <f t="shared" si="18"/>
        <v/>
      </c>
      <c r="AL194" t="str">
        <f t="shared" si="19"/>
        <v/>
      </c>
      <c r="AM194" t="str">
        <f t="shared" si="20"/>
        <v/>
      </c>
    </row>
    <row r="195" spans="1:39">
      <c r="A195" t="str">
        <f>IF(ISBLANK(Record!A196),"",Record!A196)</f>
        <v/>
      </c>
      <c r="B195" t="str">
        <f>IF(ISBLANK(Record!B196),"",Record!B196)</f>
        <v/>
      </c>
      <c r="C195" s="227" t="str">
        <f>IF(ISBLANK(Record!C196),"",Record!C196)</f>
        <v/>
      </c>
      <c r="D195" t="str">
        <f>IF(ISBLANK(Record!D196),"",Record!D196)</f>
        <v/>
      </c>
      <c r="E195" t="str">
        <f>IF(ISBLANK(Record!E196),"",Record!E196)</f>
        <v/>
      </c>
      <c r="M195" t="str">
        <f t="shared" ref="M195:M258" si="21">RIGHT("                                   " &amp; A195,10)</f>
        <v xml:space="preserve">          </v>
      </c>
      <c r="N195" s="227" t="str">
        <f t="shared" ref="N195:N258" si="22">RIGHT(C195,16)</f>
        <v/>
      </c>
      <c r="X195" t="str">
        <f t="shared" ref="X195:X258" si="23">RIGHT("                                   " &amp; A195,10)</f>
        <v xml:space="preserve">          </v>
      </c>
      <c r="Y195" s="227" t="str">
        <f t="shared" ref="Y195:Y258" si="24">RIGHT(C195,16)</f>
        <v/>
      </c>
      <c r="Z195" t="str">
        <f t="shared" ref="Z195:Z258" si="25">RIGHT(D195,8)</f>
        <v/>
      </c>
      <c r="AL195" t="str">
        <f t="shared" ref="AL195:AL258" si="26">D195</f>
        <v/>
      </c>
      <c r="AM195" t="str">
        <f t="shared" ref="AM195:AM258" si="27">IF(E195&lt;&gt;AL195,E195,E195)</f>
        <v/>
      </c>
    </row>
    <row r="196" spans="1:39">
      <c r="A196" t="str">
        <f>IF(ISBLANK(Record!A197),"",Record!A197)</f>
        <v/>
      </c>
      <c r="B196" t="str">
        <f>IF(ISBLANK(Record!B197),"",Record!B197)</f>
        <v/>
      </c>
      <c r="C196" s="227" t="str">
        <f>IF(ISBLANK(Record!C197),"",Record!C197)</f>
        <v/>
      </c>
      <c r="D196" t="str">
        <f>IF(ISBLANK(Record!D197),"",Record!D197)</f>
        <v/>
      </c>
      <c r="E196" t="str">
        <f>IF(ISBLANK(Record!E197),"",Record!E197)</f>
        <v/>
      </c>
      <c r="M196" t="str">
        <f t="shared" si="21"/>
        <v xml:space="preserve">          </v>
      </c>
      <c r="N196" s="227" t="str">
        <f t="shared" si="22"/>
        <v/>
      </c>
      <c r="X196" t="str">
        <f t="shared" si="23"/>
        <v xml:space="preserve">          </v>
      </c>
      <c r="Y196" s="227" t="str">
        <f t="shared" si="24"/>
        <v/>
      </c>
      <c r="Z196" t="str">
        <f t="shared" si="25"/>
        <v/>
      </c>
      <c r="AL196" t="str">
        <f t="shared" si="26"/>
        <v/>
      </c>
      <c r="AM196" t="str">
        <f t="shared" si="27"/>
        <v/>
      </c>
    </row>
    <row r="197" spans="1:39">
      <c r="A197" t="str">
        <f>IF(ISBLANK(Record!A198),"",Record!A198)</f>
        <v/>
      </c>
      <c r="B197" t="str">
        <f>IF(ISBLANK(Record!B198),"",Record!B198)</f>
        <v/>
      </c>
      <c r="C197" s="227" t="str">
        <f>IF(ISBLANK(Record!C198),"",Record!C198)</f>
        <v/>
      </c>
      <c r="D197" t="str">
        <f>IF(ISBLANK(Record!D198),"",Record!D198)</f>
        <v/>
      </c>
      <c r="E197" t="str">
        <f>IF(ISBLANK(Record!E198),"",Record!E198)</f>
        <v/>
      </c>
      <c r="M197" t="str">
        <f t="shared" si="21"/>
        <v xml:space="preserve">          </v>
      </c>
      <c r="N197" s="227" t="str">
        <f t="shared" si="22"/>
        <v/>
      </c>
      <c r="X197" t="str">
        <f t="shared" si="23"/>
        <v xml:space="preserve">          </v>
      </c>
      <c r="Y197" s="227" t="str">
        <f t="shared" si="24"/>
        <v/>
      </c>
      <c r="Z197" t="str">
        <f t="shared" si="25"/>
        <v/>
      </c>
      <c r="AL197" t="str">
        <f t="shared" si="26"/>
        <v/>
      </c>
      <c r="AM197" t="str">
        <f t="shared" si="27"/>
        <v/>
      </c>
    </row>
    <row r="198" spans="1:39">
      <c r="A198" t="str">
        <f>IF(ISBLANK(Record!A199),"",Record!A199)</f>
        <v/>
      </c>
      <c r="B198" t="str">
        <f>IF(ISBLANK(Record!B199),"",Record!B199)</f>
        <v/>
      </c>
      <c r="C198" s="227" t="str">
        <f>IF(ISBLANK(Record!C199),"",Record!C199)</f>
        <v/>
      </c>
      <c r="D198" t="str">
        <f>IF(ISBLANK(Record!D199),"",Record!D199)</f>
        <v/>
      </c>
      <c r="E198" t="str">
        <f>IF(ISBLANK(Record!E199),"",Record!E199)</f>
        <v/>
      </c>
      <c r="M198" t="str">
        <f t="shared" si="21"/>
        <v xml:space="preserve">          </v>
      </c>
      <c r="N198" s="227" t="str">
        <f t="shared" si="22"/>
        <v/>
      </c>
      <c r="X198" t="str">
        <f t="shared" si="23"/>
        <v xml:space="preserve">          </v>
      </c>
      <c r="Y198" s="227" t="str">
        <f t="shared" si="24"/>
        <v/>
      </c>
      <c r="Z198" t="str">
        <f t="shared" si="25"/>
        <v/>
      </c>
      <c r="AL198" t="str">
        <f t="shared" si="26"/>
        <v/>
      </c>
      <c r="AM198" t="str">
        <f t="shared" si="27"/>
        <v/>
      </c>
    </row>
    <row r="199" spans="1:39">
      <c r="A199" t="str">
        <f>IF(ISBLANK(Record!A200),"",Record!A200)</f>
        <v/>
      </c>
      <c r="B199" t="str">
        <f>IF(ISBLANK(Record!B200),"",Record!B200)</f>
        <v/>
      </c>
      <c r="C199" s="227" t="str">
        <f>IF(ISBLANK(Record!C200),"",Record!C200)</f>
        <v/>
      </c>
      <c r="D199" t="str">
        <f>IF(ISBLANK(Record!D200),"",Record!D200)</f>
        <v/>
      </c>
      <c r="E199" t="str">
        <f>IF(ISBLANK(Record!E200),"",Record!E200)</f>
        <v/>
      </c>
      <c r="M199" t="str">
        <f t="shared" si="21"/>
        <v xml:space="preserve">          </v>
      </c>
      <c r="N199" s="227" t="str">
        <f t="shared" si="22"/>
        <v/>
      </c>
      <c r="X199" t="str">
        <f t="shared" si="23"/>
        <v xml:space="preserve">          </v>
      </c>
      <c r="Y199" s="227" t="str">
        <f t="shared" si="24"/>
        <v/>
      </c>
      <c r="Z199" t="str">
        <f t="shared" si="25"/>
        <v/>
      </c>
      <c r="AL199" t="str">
        <f t="shared" si="26"/>
        <v/>
      </c>
      <c r="AM199" t="str">
        <f t="shared" si="27"/>
        <v/>
      </c>
    </row>
    <row r="200" spans="1:39">
      <c r="A200" t="str">
        <f>IF(ISBLANK(Record!A201),"",Record!A201)</f>
        <v/>
      </c>
      <c r="B200" t="str">
        <f>IF(ISBLANK(Record!B201),"",Record!B201)</f>
        <v/>
      </c>
      <c r="C200" s="227" t="str">
        <f>IF(ISBLANK(Record!C201),"",Record!C201)</f>
        <v/>
      </c>
      <c r="D200" t="str">
        <f>IF(ISBLANK(Record!D201),"",Record!D201)</f>
        <v/>
      </c>
      <c r="E200" t="str">
        <f>IF(ISBLANK(Record!E201),"",Record!E201)</f>
        <v/>
      </c>
      <c r="M200" t="str">
        <f t="shared" si="21"/>
        <v xml:space="preserve">          </v>
      </c>
      <c r="N200" s="227" t="str">
        <f t="shared" si="22"/>
        <v/>
      </c>
      <c r="X200" t="str">
        <f t="shared" si="23"/>
        <v xml:space="preserve">          </v>
      </c>
      <c r="Y200" s="227" t="str">
        <f t="shared" si="24"/>
        <v/>
      </c>
      <c r="Z200" t="str">
        <f t="shared" si="25"/>
        <v/>
      </c>
      <c r="AL200" t="str">
        <f t="shared" si="26"/>
        <v/>
      </c>
      <c r="AM200" t="str">
        <f t="shared" si="27"/>
        <v/>
      </c>
    </row>
    <row r="201" spans="1:39">
      <c r="A201" t="str">
        <f>IF(ISBLANK(Record!A202),"",Record!A202)</f>
        <v/>
      </c>
      <c r="B201" t="str">
        <f>IF(ISBLANK(Record!B202),"",Record!B202)</f>
        <v/>
      </c>
      <c r="C201" s="227" t="str">
        <f>IF(ISBLANK(Record!C202),"",Record!C202)</f>
        <v/>
      </c>
      <c r="D201" t="str">
        <f>IF(ISBLANK(Record!D202),"",Record!D202)</f>
        <v/>
      </c>
      <c r="E201" t="str">
        <f>IF(ISBLANK(Record!E202),"",Record!E202)</f>
        <v/>
      </c>
      <c r="M201" t="str">
        <f t="shared" si="21"/>
        <v xml:space="preserve">          </v>
      </c>
      <c r="N201" s="227" t="str">
        <f t="shared" si="22"/>
        <v/>
      </c>
      <c r="X201" t="str">
        <f t="shared" si="23"/>
        <v xml:space="preserve">          </v>
      </c>
      <c r="Y201" s="227" t="str">
        <f t="shared" si="24"/>
        <v/>
      </c>
      <c r="Z201" t="str">
        <f t="shared" si="25"/>
        <v/>
      </c>
      <c r="AL201" t="str">
        <f t="shared" si="26"/>
        <v/>
      </c>
      <c r="AM201" t="str">
        <f t="shared" si="27"/>
        <v/>
      </c>
    </row>
    <row r="202" spans="1:39">
      <c r="A202" t="str">
        <f>IF(ISBLANK(Record!A203),"",Record!A203)</f>
        <v/>
      </c>
      <c r="B202" t="str">
        <f>IF(ISBLANK(Record!B203),"",Record!B203)</f>
        <v/>
      </c>
      <c r="C202" s="227" t="str">
        <f>IF(ISBLANK(Record!C203),"",Record!C203)</f>
        <v/>
      </c>
      <c r="D202" t="str">
        <f>IF(ISBLANK(Record!D203),"",Record!D203)</f>
        <v/>
      </c>
      <c r="E202" t="str">
        <f>IF(ISBLANK(Record!E203),"",Record!E203)</f>
        <v/>
      </c>
      <c r="M202" t="str">
        <f t="shared" si="21"/>
        <v xml:space="preserve">          </v>
      </c>
      <c r="N202" s="227" t="str">
        <f t="shared" si="22"/>
        <v/>
      </c>
      <c r="X202" t="str">
        <f t="shared" si="23"/>
        <v xml:space="preserve">          </v>
      </c>
      <c r="Y202" s="227" t="str">
        <f t="shared" si="24"/>
        <v/>
      </c>
      <c r="Z202" t="str">
        <f t="shared" si="25"/>
        <v/>
      </c>
      <c r="AL202" t="str">
        <f t="shared" si="26"/>
        <v/>
      </c>
      <c r="AM202" t="str">
        <f t="shared" si="27"/>
        <v/>
      </c>
    </row>
    <row r="203" spans="1:39">
      <c r="A203" t="str">
        <f>IF(ISBLANK(Record!A204),"",Record!A204)</f>
        <v/>
      </c>
      <c r="B203" t="str">
        <f>IF(ISBLANK(Record!B204),"",Record!B204)</f>
        <v/>
      </c>
      <c r="C203" s="227" t="str">
        <f>IF(ISBLANK(Record!C204),"",Record!C204)</f>
        <v/>
      </c>
      <c r="D203" t="str">
        <f>IF(ISBLANK(Record!D204),"",Record!D204)</f>
        <v/>
      </c>
      <c r="E203" t="str">
        <f>IF(ISBLANK(Record!E204),"",Record!E204)</f>
        <v/>
      </c>
      <c r="M203" t="str">
        <f t="shared" si="21"/>
        <v xml:space="preserve">          </v>
      </c>
      <c r="N203" s="227" t="str">
        <f t="shared" si="22"/>
        <v/>
      </c>
      <c r="X203" t="str">
        <f t="shared" si="23"/>
        <v xml:space="preserve">          </v>
      </c>
      <c r="Y203" s="227" t="str">
        <f t="shared" si="24"/>
        <v/>
      </c>
      <c r="Z203" t="str">
        <f t="shared" si="25"/>
        <v/>
      </c>
      <c r="AL203" t="str">
        <f t="shared" si="26"/>
        <v/>
      </c>
      <c r="AM203" t="str">
        <f t="shared" si="27"/>
        <v/>
      </c>
    </row>
    <row r="204" spans="1:39">
      <c r="A204" t="str">
        <f>IF(ISBLANK(Record!A205),"",Record!A205)</f>
        <v/>
      </c>
      <c r="B204" t="str">
        <f>IF(ISBLANK(Record!B205),"",Record!B205)</f>
        <v/>
      </c>
      <c r="C204" s="227" t="str">
        <f>IF(ISBLANK(Record!C205),"",Record!C205)</f>
        <v/>
      </c>
      <c r="D204" t="str">
        <f>IF(ISBLANK(Record!D205),"",Record!D205)</f>
        <v/>
      </c>
      <c r="E204" t="str">
        <f>IF(ISBLANK(Record!E205),"",Record!E205)</f>
        <v/>
      </c>
      <c r="M204" t="str">
        <f t="shared" si="21"/>
        <v xml:space="preserve">          </v>
      </c>
      <c r="N204" s="227" t="str">
        <f t="shared" si="22"/>
        <v/>
      </c>
      <c r="X204" t="str">
        <f t="shared" si="23"/>
        <v xml:space="preserve">          </v>
      </c>
      <c r="Y204" s="227" t="str">
        <f t="shared" si="24"/>
        <v/>
      </c>
      <c r="Z204" t="str">
        <f t="shared" si="25"/>
        <v/>
      </c>
      <c r="AL204" t="str">
        <f t="shared" si="26"/>
        <v/>
      </c>
      <c r="AM204" t="str">
        <f t="shared" si="27"/>
        <v/>
      </c>
    </row>
    <row r="205" spans="1:39">
      <c r="A205" t="str">
        <f>IF(ISBLANK(Record!A206),"",Record!A206)</f>
        <v/>
      </c>
      <c r="B205" t="str">
        <f>IF(ISBLANK(Record!B206),"",Record!B206)</f>
        <v/>
      </c>
      <c r="C205" s="227" t="str">
        <f>IF(ISBLANK(Record!C206),"",Record!C206)</f>
        <v/>
      </c>
      <c r="D205" t="str">
        <f>IF(ISBLANK(Record!D206),"",Record!D206)</f>
        <v/>
      </c>
      <c r="E205" t="str">
        <f>IF(ISBLANK(Record!E206),"",Record!E206)</f>
        <v/>
      </c>
      <c r="M205" t="str">
        <f t="shared" si="21"/>
        <v xml:space="preserve">          </v>
      </c>
      <c r="N205" s="227" t="str">
        <f t="shared" si="22"/>
        <v/>
      </c>
      <c r="X205" t="str">
        <f t="shared" si="23"/>
        <v xml:space="preserve">          </v>
      </c>
      <c r="Y205" s="227" t="str">
        <f t="shared" si="24"/>
        <v/>
      </c>
      <c r="Z205" t="str">
        <f t="shared" si="25"/>
        <v/>
      </c>
      <c r="AL205" t="str">
        <f t="shared" si="26"/>
        <v/>
      </c>
      <c r="AM205" t="str">
        <f t="shared" si="27"/>
        <v/>
      </c>
    </row>
    <row r="206" spans="1:39">
      <c r="A206" t="str">
        <f>IF(ISBLANK(Record!A207),"",Record!A207)</f>
        <v/>
      </c>
      <c r="B206" t="str">
        <f>IF(ISBLANK(Record!B207),"",Record!B207)</f>
        <v/>
      </c>
      <c r="C206" s="227" t="str">
        <f>IF(ISBLANK(Record!C207),"",Record!C207)</f>
        <v/>
      </c>
      <c r="D206" t="str">
        <f>IF(ISBLANK(Record!D207),"",Record!D207)</f>
        <v/>
      </c>
      <c r="E206" t="str">
        <f>IF(ISBLANK(Record!E207),"",Record!E207)</f>
        <v/>
      </c>
      <c r="M206" t="str">
        <f t="shared" si="21"/>
        <v xml:space="preserve">          </v>
      </c>
      <c r="N206" s="227" t="str">
        <f t="shared" si="22"/>
        <v/>
      </c>
      <c r="X206" t="str">
        <f t="shared" si="23"/>
        <v xml:space="preserve">          </v>
      </c>
      <c r="Y206" s="227" t="str">
        <f t="shared" si="24"/>
        <v/>
      </c>
      <c r="Z206" t="str">
        <f t="shared" si="25"/>
        <v/>
      </c>
      <c r="AL206" t="str">
        <f t="shared" si="26"/>
        <v/>
      </c>
      <c r="AM206" t="str">
        <f t="shared" si="27"/>
        <v/>
      </c>
    </row>
    <row r="207" spans="1:39">
      <c r="A207" t="str">
        <f>IF(ISBLANK(Record!A208),"",Record!A208)</f>
        <v/>
      </c>
      <c r="B207" t="str">
        <f>IF(ISBLANK(Record!B208),"",Record!B208)</f>
        <v/>
      </c>
      <c r="C207" s="227" t="str">
        <f>IF(ISBLANK(Record!C208),"",Record!C208)</f>
        <v/>
      </c>
      <c r="D207" t="str">
        <f>IF(ISBLANK(Record!D208),"",Record!D208)</f>
        <v/>
      </c>
      <c r="E207" t="str">
        <f>IF(ISBLANK(Record!E208),"",Record!E208)</f>
        <v/>
      </c>
      <c r="M207" t="str">
        <f t="shared" si="21"/>
        <v xml:space="preserve">          </v>
      </c>
      <c r="N207" s="227" t="str">
        <f t="shared" si="22"/>
        <v/>
      </c>
      <c r="X207" t="str">
        <f t="shared" si="23"/>
        <v xml:space="preserve">          </v>
      </c>
      <c r="Y207" s="227" t="str">
        <f t="shared" si="24"/>
        <v/>
      </c>
      <c r="Z207" t="str">
        <f t="shared" si="25"/>
        <v/>
      </c>
      <c r="AL207" t="str">
        <f t="shared" si="26"/>
        <v/>
      </c>
      <c r="AM207" t="str">
        <f t="shared" si="27"/>
        <v/>
      </c>
    </row>
    <row r="208" spans="1:39">
      <c r="A208" t="str">
        <f>IF(ISBLANK(Record!A209),"",Record!A209)</f>
        <v/>
      </c>
      <c r="B208" t="str">
        <f>IF(ISBLANK(Record!B209),"",Record!B209)</f>
        <v/>
      </c>
      <c r="C208" s="227" t="str">
        <f>IF(ISBLANK(Record!C209),"",Record!C209)</f>
        <v/>
      </c>
      <c r="D208" t="str">
        <f>IF(ISBLANK(Record!D209),"",Record!D209)</f>
        <v/>
      </c>
      <c r="E208" t="str">
        <f>IF(ISBLANK(Record!E209),"",Record!E209)</f>
        <v/>
      </c>
      <c r="M208" t="str">
        <f t="shared" si="21"/>
        <v xml:space="preserve">          </v>
      </c>
      <c r="N208" s="227" t="str">
        <f t="shared" si="22"/>
        <v/>
      </c>
      <c r="X208" t="str">
        <f t="shared" si="23"/>
        <v xml:space="preserve">          </v>
      </c>
      <c r="Y208" s="227" t="str">
        <f t="shared" si="24"/>
        <v/>
      </c>
      <c r="Z208" t="str">
        <f t="shared" si="25"/>
        <v/>
      </c>
      <c r="AL208" t="str">
        <f t="shared" si="26"/>
        <v/>
      </c>
      <c r="AM208" t="str">
        <f t="shared" si="27"/>
        <v/>
      </c>
    </row>
    <row r="209" spans="1:39">
      <c r="A209" t="str">
        <f>IF(ISBLANK(Record!A210),"",Record!A210)</f>
        <v/>
      </c>
      <c r="B209" t="str">
        <f>IF(ISBLANK(Record!B210),"",Record!B210)</f>
        <v/>
      </c>
      <c r="C209" s="227" t="str">
        <f>IF(ISBLANK(Record!C210),"",Record!C210)</f>
        <v/>
      </c>
      <c r="D209" t="str">
        <f>IF(ISBLANK(Record!D210),"",Record!D210)</f>
        <v/>
      </c>
      <c r="E209" t="str">
        <f>IF(ISBLANK(Record!E210),"",Record!E210)</f>
        <v/>
      </c>
      <c r="M209" t="str">
        <f t="shared" si="21"/>
        <v xml:space="preserve">          </v>
      </c>
      <c r="N209" s="227" t="str">
        <f t="shared" si="22"/>
        <v/>
      </c>
      <c r="X209" t="str">
        <f t="shared" si="23"/>
        <v xml:space="preserve">          </v>
      </c>
      <c r="Y209" s="227" t="str">
        <f t="shared" si="24"/>
        <v/>
      </c>
      <c r="Z209" t="str">
        <f t="shared" si="25"/>
        <v/>
      </c>
      <c r="AL209" t="str">
        <f t="shared" si="26"/>
        <v/>
      </c>
      <c r="AM209" t="str">
        <f t="shared" si="27"/>
        <v/>
      </c>
    </row>
    <row r="210" spans="1:39">
      <c r="A210" t="str">
        <f>IF(ISBLANK(Record!A211),"",Record!A211)</f>
        <v/>
      </c>
      <c r="B210" t="str">
        <f>IF(ISBLANK(Record!B211),"",Record!B211)</f>
        <v/>
      </c>
      <c r="C210" s="227" t="str">
        <f>IF(ISBLANK(Record!C211),"",Record!C211)</f>
        <v/>
      </c>
      <c r="D210" t="str">
        <f>IF(ISBLANK(Record!D211),"",Record!D211)</f>
        <v/>
      </c>
      <c r="E210" t="str">
        <f>IF(ISBLANK(Record!E211),"",Record!E211)</f>
        <v/>
      </c>
      <c r="M210" t="str">
        <f t="shared" si="21"/>
        <v xml:space="preserve">          </v>
      </c>
      <c r="N210" s="227" t="str">
        <f t="shared" si="22"/>
        <v/>
      </c>
      <c r="X210" t="str">
        <f t="shared" si="23"/>
        <v xml:space="preserve">          </v>
      </c>
      <c r="Y210" s="227" t="str">
        <f t="shared" si="24"/>
        <v/>
      </c>
      <c r="Z210" t="str">
        <f t="shared" si="25"/>
        <v/>
      </c>
      <c r="AL210" t="str">
        <f t="shared" si="26"/>
        <v/>
      </c>
      <c r="AM210" t="str">
        <f t="shared" si="27"/>
        <v/>
      </c>
    </row>
    <row r="211" spans="1:39">
      <c r="A211" t="str">
        <f>IF(ISBLANK(Record!A212),"",Record!A212)</f>
        <v/>
      </c>
      <c r="B211" t="str">
        <f>IF(ISBLANK(Record!B212),"",Record!B212)</f>
        <v/>
      </c>
      <c r="C211" s="227" t="str">
        <f>IF(ISBLANK(Record!C212),"",Record!C212)</f>
        <v/>
      </c>
      <c r="D211" t="str">
        <f>IF(ISBLANK(Record!D212),"",Record!D212)</f>
        <v/>
      </c>
      <c r="E211" t="str">
        <f>IF(ISBLANK(Record!E212),"",Record!E212)</f>
        <v/>
      </c>
      <c r="M211" t="str">
        <f t="shared" si="21"/>
        <v xml:space="preserve">          </v>
      </c>
      <c r="N211" s="227" t="str">
        <f t="shared" si="22"/>
        <v/>
      </c>
      <c r="X211" t="str">
        <f t="shared" si="23"/>
        <v xml:space="preserve">          </v>
      </c>
      <c r="Y211" s="227" t="str">
        <f t="shared" si="24"/>
        <v/>
      </c>
      <c r="Z211" t="str">
        <f t="shared" si="25"/>
        <v/>
      </c>
      <c r="AL211" t="str">
        <f t="shared" si="26"/>
        <v/>
      </c>
      <c r="AM211" t="str">
        <f t="shared" si="27"/>
        <v/>
      </c>
    </row>
    <row r="212" spans="1:39">
      <c r="A212" t="str">
        <f>IF(ISBLANK(Record!A213),"",Record!A213)</f>
        <v/>
      </c>
      <c r="B212" t="str">
        <f>IF(ISBLANK(Record!B213),"",Record!B213)</f>
        <v/>
      </c>
      <c r="C212" s="227" t="str">
        <f>IF(ISBLANK(Record!C213),"",Record!C213)</f>
        <v/>
      </c>
      <c r="D212" t="str">
        <f>IF(ISBLANK(Record!D213),"",Record!D213)</f>
        <v/>
      </c>
      <c r="E212" t="str">
        <f>IF(ISBLANK(Record!E213),"",Record!E213)</f>
        <v/>
      </c>
      <c r="M212" t="str">
        <f t="shared" si="21"/>
        <v xml:space="preserve">          </v>
      </c>
      <c r="N212" s="227" t="str">
        <f t="shared" si="22"/>
        <v/>
      </c>
      <c r="X212" t="str">
        <f t="shared" si="23"/>
        <v xml:space="preserve">          </v>
      </c>
      <c r="Y212" s="227" t="str">
        <f t="shared" si="24"/>
        <v/>
      </c>
      <c r="Z212" t="str">
        <f t="shared" si="25"/>
        <v/>
      </c>
      <c r="AL212" t="str">
        <f t="shared" si="26"/>
        <v/>
      </c>
      <c r="AM212" t="str">
        <f t="shared" si="27"/>
        <v/>
      </c>
    </row>
    <row r="213" spans="1:39">
      <c r="A213" t="str">
        <f>IF(ISBLANK(Record!A214),"",Record!A214)</f>
        <v/>
      </c>
      <c r="B213" t="str">
        <f>IF(ISBLANK(Record!B214),"",Record!B214)</f>
        <v/>
      </c>
      <c r="C213" s="227" t="str">
        <f>IF(ISBLANK(Record!C214),"",Record!C214)</f>
        <v/>
      </c>
      <c r="D213" t="str">
        <f>IF(ISBLANK(Record!D214),"",Record!D214)</f>
        <v/>
      </c>
      <c r="E213" t="str">
        <f>IF(ISBLANK(Record!E214),"",Record!E214)</f>
        <v/>
      </c>
      <c r="M213" t="str">
        <f t="shared" si="21"/>
        <v xml:space="preserve">          </v>
      </c>
      <c r="N213" s="227" t="str">
        <f t="shared" si="22"/>
        <v/>
      </c>
      <c r="X213" t="str">
        <f t="shared" si="23"/>
        <v xml:space="preserve">          </v>
      </c>
      <c r="Y213" s="227" t="str">
        <f t="shared" si="24"/>
        <v/>
      </c>
      <c r="Z213" t="str">
        <f t="shared" si="25"/>
        <v/>
      </c>
      <c r="AL213" t="str">
        <f t="shared" si="26"/>
        <v/>
      </c>
      <c r="AM213" t="str">
        <f t="shared" si="27"/>
        <v/>
      </c>
    </row>
    <row r="214" spans="1:39">
      <c r="A214" t="str">
        <f>IF(ISBLANK(Record!A215),"",Record!A215)</f>
        <v/>
      </c>
      <c r="B214" t="str">
        <f>IF(ISBLANK(Record!B215),"",Record!B215)</f>
        <v/>
      </c>
      <c r="C214" s="227" t="str">
        <f>IF(ISBLANK(Record!C215),"",Record!C215)</f>
        <v/>
      </c>
      <c r="D214" t="str">
        <f>IF(ISBLANK(Record!D215),"",Record!D215)</f>
        <v/>
      </c>
      <c r="E214" t="str">
        <f>IF(ISBLANK(Record!E215),"",Record!E215)</f>
        <v/>
      </c>
      <c r="M214" t="str">
        <f t="shared" si="21"/>
        <v xml:space="preserve">          </v>
      </c>
      <c r="N214" s="227" t="str">
        <f t="shared" si="22"/>
        <v/>
      </c>
      <c r="X214" t="str">
        <f t="shared" si="23"/>
        <v xml:space="preserve">          </v>
      </c>
      <c r="Y214" s="227" t="str">
        <f t="shared" si="24"/>
        <v/>
      </c>
      <c r="Z214" t="str">
        <f t="shared" si="25"/>
        <v/>
      </c>
      <c r="AL214" t="str">
        <f t="shared" si="26"/>
        <v/>
      </c>
      <c r="AM214" t="str">
        <f t="shared" si="27"/>
        <v/>
      </c>
    </row>
    <row r="215" spans="1:39">
      <c r="A215" t="str">
        <f>IF(ISBLANK(Record!A216),"",Record!A216)</f>
        <v/>
      </c>
      <c r="B215" t="str">
        <f>IF(ISBLANK(Record!B216),"",Record!B216)</f>
        <v/>
      </c>
      <c r="C215" s="227" t="str">
        <f>IF(ISBLANK(Record!C216),"",Record!C216)</f>
        <v/>
      </c>
      <c r="D215" t="str">
        <f>IF(ISBLANK(Record!D216),"",Record!D216)</f>
        <v/>
      </c>
      <c r="E215" t="str">
        <f>IF(ISBLANK(Record!E216),"",Record!E216)</f>
        <v/>
      </c>
      <c r="M215" t="str">
        <f t="shared" si="21"/>
        <v xml:space="preserve">          </v>
      </c>
      <c r="N215" s="227" t="str">
        <f t="shared" si="22"/>
        <v/>
      </c>
      <c r="X215" t="str">
        <f t="shared" si="23"/>
        <v xml:space="preserve">          </v>
      </c>
      <c r="Y215" s="227" t="str">
        <f t="shared" si="24"/>
        <v/>
      </c>
      <c r="Z215" t="str">
        <f t="shared" si="25"/>
        <v/>
      </c>
      <c r="AL215" t="str">
        <f t="shared" si="26"/>
        <v/>
      </c>
      <c r="AM215" t="str">
        <f t="shared" si="27"/>
        <v/>
      </c>
    </row>
    <row r="216" spans="1:39">
      <c r="A216" t="str">
        <f>IF(ISBLANK(Record!A217),"",Record!A217)</f>
        <v/>
      </c>
      <c r="B216" t="str">
        <f>IF(ISBLANK(Record!B217),"",Record!B217)</f>
        <v/>
      </c>
      <c r="C216" s="227" t="str">
        <f>IF(ISBLANK(Record!C217),"",Record!C217)</f>
        <v/>
      </c>
      <c r="D216" t="str">
        <f>IF(ISBLANK(Record!D217),"",Record!D217)</f>
        <v/>
      </c>
      <c r="E216" t="str">
        <f>IF(ISBLANK(Record!E217),"",Record!E217)</f>
        <v/>
      </c>
      <c r="M216" t="str">
        <f t="shared" si="21"/>
        <v xml:space="preserve">          </v>
      </c>
      <c r="N216" s="227" t="str">
        <f t="shared" si="22"/>
        <v/>
      </c>
      <c r="X216" t="str">
        <f t="shared" si="23"/>
        <v xml:space="preserve">          </v>
      </c>
      <c r="Y216" s="227" t="str">
        <f t="shared" si="24"/>
        <v/>
      </c>
      <c r="Z216" t="str">
        <f t="shared" si="25"/>
        <v/>
      </c>
      <c r="AL216" t="str">
        <f t="shared" si="26"/>
        <v/>
      </c>
      <c r="AM216" t="str">
        <f t="shared" si="27"/>
        <v/>
      </c>
    </row>
    <row r="217" spans="1:39">
      <c r="A217" t="str">
        <f>IF(ISBLANK(Record!A218),"",Record!A218)</f>
        <v/>
      </c>
      <c r="B217" t="str">
        <f>IF(ISBLANK(Record!B218),"",Record!B218)</f>
        <v/>
      </c>
      <c r="C217" s="227" t="str">
        <f>IF(ISBLANK(Record!C218),"",Record!C218)</f>
        <v/>
      </c>
      <c r="D217" t="str">
        <f>IF(ISBLANK(Record!D218),"",Record!D218)</f>
        <v/>
      </c>
      <c r="E217" t="str">
        <f>IF(ISBLANK(Record!E218),"",Record!E218)</f>
        <v/>
      </c>
      <c r="M217" t="str">
        <f t="shared" si="21"/>
        <v xml:space="preserve">          </v>
      </c>
      <c r="N217" s="227" t="str">
        <f t="shared" si="22"/>
        <v/>
      </c>
      <c r="X217" t="str">
        <f t="shared" si="23"/>
        <v xml:space="preserve">          </v>
      </c>
      <c r="Y217" s="227" t="str">
        <f t="shared" si="24"/>
        <v/>
      </c>
      <c r="Z217" t="str">
        <f t="shared" si="25"/>
        <v/>
      </c>
      <c r="AL217" t="str">
        <f t="shared" si="26"/>
        <v/>
      </c>
      <c r="AM217" t="str">
        <f t="shared" si="27"/>
        <v/>
      </c>
    </row>
    <row r="218" spans="1:39">
      <c r="A218" t="str">
        <f>IF(ISBLANK(Record!A219),"",Record!A219)</f>
        <v/>
      </c>
      <c r="B218" t="str">
        <f>IF(ISBLANK(Record!B219),"",Record!B219)</f>
        <v/>
      </c>
      <c r="C218" s="227" t="str">
        <f>IF(ISBLANK(Record!C219),"",Record!C219)</f>
        <v/>
      </c>
      <c r="D218" t="str">
        <f>IF(ISBLANK(Record!D219),"",Record!D219)</f>
        <v/>
      </c>
      <c r="E218" t="str">
        <f>IF(ISBLANK(Record!E219),"",Record!E219)</f>
        <v/>
      </c>
      <c r="M218" t="str">
        <f t="shared" si="21"/>
        <v xml:space="preserve">          </v>
      </c>
      <c r="N218" s="227" t="str">
        <f t="shared" si="22"/>
        <v/>
      </c>
      <c r="X218" t="str">
        <f t="shared" si="23"/>
        <v xml:space="preserve">          </v>
      </c>
      <c r="Y218" s="227" t="str">
        <f t="shared" si="24"/>
        <v/>
      </c>
      <c r="Z218" t="str">
        <f t="shared" si="25"/>
        <v/>
      </c>
      <c r="AL218" t="str">
        <f t="shared" si="26"/>
        <v/>
      </c>
      <c r="AM218" t="str">
        <f t="shared" si="27"/>
        <v/>
      </c>
    </row>
    <row r="219" spans="1:39">
      <c r="A219" t="str">
        <f>IF(ISBLANK(Record!A220),"",Record!A220)</f>
        <v/>
      </c>
      <c r="B219" t="str">
        <f>IF(ISBLANK(Record!B220),"",Record!B220)</f>
        <v/>
      </c>
      <c r="C219" s="227" t="str">
        <f>IF(ISBLANK(Record!C220),"",Record!C220)</f>
        <v/>
      </c>
      <c r="D219" t="str">
        <f>IF(ISBLANK(Record!D220),"",Record!D220)</f>
        <v/>
      </c>
      <c r="E219" t="str">
        <f>IF(ISBLANK(Record!E220),"",Record!E220)</f>
        <v/>
      </c>
      <c r="M219" t="str">
        <f t="shared" si="21"/>
        <v xml:space="preserve">          </v>
      </c>
      <c r="N219" s="227" t="str">
        <f t="shared" si="22"/>
        <v/>
      </c>
      <c r="X219" t="str">
        <f t="shared" si="23"/>
        <v xml:space="preserve">          </v>
      </c>
      <c r="Y219" s="227" t="str">
        <f t="shared" si="24"/>
        <v/>
      </c>
      <c r="Z219" t="str">
        <f t="shared" si="25"/>
        <v/>
      </c>
      <c r="AL219" t="str">
        <f t="shared" si="26"/>
        <v/>
      </c>
      <c r="AM219" t="str">
        <f t="shared" si="27"/>
        <v/>
      </c>
    </row>
    <row r="220" spans="1:39">
      <c r="A220" t="str">
        <f>IF(ISBLANK(Record!A221),"",Record!A221)</f>
        <v/>
      </c>
      <c r="B220" t="str">
        <f>IF(ISBLANK(Record!B221),"",Record!B221)</f>
        <v/>
      </c>
      <c r="C220" s="227" t="str">
        <f>IF(ISBLANK(Record!C221),"",Record!C221)</f>
        <v/>
      </c>
      <c r="D220" t="str">
        <f>IF(ISBLANK(Record!D221),"",Record!D221)</f>
        <v/>
      </c>
      <c r="E220" t="str">
        <f>IF(ISBLANK(Record!E221),"",Record!E221)</f>
        <v/>
      </c>
      <c r="M220" t="str">
        <f t="shared" si="21"/>
        <v xml:space="preserve">          </v>
      </c>
      <c r="N220" s="227" t="str">
        <f t="shared" si="22"/>
        <v/>
      </c>
      <c r="X220" t="str">
        <f t="shared" si="23"/>
        <v xml:space="preserve">          </v>
      </c>
      <c r="Y220" s="227" t="str">
        <f t="shared" si="24"/>
        <v/>
      </c>
      <c r="Z220" t="str">
        <f t="shared" si="25"/>
        <v/>
      </c>
      <c r="AL220" t="str">
        <f t="shared" si="26"/>
        <v/>
      </c>
      <c r="AM220" t="str">
        <f t="shared" si="27"/>
        <v/>
      </c>
    </row>
    <row r="221" spans="1:39">
      <c r="A221" t="str">
        <f>IF(ISBLANK(Record!A222),"",Record!A222)</f>
        <v/>
      </c>
      <c r="B221" t="str">
        <f>IF(ISBLANK(Record!B222),"",Record!B222)</f>
        <v/>
      </c>
      <c r="C221" s="227" t="str">
        <f>IF(ISBLANK(Record!C222),"",Record!C222)</f>
        <v/>
      </c>
      <c r="D221" t="str">
        <f>IF(ISBLANK(Record!D222),"",Record!D222)</f>
        <v/>
      </c>
      <c r="E221" t="str">
        <f>IF(ISBLANK(Record!E222),"",Record!E222)</f>
        <v/>
      </c>
      <c r="M221" t="str">
        <f t="shared" si="21"/>
        <v xml:space="preserve">          </v>
      </c>
      <c r="N221" s="227" t="str">
        <f t="shared" si="22"/>
        <v/>
      </c>
      <c r="X221" t="str">
        <f t="shared" si="23"/>
        <v xml:space="preserve">          </v>
      </c>
      <c r="Y221" s="227" t="str">
        <f t="shared" si="24"/>
        <v/>
      </c>
      <c r="Z221" t="str">
        <f t="shared" si="25"/>
        <v/>
      </c>
      <c r="AL221" t="str">
        <f t="shared" si="26"/>
        <v/>
      </c>
      <c r="AM221" t="str">
        <f t="shared" si="27"/>
        <v/>
      </c>
    </row>
    <row r="222" spans="1:39">
      <c r="A222" t="str">
        <f>IF(ISBLANK(Record!A223),"",Record!A223)</f>
        <v/>
      </c>
      <c r="B222" t="str">
        <f>IF(ISBLANK(Record!B223),"",Record!B223)</f>
        <v/>
      </c>
      <c r="C222" s="227" t="str">
        <f>IF(ISBLANK(Record!C223),"",Record!C223)</f>
        <v/>
      </c>
      <c r="D222" t="str">
        <f>IF(ISBLANK(Record!D223),"",Record!D223)</f>
        <v/>
      </c>
      <c r="E222" t="str">
        <f>IF(ISBLANK(Record!E223),"",Record!E223)</f>
        <v/>
      </c>
      <c r="M222" t="str">
        <f t="shared" si="21"/>
        <v xml:space="preserve">          </v>
      </c>
      <c r="N222" s="227" t="str">
        <f t="shared" si="22"/>
        <v/>
      </c>
      <c r="X222" t="str">
        <f t="shared" si="23"/>
        <v xml:space="preserve">          </v>
      </c>
      <c r="Y222" s="227" t="str">
        <f t="shared" si="24"/>
        <v/>
      </c>
      <c r="Z222" t="str">
        <f t="shared" si="25"/>
        <v/>
      </c>
      <c r="AL222" t="str">
        <f t="shared" si="26"/>
        <v/>
      </c>
      <c r="AM222" t="str">
        <f t="shared" si="27"/>
        <v/>
      </c>
    </row>
    <row r="223" spans="1:39">
      <c r="A223" t="str">
        <f>IF(ISBLANK(Record!A224),"",Record!A224)</f>
        <v/>
      </c>
      <c r="B223" t="str">
        <f>IF(ISBLANK(Record!B224),"",Record!B224)</f>
        <v/>
      </c>
      <c r="C223" s="227" t="str">
        <f>IF(ISBLANK(Record!C224),"",Record!C224)</f>
        <v/>
      </c>
      <c r="D223" t="str">
        <f>IF(ISBLANK(Record!D224),"",Record!D224)</f>
        <v/>
      </c>
      <c r="E223" t="str">
        <f>IF(ISBLANK(Record!E224),"",Record!E224)</f>
        <v/>
      </c>
      <c r="M223" t="str">
        <f t="shared" si="21"/>
        <v xml:space="preserve">          </v>
      </c>
      <c r="N223" s="227" t="str">
        <f t="shared" si="22"/>
        <v/>
      </c>
      <c r="X223" t="str">
        <f t="shared" si="23"/>
        <v xml:space="preserve">          </v>
      </c>
      <c r="Y223" s="227" t="str">
        <f t="shared" si="24"/>
        <v/>
      </c>
      <c r="Z223" t="str">
        <f t="shared" si="25"/>
        <v/>
      </c>
      <c r="AL223" t="str">
        <f t="shared" si="26"/>
        <v/>
      </c>
      <c r="AM223" t="str">
        <f t="shared" si="27"/>
        <v/>
      </c>
    </row>
    <row r="224" spans="1:39">
      <c r="A224" t="str">
        <f>IF(ISBLANK(Record!A225),"",Record!A225)</f>
        <v/>
      </c>
      <c r="B224" t="str">
        <f>IF(ISBLANK(Record!B225),"",Record!B225)</f>
        <v/>
      </c>
      <c r="C224" s="227" t="str">
        <f>IF(ISBLANK(Record!C225),"",Record!C225)</f>
        <v/>
      </c>
      <c r="D224" t="str">
        <f>IF(ISBLANK(Record!D225),"",Record!D225)</f>
        <v/>
      </c>
      <c r="E224" t="str">
        <f>IF(ISBLANK(Record!E225),"",Record!E225)</f>
        <v/>
      </c>
      <c r="M224" t="str">
        <f t="shared" si="21"/>
        <v xml:space="preserve">          </v>
      </c>
      <c r="N224" s="227" t="str">
        <f t="shared" si="22"/>
        <v/>
      </c>
      <c r="X224" t="str">
        <f t="shared" si="23"/>
        <v xml:space="preserve">          </v>
      </c>
      <c r="Y224" s="227" t="str">
        <f t="shared" si="24"/>
        <v/>
      </c>
      <c r="Z224" t="str">
        <f t="shared" si="25"/>
        <v/>
      </c>
      <c r="AL224" t="str">
        <f t="shared" si="26"/>
        <v/>
      </c>
      <c r="AM224" t="str">
        <f t="shared" si="27"/>
        <v/>
      </c>
    </row>
    <row r="225" spans="1:39">
      <c r="A225" t="str">
        <f>IF(ISBLANK(Record!A226),"",Record!A226)</f>
        <v/>
      </c>
      <c r="B225" t="str">
        <f>IF(ISBLANK(Record!B226),"",Record!B226)</f>
        <v/>
      </c>
      <c r="C225" s="227" t="str">
        <f>IF(ISBLANK(Record!C226),"",Record!C226)</f>
        <v/>
      </c>
      <c r="D225" t="str">
        <f>IF(ISBLANK(Record!D226),"",Record!D226)</f>
        <v/>
      </c>
      <c r="E225" t="str">
        <f>IF(ISBLANK(Record!E226),"",Record!E226)</f>
        <v/>
      </c>
      <c r="M225" t="str">
        <f t="shared" si="21"/>
        <v xml:space="preserve">          </v>
      </c>
      <c r="N225" s="227" t="str">
        <f t="shared" si="22"/>
        <v/>
      </c>
      <c r="X225" t="str">
        <f t="shared" si="23"/>
        <v xml:space="preserve">          </v>
      </c>
      <c r="Y225" s="227" t="str">
        <f t="shared" si="24"/>
        <v/>
      </c>
      <c r="Z225" t="str">
        <f t="shared" si="25"/>
        <v/>
      </c>
      <c r="AL225" t="str">
        <f t="shared" si="26"/>
        <v/>
      </c>
      <c r="AM225" t="str">
        <f t="shared" si="27"/>
        <v/>
      </c>
    </row>
    <row r="226" spans="1:39">
      <c r="A226" t="str">
        <f>IF(ISBLANK(Record!A227),"",Record!A227)</f>
        <v/>
      </c>
      <c r="B226" t="str">
        <f>IF(ISBLANK(Record!B227),"",Record!B227)</f>
        <v/>
      </c>
      <c r="C226" s="227" t="str">
        <f>IF(ISBLANK(Record!C227),"",Record!C227)</f>
        <v/>
      </c>
      <c r="D226" t="str">
        <f>IF(ISBLANK(Record!D227),"",Record!D227)</f>
        <v/>
      </c>
      <c r="E226" t="str">
        <f>IF(ISBLANK(Record!E227),"",Record!E227)</f>
        <v/>
      </c>
      <c r="M226" t="str">
        <f t="shared" si="21"/>
        <v xml:space="preserve">          </v>
      </c>
      <c r="N226" s="227" t="str">
        <f t="shared" si="22"/>
        <v/>
      </c>
      <c r="X226" t="str">
        <f t="shared" si="23"/>
        <v xml:space="preserve">          </v>
      </c>
      <c r="Y226" s="227" t="str">
        <f t="shared" si="24"/>
        <v/>
      </c>
      <c r="Z226" t="str">
        <f t="shared" si="25"/>
        <v/>
      </c>
      <c r="AL226" t="str">
        <f t="shared" si="26"/>
        <v/>
      </c>
      <c r="AM226" t="str">
        <f t="shared" si="27"/>
        <v/>
      </c>
    </row>
    <row r="227" spans="1:39">
      <c r="A227" t="str">
        <f>IF(ISBLANK(Record!A228),"",Record!A228)</f>
        <v/>
      </c>
      <c r="B227" t="str">
        <f>IF(ISBLANK(Record!B228),"",Record!B228)</f>
        <v/>
      </c>
      <c r="C227" s="227" t="str">
        <f>IF(ISBLANK(Record!C228),"",Record!C228)</f>
        <v/>
      </c>
      <c r="D227" t="str">
        <f>IF(ISBLANK(Record!D228),"",Record!D228)</f>
        <v/>
      </c>
      <c r="E227" t="str">
        <f>IF(ISBLANK(Record!E228),"",Record!E228)</f>
        <v/>
      </c>
      <c r="M227" t="str">
        <f t="shared" si="21"/>
        <v xml:space="preserve">          </v>
      </c>
      <c r="N227" s="227" t="str">
        <f t="shared" si="22"/>
        <v/>
      </c>
      <c r="X227" t="str">
        <f t="shared" si="23"/>
        <v xml:space="preserve">          </v>
      </c>
      <c r="Y227" s="227" t="str">
        <f t="shared" si="24"/>
        <v/>
      </c>
      <c r="Z227" t="str">
        <f t="shared" si="25"/>
        <v/>
      </c>
      <c r="AL227" t="str">
        <f t="shared" si="26"/>
        <v/>
      </c>
      <c r="AM227" t="str">
        <f t="shared" si="27"/>
        <v/>
      </c>
    </row>
    <row r="228" spans="1:39">
      <c r="A228" t="str">
        <f>IF(ISBLANK(Record!A229),"",Record!A229)</f>
        <v/>
      </c>
      <c r="B228" t="str">
        <f>IF(ISBLANK(Record!B229),"",Record!B229)</f>
        <v/>
      </c>
      <c r="C228" s="227" t="str">
        <f>IF(ISBLANK(Record!C229),"",Record!C229)</f>
        <v/>
      </c>
      <c r="D228" t="str">
        <f>IF(ISBLANK(Record!D229),"",Record!D229)</f>
        <v/>
      </c>
      <c r="E228" t="str">
        <f>IF(ISBLANK(Record!E229),"",Record!E229)</f>
        <v/>
      </c>
      <c r="M228" t="str">
        <f t="shared" si="21"/>
        <v xml:space="preserve">          </v>
      </c>
      <c r="N228" s="227" t="str">
        <f t="shared" si="22"/>
        <v/>
      </c>
      <c r="X228" t="str">
        <f t="shared" si="23"/>
        <v xml:space="preserve">          </v>
      </c>
      <c r="Y228" s="227" t="str">
        <f t="shared" si="24"/>
        <v/>
      </c>
      <c r="Z228" t="str">
        <f t="shared" si="25"/>
        <v/>
      </c>
      <c r="AL228" t="str">
        <f t="shared" si="26"/>
        <v/>
      </c>
      <c r="AM228" t="str">
        <f t="shared" si="27"/>
        <v/>
      </c>
    </row>
    <row r="229" spans="1:39">
      <c r="A229" t="str">
        <f>IF(ISBLANK(Record!A230),"",Record!A230)</f>
        <v/>
      </c>
      <c r="B229" t="str">
        <f>IF(ISBLANK(Record!B230),"",Record!B230)</f>
        <v/>
      </c>
      <c r="C229" s="227" t="str">
        <f>IF(ISBLANK(Record!C230),"",Record!C230)</f>
        <v/>
      </c>
      <c r="D229" t="str">
        <f>IF(ISBLANK(Record!D230),"",Record!D230)</f>
        <v/>
      </c>
      <c r="E229" t="str">
        <f>IF(ISBLANK(Record!E230),"",Record!E230)</f>
        <v/>
      </c>
      <c r="M229" t="str">
        <f t="shared" si="21"/>
        <v xml:space="preserve">          </v>
      </c>
      <c r="N229" s="227" t="str">
        <f t="shared" si="22"/>
        <v/>
      </c>
      <c r="X229" t="str">
        <f t="shared" si="23"/>
        <v xml:space="preserve">          </v>
      </c>
      <c r="Y229" s="227" t="str">
        <f t="shared" si="24"/>
        <v/>
      </c>
      <c r="Z229" t="str">
        <f t="shared" si="25"/>
        <v/>
      </c>
      <c r="AL229" t="str">
        <f t="shared" si="26"/>
        <v/>
      </c>
      <c r="AM229" t="str">
        <f t="shared" si="27"/>
        <v/>
      </c>
    </row>
    <row r="230" spans="1:39">
      <c r="A230" t="str">
        <f>IF(ISBLANK(Record!A231),"",Record!A231)</f>
        <v/>
      </c>
      <c r="B230" t="str">
        <f>IF(ISBLANK(Record!B231),"",Record!B231)</f>
        <v/>
      </c>
      <c r="C230" s="227" t="str">
        <f>IF(ISBLANK(Record!C231),"",Record!C231)</f>
        <v/>
      </c>
      <c r="D230" t="str">
        <f>IF(ISBLANK(Record!D231),"",Record!D231)</f>
        <v/>
      </c>
      <c r="E230" t="str">
        <f>IF(ISBLANK(Record!E231),"",Record!E231)</f>
        <v/>
      </c>
      <c r="M230" t="str">
        <f t="shared" si="21"/>
        <v xml:space="preserve">          </v>
      </c>
      <c r="N230" s="227" t="str">
        <f t="shared" si="22"/>
        <v/>
      </c>
      <c r="X230" t="str">
        <f t="shared" si="23"/>
        <v xml:space="preserve">          </v>
      </c>
      <c r="Y230" s="227" t="str">
        <f t="shared" si="24"/>
        <v/>
      </c>
      <c r="Z230" t="str">
        <f t="shared" si="25"/>
        <v/>
      </c>
      <c r="AL230" t="str">
        <f t="shared" si="26"/>
        <v/>
      </c>
      <c r="AM230" t="str">
        <f t="shared" si="27"/>
        <v/>
      </c>
    </row>
    <row r="231" spans="1:39">
      <c r="A231" t="str">
        <f>IF(ISBLANK(Record!A232),"",Record!A232)</f>
        <v/>
      </c>
      <c r="B231" t="str">
        <f>IF(ISBLANK(Record!B232),"",Record!B232)</f>
        <v/>
      </c>
      <c r="C231" s="227" t="str">
        <f>IF(ISBLANK(Record!C232),"",Record!C232)</f>
        <v/>
      </c>
      <c r="D231" t="str">
        <f>IF(ISBLANK(Record!D232),"",Record!D232)</f>
        <v/>
      </c>
      <c r="E231" t="str">
        <f>IF(ISBLANK(Record!E232),"",Record!E232)</f>
        <v/>
      </c>
      <c r="M231" t="str">
        <f t="shared" si="21"/>
        <v xml:space="preserve">          </v>
      </c>
      <c r="N231" s="227" t="str">
        <f t="shared" si="22"/>
        <v/>
      </c>
      <c r="X231" t="str">
        <f t="shared" si="23"/>
        <v xml:space="preserve">          </v>
      </c>
      <c r="Y231" s="227" t="str">
        <f t="shared" si="24"/>
        <v/>
      </c>
      <c r="Z231" t="str">
        <f t="shared" si="25"/>
        <v/>
      </c>
      <c r="AL231" t="str">
        <f t="shared" si="26"/>
        <v/>
      </c>
      <c r="AM231" t="str">
        <f t="shared" si="27"/>
        <v/>
      </c>
    </row>
    <row r="232" spans="1:39">
      <c r="A232" t="str">
        <f>IF(ISBLANK(Record!A233),"",Record!A233)</f>
        <v/>
      </c>
      <c r="B232" t="str">
        <f>IF(ISBLANK(Record!B233),"",Record!B233)</f>
        <v/>
      </c>
      <c r="C232" s="227" t="str">
        <f>IF(ISBLANK(Record!C233),"",Record!C233)</f>
        <v/>
      </c>
      <c r="D232" t="str">
        <f>IF(ISBLANK(Record!D233),"",Record!D233)</f>
        <v/>
      </c>
      <c r="E232" t="str">
        <f>IF(ISBLANK(Record!E233),"",Record!E233)</f>
        <v/>
      </c>
      <c r="M232" t="str">
        <f t="shared" si="21"/>
        <v xml:space="preserve">          </v>
      </c>
      <c r="N232" s="227" t="str">
        <f t="shared" si="22"/>
        <v/>
      </c>
      <c r="X232" t="str">
        <f t="shared" si="23"/>
        <v xml:space="preserve">          </v>
      </c>
      <c r="Y232" s="227" t="str">
        <f t="shared" si="24"/>
        <v/>
      </c>
      <c r="Z232" t="str">
        <f t="shared" si="25"/>
        <v/>
      </c>
      <c r="AL232" t="str">
        <f t="shared" si="26"/>
        <v/>
      </c>
      <c r="AM232" t="str">
        <f t="shared" si="27"/>
        <v/>
      </c>
    </row>
    <row r="233" spans="1:39">
      <c r="A233" t="str">
        <f>IF(ISBLANK(Record!A234),"",Record!A234)</f>
        <v/>
      </c>
      <c r="B233" t="str">
        <f>IF(ISBLANK(Record!B234),"",Record!B234)</f>
        <v/>
      </c>
      <c r="C233" s="227" t="str">
        <f>IF(ISBLANK(Record!C234),"",Record!C234)</f>
        <v/>
      </c>
      <c r="D233" t="str">
        <f>IF(ISBLANK(Record!D234),"",Record!D234)</f>
        <v/>
      </c>
      <c r="E233" t="str">
        <f>IF(ISBLANK(Record!E234),"",Record!E234)</f>
        <v/>
      </c>
      <c r="M233" t="str">
        <f t="shared" si="21"/>
        <v xml:space="preserve">          </v>
      </c>
      <c r="N233" s="227" t="str">
        <f t="shared" si="22"/>
        <v/>
      </c>
      <c r="X233" t="str">
        <f t="shared" si="23"/>
        <v xml:space="preserve">          </v>
      </c>
      <c r="Y233" s="227" t="str">
        <f t="shared" si="24"/>
        <v/>
      </c>
      <c r="Z233" t="str">
        <f t="shared" si="25"/>
        <v/>
      </c>
      <c r="AL233" t="str">
        <f t="shared" si="26"/>
        <v/>
      </c>
      <c r="AM233" t="str">
        <f t="shared" si="27"/>
        <v/>
      </c>
    </row>
    <row r="234" spans="1:39">
      <c r="A234" t="str">
        <f>IF(ISBLANK(Record!A235),"",Record!A235)</f>
        <v/>
      </c>
      <c r="B234" t="str">
        <f>IF(ISBLANK(Record!B235),"",Record!B235)</f>
        <v/>
      </c>
      <c r="C234" s="227" t="str">
        <f>IF(ISBLANK(Record!C235),"",Record!C235)</f>
        <v/>
      </c>
      <c r="D234" t="str">
        <f>IF(ISBLANK(Record!D235),"",Record!D235)</f>
        <v/>
      </c>
      <c r="E234" t="str">
        <f>IF(ISBLANK(Record!E235),"",Record!E235)</f>
        <v/>
      </c>
      <c r="M234" t="str">
        <f t="shared" si="21"/>
        <v xml:space="preserve">          </v>
      </c>
      <c r="N234" s="227" t="str">
        <f t="shared" si="22"/>
        <v/>
      </c>
      <c r="X234" t="str">
        <f t="shared" si="23"/>
        <v xml:space="preserve">          </v>
      </c>
      <c r="Y234" s="227" t="str">
        <f t="shared" si="24"/>
        <v/>
      </c>
      <c r="Z234" t="str">
        <f t="shared" si="25"/>
        <v/>
      </c>
      <c r="AL234" t="str">
        <f t="shared" si="26"/>
        <v/>
      </c>
      <c r="AM234" t="str">
        <f t="shared" si="27"/>
        <v/>
      </c>
    </row>
    <row r="235" spans="1:39">
      <c r="A235" t="str">
        <f>IF(ISBLANK(Record!A236),"",Record!A236)</f>
        <v/>
      </c>
      <c r="B235" t="str">
        <f>IF(ISBLANK(Record!B236),"",Record!B236)</f>
        <v/>
      </c>
      <c r="C235" s="227" t="str">
        <f>IF(ISBLANK(Record!C236),"",Record!C236)</f>
        <v/>
      </c>
      <c r="D235" t="str">
        <f>IF(ISBLANK(Record!D236),"",Record!D236)</f>
        <v/>
      </c>
      <c r="E235" t="str">
        <f>IF(ISBLANK(Record!E236),"",Record!E236)</f>
        <v/>
      </c>
      <c r="M235" t="str">
        <f t="shared" si="21"/>
        <v xml:space="preserve">          </v>
      </c>
      <c r="N235" s="227" t="str">
        <f t="shared" si="22"/>
        <v/>
      </c>
      <c r="X235" t="str">
        <f t="shared" si="23"/>
        <v xml:space="preserve">          </v>
      </c>
      <c r="Y235" s="227" t="str">
        <f t="shared" si="24"/>
        <v/>
      </c>
      <c r="Z235" t="str">
        <f t="shared" si="25"/>
        <v/>
      </c>
      <c r="AL235" t="str">
        <f t="shared" si="26"/>
        <v/>
      </c>
      <c r="AM235" t="str">
        <f t="shared" si="27"/>
        <v/>
      </c>
    </row>
    <row r="236" spans="1:39">
      <c r="A236" t="str">
        <f>IF(ISBLANK(Record!A237),"",Record!A237)</f>
        <v/>
      </c>
      <c r="B236" t="str">
        <f>IF(ISBLANK(Record!B237),"",Record!B237)</f>
        <v/>
      </c>
      <c r="C236" s="227" t="str">
        <f>IF(ISBLANK(Record!C237),"",Record!C237)</f>
        <v/>
      </c>
      <c r="D236" t="str">
        <f>IF(ISBLANK(Record!D237),"",Record!D237)</f>
        <v/>
      </c>
      <c r="E236" t="str">
        <f>IF(ISBLANK(Record!E237),"",Record!E237)</f>
        <v/>
      </c>
      <c r="M236" t="str">
        <f t="shared" si="21"/>
        <v xml:space="preserve">          </v>
      </c>
      <c r="N236" s="227" t="str">
        <f t="shared" si="22"/>
        <v/>
      </c>
      <c r="X236" t="str">
        <f t="shared" si="23"/>
        <v xml:space="preserve">          </v>
      </c>
      <c r="Y236" s="227" t="str">
        <f t="shared" si="24"/>
        <v/>
      </c>
      <c r="Z236" t="str">
        <f t="shared" si="25"/>
        <v/>
      </c>
      <c r="AL236" t="str">
        <f t="shared" si="26"/>
        <v/>
      </c>
      <c r="AM236" t="str">
        <f t="shared" si="27"/>
        <v/>
      </c>
    </row>
    <row r="237" spans="1:39">
      <c r="A237" t="str">
        <f>IF(ISBLANK(Record!A238),"",Record!A238)</f>
        <v/>
      </c>
      <c r="B237" t="str">
        <f>IF(ISBLANK(Record!B238),"",Record!B238)</f>
        <v/>
      </c>
      <c r="C237" s="227" t="str">
        <f>IF(ISBLANK(Record!C238),"",Record!C238)</f>
        <v/>
      </c>
      <c r="D237" t="str">
        <f>IF(ISBLANK(Record!D238),"",Record!D238)</f>
        <v/>
      </c>
      <c r="E237" t="str">
        <f>IF(ISBLANK(Record!E238),"",Record!E238)</f>
        <v/>
      </c>
      <c r="M237" t="str">
        <f t="shared" si="21"/>
        <v xml:space="preserve">          </v>
      </c>
      <c r="N237" s="227" t="str">
        <f t="shared" si="22"/>
        <v/>
      </c>
      <c r="X237" t="str">
        <f t="shared" si="23"/>
        <v xml:space="preserve">          </v>
      </c>
      <c r="Y237" s="227" t="str">
        <f t="shared" si="24"/>
        <v/>
      </c>
      <c r="Z237" t="str">
        <f t="shared" si="25"/>
        <v/>
      </c>
      <c r="AL237" t="str">
        <f t="shared" si="26"/>
        <v/>
      </c>
      <c r="AM237" t="str">
        <f t="shared" si="27"/>
        <v/>
      </c>
    </row>
    <row r="238" spans="1:39">
      <c r="A238" t="str">
        <f>IF(ISBLANK(Record!A239),"",Record!A239)</f>
        <v/>
      </c>
      <c r="B238" t="str">
        <f>IF(ISBLANK(Record!B239),"",Record!B239)</f>
        <v/>
      </c>
      <c r="C238" s="227" t="str">
        <f>IF(ISBLANK(Record!C239),"",Record!C239)</f>
        <v/>
      </c>
      <c r="D238" t="str">
        <f>IF(ISBLANK(Record!D239),"",Record!D239)</f>
        <v/>
      </c>
      <c r="E238" t="str">
        <f>IF(ISBLANK(Record!E239),"",Record!E239)</f>
        <v/>
      </c>
      <c r="M238" t="str">
        <f t="shared" si="21"/>
        <v xml:space="preserve">          </v>
      </c>
      <c r="N238" s="227" t="str">
        <f t="shared" si="22"/>
        <v/>
      </c>
      <c r="X238" t="str">
        <f t="shared" si="23"/>
        <v xml:space="preserve">          </v>
      </c>
      <c r="Y238" s="227" t="str">
        <f t="shared" si="24"/>
        <v/>
      </c>
      <c r="Z238" t="str">
        <f t="shared" si="25"/>
        <v/>
      </c>
      <c r="AL238" t="str">
        <f t="shared" si="26"/>
        <v/>
      </c>
      <c r="AM238" t="str">
        <f t="shared" si="27"/>
        <v/>
      </c>
    </row>
    <row r="239" spans="1:39">
      <c r="A239" t="str">
        <f>IF(ISBLANK(Record!A240),"",Record!A240)</f>
        <v/>
      </c>
      <c r="B239" t="str">
        <f>IF(ISBLANK(Record!B240),"",Record!B240)</f>
        <v/>
      </c>
      <c r="C239" s="227" t="str">
        <f>IF(ISBLANK(Record!C240),"",Record!C240)</f>
        <v/>
      </c>
      <c r="D239" t="str">
        <f>IF(ISBLANK(Record!D240),"",Record!D240)</f>
        <v/>
      </c>
      <c r="E239" t="str">
        <f>IF(ISBLANK(Record!E240),"",Record!E240)</f>
        <v/>
      </c>
      <c r="M239" t="str">
        <f t="shared" si="21"/>
        <v xml:space="preserve">          </v>
      </c>
      <c r="N239" s="227" t="str">
        <f t="shared" si="22"/>
        <v/>
      </c>
      <c r="X239" t="str">
        <f t="shared" si="23"/>
        <v xml:space="preserve">          </v>
      </c>
      <c r="Y239" s="227" t="str">
        <f t="shared" si="24"/>
        <v/>
      </c>
      <c r="Z239" t="str">
        <f t="shared" si="25"/>
        <v/>
      </c>
      <c r="AL239" t="str">
        <f t="shared" si="26"/>
        <v/>
      </c>
      <c r="AM239" t="str">
        <f t="shared" si="27"/>
        <v/>
      </c>
    </row>
    <row r="240" spans="1:39">
      <c r="A240" t="str">
        <f>IF(ISBLANK(Record!A241),"",Record!A241)</f>
        <v/>
      </c>
      <c r="B240" t="str">
        <f>IF(ISBLANK(Record!B241),"",Record!B241)</f>
        <v/>
      </c>
      <c r="C240" s="227" t="str">
        <f>IF(ISBLANK(Record!C241),"",Record!C241)</f>
        <v/>
      </c>
      <c r="D240" t="str">
        <f>IF(ISBLANK(Record!D241),"",Record!D241)</f>
        <v/>
      </c>
      <c r="E240" t="str">
        <f>IF(ISBLANK(Record!E241),"",Record!E241)</f>
        <v/>
      </c>
      <c r="M240" t="str">
        <f t="shared" si="21"/>
        <v xml:space="preserve">          </v>
      </c>
      <c r="N240" s="227" t="str">
        <f t="shared" si="22"/>
        <v/>
      </c>
      <c r="X240" t="str">
        <f t="shared" si="23"/>
        <v xml:space="preserve">          </v>
      </c>
      <c r="Y240" s="227" t="str">
        <f t="shared" si="24"/>
        <v/>
      </c>
      <c r="Z240" t="str">
        <f t="shared" si="25"/>
        <v/>
      </c>
      <c r="AL240" t="str">
        <f t="shared" si="26"/>
        <v/>
      </c>
      <c r="AM240" t="str">
        <f t="shared" si="27"/>
        <v/>
      </c>
    </row>
    <row r="241" spans="1:39">
      <c r="A241" t="str">
        <f>IF(ISBLANK(Record!A242),"",Record!A242)</f>
        <v/>
      </c>
      <c r="B241" t="str">
        <f>IF(ISBLANK(Record!B242),"",Record!B242)</f>
        <v/>
      </c>
      <c r="C241" s="227" t="str">
        <f>IF(ISBLANK(Record!C242),"",Record!C242)</f>
        <v/>
      </c>
      <c r="D241" t="str">
        <f>IF(ISBLANK(Record!D242),"",Record!D242)</f>
        <v/>
      </c>
      <c r="E241" t="str">
        <f>IF(ISBLANK(Record!E242),"",Record!E242)</f>
        <v/>
      </c>
      <c r="M241" t="str">
        <f t="shared" si="21"/>
        <v xml:space="preserve">          </v>
      </c>
      <c r="N241" s="227" t="str">
        <f t="shared" si="22"/>
        <v/>
      </c>
      <c r="X241" t="str">
        <f t="shared" si="23"/>
        <v xml:space="preserve">          </v>
      </c>
      <c r="Y241" s="227" t="str">
        <f t="shared" si="24"/>
        <v/>
      </c>
      <c r="Z241" t="str">
        <f t="shared" si="25"/>
        <v/>
      </c>
      <c r="AL241" t="str">
        <f t="shared" si="26"/>
        <v/>
      </c>
      <c r="AM241" t="str">
        <f t="shared" si="27"/>
        <v/>
      </c>
    </row>
    <row r="242" spans="1:39">
      <c r="A242" t="str">
        <f>IF(ISBLANK(Record!A243),"",Record!A243)</f>
        <v/>
      </c>
      <c r="B242" t="str">
        <f>IF(ISBLANK(Record!B243),"",Record!B243)</f>
        <v/>
      </c>
      <c r="C242" s="227" t="str">
        <f>IF(ISBLANK(Record!C243),"",Record!C243)</f>
        <v/>
      </c>
      <c r="D242" t="str">
        <f>IF(ISBLANK(Record!D243),"",Record!D243)</f>
        <v/>
      </c>
      <c r="E242" t="str">
        <f>IF(ISBLANK(Record!E243),"",Record!E243)</f>
        <v/>
      </c>
      <c r="M242" t="str">
        <f t="shared" si="21"/>
        <v xml:space="preserve">          </v>
      </c>
      <c r="N242" s="227" t="str">
        <f t="shared" si="22"/>
        <v/>
      </c>
      <c r="X242" t="str">
        <f t="shared" si="23"/>
        <v xml:space="preserve">          </v>
      </c>
      <c r="Y242" s="227" t="str">
        <f t="shared" si="24"/>
        <v/>
      </c>
      <c r="Z242" t="str">
        <f t="shared" si="25"/>
        <v/>
      </c>
      <c r="AL242" t="str">
        <f t="shared" si="26"/>
        <v/>
      </c>
      <c r="AM242" t="str">
        <f t="shared" si="27"/>
        <v/>
      </c>
    </row>
    <row r="243" spans="1:39">
      <c r="A243" t="str">
        <f>IF(ISBLANK(Record!A244),"",Record!A244)</f>
        <v/>
      </c>
      <c r="B243" t="str">
        <f>IF(ISBLANK(Record!B244),"",Record!B244)</f>
        <v/>
      </c>
      <c r="C243" s="227" t="str">
        <f>IF(ISBLANK(Record!C244),"",Record!C244)</f>
        <v/>
      </c>
      <c r="D243" t="str">
        <f>IF(ISBLANK(Record!D244),"",Record!D244)</f>
        <v/>
      </c>
      <c r="E243" t="str">
        <f>IF(ISBLANK(Record!E244),"",Record!E244)</f>
        <v/>
      </c>
      <c r="M243" t="str">
        <f t="shared" si="21"/>
        <v xml:space="preserve">          </v>
      </c>
      <c r="N243" s="227" t="str">
        <f t="shared" si="22"/>
        <v/>
      </c>
      <c r="X243" t="str">
        <f t="shared" si="23"/>
        <v xml:space="preserve">          </v>
      </c>
      <c r="Y243" s="227" t="str">
        <f t="shared" si="24"/>
        <v/>
      </c>
      <c r="Z243" t="str">
        <f t="shared" si="25"/>
        <v/>
      </c>
      <c r="AL243" t="str">
        <f t="shared" si="26"/>
        <v/>
      </c>
      <c r="AM243" t="str">
        <f t="shared" si="27"/>
        <v/>
      </c>
    </row>
    <row r="244" spans="1:39">
      <c r="A244" t="str">
        <f>IF(ISBLANK(Record!A245),"",Record!A245)</f>
        <v/>
      </c>
      <c r="B244" t="str">
        <f>IF(ISBLANK(Record!B245),"",Record!B245)</f>
        <v/>
      </c>
      <c r="C244" s="227" t="str">
        <f>IF(ISBLANK(Record!C245),"",Record!C245)</f>
        <v/>
      </c>
      <c r="D244" t="str">
        <f>IF(ISBLANK(Record!D245),"",Record!D245)</f>
        <v/>
      </c>
      <c r="E244" t="str">
        <f>IF(ISBLANK(Record!E245),"",Record!E245)</f>
        <v/>
      </c>
      <c r="M244" t="str">
        <f t="shared" si="21"/>
        <v xml:space="preserve">          </v>
      </c>
      <c r="N244" s="227" t="str">
        <f t="shared" si="22"/>
        <v/>
      </c>
      <c r="X244" t="str">
        <f t="shared" si="23"/>
        <v xml:space="preserve">          </v>
      </c>
      <c r="Y244" s="227" t="str">
        <f t="shared" si="24"/>
        <v/>
      </c>
      <c r="Z244" t="str">
        <f t="shared" si="25"/>
        <v/>
      </c>
      <c r="AL244" t="str">
        <f t="shared" si="26"/>
        <v/>
      </c>
      <c r="AM244" t="str">
        <f t="shared" si="27"/>
        <v/>
      </c>
    </row>
    <row r="245" spans="1:39">
      <c r="A245" t="str">
        <f>IF(ISBLANK(Record!A246),"",Record!A246)</f>
        <v/>
      </c>
      <c r="B245" t="str">
        <f>IF(ISBLANK(Record!B246),"",Record!B246)</f>
        <v/>
      </c>
      <c r="C245" s="227" t="str">
        <f>IF(ISBLANK(Record!C246),"",Record!C246)</f>
        <v/>
      </c>
      <c r="D245" t="str">
        <f>IF(ISBLANK(Record!D246),"",Record!D246)</f>
        <v/>
      </c>
      <c r="E245" t="str">
        <f>IF(ISBLANK(Record!E246),"",Record!E246)</f>
        <v/>
      </c>
      <c r="M245" t="str">
        <f t="shared" si="21"/>
        <v xml:space="preserve">          </v>
      </c>
      <c r="N245" s="227" t="str">
        <f t="shared" si="22"/>
        <v/>
      </c>
      <c r="X245" t="str">
        <f t="shared" si="23"/>
        <v xml:space="preserve">          </v>
      </c>
      <c r="Y245" s="227" t="str">
        <f t="shared" si="24"/>
        <v/>
      </c>
      <c r="Z245" t="str">
        <f t="shared" si="25"/>
        <v/>
      </c>
      <c r="AL245" t="str">
        <f t="shared" si="26"/>
        <v/>
      </c>
      <c r="AM245" t="str">
        <f t="shared" si="27"/>
        <v/>
      </c>
    </row>
    <row r="246" spans="1:39">
      <c r="A246" t="str">
        <f>IF(ISBLANK(Record!A247),"",Record!A247)</f>
        <v/>
      </c>
      <c r="B246" t="str">
        <f>IF(ISBLANK(Record!B247),"",Record!B247)</f>
        <v/>
      </c>
      <c r="C246" s="227" t="str">
        <f>IF(ISBLANK(Record!C247),"",Record!C247)</f>
        <v/>
      </c>
      <c r="D246" t="str">
        <f>IF(ISBLANK(Record!D247),"",Record!D247)</f>
        <v/>
      </c>
      <c r="E246" t="str">
        <f>IF(ISBLANK(Record!E247),"",Record!E247)</f>
        <v/>
      </c>
      <c r="M246" t="str">
        <f t="shared" si="21"/>
        <v xml:space="preserve">          </v>
      </c>
      <c r="N246" s="227" t="str">
        <f t="shared" si="22"/>
        <v/>
      </c>
      <c r="X246" t="str">
        <f t="shared" si="23"/>
        <v xml:space="preserve">          </v>
      </c>
      <c r="Y246" s="227" t="str">
        <f t="shared" si="24"/>
        <v/>
      </c>
      <c r="Z246" t="str">
        <f t="shared" si="25"/>
        <v/>
      </c>
      <c r="AL246" t="str">
        <f t="shared" si="26"/>
        <v/>
      </c>
      <c r="AM246" t="str">
        <f t="shared" si="27"/>
        <v/>
      </c>
    </row>
    <row r="247" spans="1:39">
      <c r="A247" t="str">
        <f>IF(ISBLANK(Record!A248),"",Record!A248)</f>
        <v/>
      </c>
      <c r="B247" t="str">
        <f>IF(ISBLANK(Record!B248),"",Record!B248)</f>
        <v/>
      </c>
      <c r="C247" s="227" t="str">
        <f>IF(ISBLANK(Record!C248),"",Record!C248)</f>
        <v/>
      </c>
      <c r="D247" t="str">
        <f>IF(ISBLANK(Record!D248),"",Record!D248)</f>
        <v/>
      </c>
      <c r="E247" t="str">
        <f>IF(ISBLANK(Record!E248),"",Record!E248)</f>
        <v/>
      </c>
      <c r="M247" t="str">
        <f t="shared" si="21"/>
        <v xml:space="preserve">          </v>
      </c>
      <c r="N247" s="227" t="str">
        <f t="shared" si="22"/>
        <v/>
      </c>
      <c r="X247" t="str">
        <f t="shared" si="23"/>
        <v xml:space="preserve">          </v>
      </c>
      <c r="Y247" s="227" t="str">
        <f t="shared" si="24"/>
        <v/>
      </c>
      <c r="Z247" t="str">
        <f t="shared" si="25"/>
        <v/>
      </c>
      <c r="AL247" t="str">
        <f t="shared" si="26"/>
        <v/>
      </c>
      <c r="AM247" t="str">
        <f t="shared" si="27"/>
        <v/>
      </c>
    </row>
    <row r="248" spans="1:39">
      <c r="A248" t="str">
        <f>IF(ISBLANK(Record!A249),"",Record!A249)</f>
        <v/>
      </c>
      <c r="B248" t="str">
        <f>IF(ISBLANK(Record!B249),"",Record!B249)</f>
        <v/>
      </c>
      <c r="C248" s="227" t="str">
        <f>IF(ISBLANK(Record!C249),"",Record!C249)</f>
        <v/>
      </c>
      <c r="D248" t="str">
        <f>IF(ISBLANK(Record!D249),"",Record!D249)</f>
        <v/>
      </c>
      <c r="E248" t="str">
        <f>IF(ISBLANK(Record!E249),"",Record!E249)</f>
        <v/>
      </c>
      <c r="M248" t="str">
        <f t="shared" si="21"/>
        <v xml:space="preserve">          </v>
      </c>
      <c r="N248" s="227" t="str">
        <f t="shared" si="22"/>
        <v/>
      </c>
      <c r="X248" t="str">
        <f t="shared" si="23"/>
        <v xml:space="preserve">          </v>
      </c>
      <c r="Y248" s="227" t="str">
        <f t="shared" si="24"/>
        <v/>
      </c>
      <c r="Z248" t="str">
        <f t="shared" si="25"/>
        <v/>
      </c>
      <c r="AL248" t="str">
        <f t="shared" si="26"/>
        <v/>
      </c>
      <c r="AM248" t="str">
        <f t="shared" si="27"/>
        <v/>
      </c>
    </row>
    <row r="249" spans="1:39">
      <c r="A249" t="str">
        <f>IF(ISBLANK(Record!A250),"",Record!A250)</f>
        <v/>
      </c>
      <c r="B249" t="str">
        <f>IF(ISBLANK(Record!B250),"",Record!B250)</f>
        <v/>
      </c>
      <c r="C249" s="227" t="str">
        <f>IF(ISBLANK(Record!C250),"",Record!C250)</f>
        <v/>
      </c>
      <c r="D249" t="str">
        <f>IF(ISBLANK(Record!D250),"",Record!D250)</f>
        <v/>
      </c>
      <c r="E249" t="str">
        <f>IF(ISBLANK(Record!E250),"",Record!E250)</f>
        <v/>
      </c>
      <c r="M249" t="str">
        <f t="shared" si="21"/>
        <v xml:space="preserve">          </v>
      </c>
      <c r="N249" s="227" t="str">
        <f t="shared" si="22"/>
        <v/>
      </c>
      <c r="X249" t="str">
        <f t="shared" si="23"/>
        <v xml:space="preserve">          </v>
      </c>
      <c r="Y249" s="227" t="str">
        <f t="shared" si="24"/>
        <v/>
      </c>
      <c r="Z249" t="str">
        <f t="shared" si="25"/>
        <v/>
      </c>
      <c r="AL249" t="str">
        <f t="shared" si="26"/>
        <v/>
      </c>
      <c r="AM249" t="str">
        <f t="shared" si="27"/>
        <v/>
      </c>
    </row>
    <row r="250" spans="1:39">
      <c r="A250" t="str">
        <f>IF(ISBLANK(Record!A251),"",Record!A251)</f>
        <v/>
      </c>
      <c r="B250" t="str">
        <f>IF(ISBLANK(Record!B251),"",Record!B251)</f>
        <v/>
      </c>
      <c r="C250" s="227" t="str">
        <f>IF(ISBLANK(Record!C251),"",Record!C251)</f>
        <v/>
      </c>
      <c r="D250" t="str">
        <f>IF(ISBLANK(Record!D251),"",Record!D251)</f>
        <v/>
      </c>
      <c r="E250" t="str">
        <f>IF(ISBLANK(Record!E251),"",Record!E251)</f>
        <v/>
      </c>
      <c r="M250" t="str">
        <f t="shared" si="21"/>
        <v xml:space="preserve">          </v>
      </c>
      <c r="N250" s="227" t="str">
        <f t="shared" si="22"/>
        <v/>
      </c>
      <c r="X250" t="str">
        <f t="shared" si="23"/>
        <v xml:space="preserve">          </v>
      </c>
      <c r="Y250" s="227" t="str">
        <f t="shared" si="24"/>
        <v/>
      </c>
      <c r="Z250" t="str">
        <f t="shared" si="25"/>
        <v/>
      </c>
      <c r="AL250" t="str">
        <f t="shared" si="26"/>
        <v/>
      </c>
      <c r="AM250" t="str">
        <f t="shared" si="27"/>
        <v/>
      </c>
    </row>
    <row r="251" spans="1:39">
      <c r="A251" t="str">
        <f>IF(ISBLANK(Record!A252),"",Record!A252)</f>
        <v/>
      </c>
      <c r="B251" t="str">
        <f>IF(ISBLANK(Record!B252),"",Record!B252)</f>
        <v/>
      </c>
      <c r="C251" s="227" t="str">
        <f>IF(ISBLANK(Record!C252),"",Record!C252)</f>
        <v/>
      </c>
      <c r="D251" t="str">
        <f>IF(ISBLANK(Record!D252),"",Record!D252)</f>
        <v/>
      </c>
      <c r="E251" t="str">
        <f>IF(ISBLANK(Record!E252),"",Record!E252)</f>
        <v/>
      </c>
      <c r="M251" t="str">
        <f t="shared" si="21"/>
        <v xml:space="preserve">          </v>
      </c>
      <c r="N251" s="227" t="str">
        <f t="shared" si="22"/>
        <v/>
      </c>
      <c r="X251" t="str">
        <f t="shared" si="23"/>
        <v xml:space="preserve">          </v>
      </c>
      <c r="Y251" s="227" t="str">
        <f t="shared" si="24"/>
        <v/>
      </c>
      <c r="Z251" t="str">
        <f t="shared" si="25"/>
        <v/>
      </c>
      <c r="AL251" t="str">
        <f t="shared" si="26"/>
        <v/>
      </c>
      <c r="AM251" t="str">
        <f t="shared" si="27"/>
        <v/>
      </c>
    </row>
    <row r="252" spans="1:39">
      <c r="A252" t="str">
        <f>IF(ISBLANK(Record!A253),"",Record!A253)</f>
        <v/>
      </c>
      <c r="B252" t="str">
        <f>IF(ISBLANK(Record!B253),"",Record!B253)</f>
        <v/>
      </c>
      <c r="C252" s="227" t="str">
        <f>IF(ISBLANK(Record!C253),"",Record!C253)</f>
        <v/>
      </c>
      <c r="D252" t="str">
        <f>IF(ISBLANK(Record!D253),"",Record!D253)</f>
        <v/>
      </c>
      <c r="E252" t="str">
        <f>IF(ISBLANK(Record!E253),"",Record!E253)</f>
        <v/>
      </c>
      <c r="M252" t="str">
        <f t="shared" si="21"/>
        <v xml:space="preserve">          </v>
      </c>
      <c r="N252" s="227" t="str">
        <f t="shared" si="22"/>
        <v/>
      </c>
      <c r="X252" t="str">
        <f t="shared" si="23"/>
        <v xml:space="preserve">          </v>
      </c>
      <c r="Y252" s="227" t="str">
        <f t="shared" si="24"/>
        <v/>
      </c>
      <c r="Z252" t="str">
        <f t="shared" si="25"/>
        <v/>
      </c>
      <c r="AL252" t="str">
        <f t="shared" si="26"/>
        <v/>
      </c>
      <c r="AM252" t="str">
        <f t="shared" si="27"/>
        <v/>
      </c>
    </row>
    <row r="253" spans="1:39">
      <c r="A253" t="str">
        <f>IF(ISBLANK(Record!A254),"",Record!A254)</f>
        <v/>
      </c>
      <c r="B253" t="str">
        <f>IF(ISBLANK(Record!B254),"",Record!B254)</f>
        <v/>
      </c>
      <c r="C253" s="227" t="str">
        <f>IF(ISBLANK(Record!C254),"",Record!C254)</f>
        <v/>
      </c>
      <c r="D253" t="str">
        <f>IF(ISBLANK(Record!D254),"",Record!D254)</f>
        <v/>
      </c>
      <c r="E253" t="str">
        <f>IF(ISBLANK(Record!E254),"",Record!E254)</f>
        <v/>
      </c>
      <c r="M253" t="str">
        <f t="shared" si="21"/>
        <v xml:space="preserve">          </v>
      </c>
      <c r="N253" s="227" t="str">
        <f t="shared" si="22"/>
        <v/>
      </c>
      <c r="X253" t="str">
        <f t="shared" si="23"/>
        <v xml:space="preserve">          </v>
      </c>
      <c r="Y253" s="227" t="str">
        <f t="shared" si="24"/>
        <v/>
      </c>
      <c r="Z253" t="str">
        <f t="shared" si="25"/>
        <v/>
      </c>
      <c r="AL253" t="str">
        <f t="shared" si="26"/>
        <v/>
      </c>
      <c r="AM253" t="str">
        <f t="shared" si="27"/>
        <v/>
      </c>
    </row>
    <row r="254" spans="1:39">
      <c r="A254" t="str">
        <f>IF(ISBLANK(Record!A255),"",Record!A255)</f>
        <v/>
      </c>
      <c r="B254" t="str">
        <f>IF(ISBLANK(Record!B255),"",Record!B255)</f>
        <v/>
      </c>
      <c r="C254" s="227" t="str">
        <f>IF(ISBLANK(Record!C255),"",Record!C255)</f>
        <v/>
      </c>
      <c r="D254" t="str">
        <f>IF(ISBLANK(Record!D255),"",Record!D255)</f>
        <v/>
      </c>
      <c r="E254" t="str">
        <f>IF(ISBLANK(Record!E255),"",Record!E255)</f>
        <v/>
      </c>
      <c r="M254" t="str">
        <f t="shared" si="21"/>
        <v xml:space="preserve">          </v>
      </c>
      <c r="N254" s="227" t="str">
        <f t="shared" si="22"/>
        <v/>
      </c>
      <c r="X254" t="str">
        <f t="shared" si="23"/>
        <v xml:space="preserve">          </v>
      </c>
      <c r="Y254" s="227" t="str">
        <f t="shared" si="24"/>
        <v/>
      </c>
      <c r="Z254" t="str">
        <f t="shared" si="25"/>
        <v/>
      </c>
      <c r="AL254" t="str">
        <f t="shared" si="26"/>
        <v/>
      </c>
      <c r="AM254" t="str">
        <f t="shared" si="27"/>
        <v/>
      </c>
    </row>
    <row r="255" spans="1:39">
      <c r="A255" t="str">
        <f>IF(ISBLANK(Record!A256),"",Record!A256)</f>
        <v/>
      </c>
      <c r="B255" t="str">
        <f>IF(ISBLANK(Record!B256),"",Record!B256)</f>
        <v/>
      </c>
      <c r="C255" s="227" t="str">
        <f>IF(ISBLANK(Record!C256),"",Record!C256)</f>
        <v/>
      </c>
      <c r="D255" t="str">
        <f>IF(ISBLANK(Record!D256),"",Record!D256)</f>
        <v/>
      </c>
      <c r="E255" t="str">
        <f>IF(ISBLANK(Record!E256),"",Record!E256)</f>
        <v/>
      </c>
      <c r="M255" t="str">
        <f t="shared" si="21"/>
        <v xml:space="preserve">          </v>
      </c>
      <c r="N255" s="227" t="str">
        <f t="shared" si="22"/>
        <v/>
      </c>
      <c r="X255" t="str">
        <f t="shared" si="23"/>
        <v xml:space="preserve">          </v>
      </c>
      <c r="Y255" s="227" t="str">
        <f t="shared" si="24"/>
        <v/>
      </c>
      <c r="Z255" t="str">
        <f t="shared" si="25"/>
        <v/>
      </c>
      <c r="AL255" t="str">
        <f t="shared" si="26"/>
        <v/>
      </c>
      <c r="AM255" t="str">
        <f t="shared" si="27"/>
        <v/>
      </c>
    </row>
    <row r="256" spans="1:39">
      <c r="A256" t="str">
        <f>IF(ISBLANK(Record!A257),"",Record!A257)</f>
        <v/>
      </c>
      <c r="B256" t="str">
        <f>IF(ISBLANK(Record!B257),"",Record!B257)</f>
        <v/>
      </c>
      <c r="C256" s="227" t="str">
        <f>IF(ISBLANK(Record!C257),"",Record!C257)</f>
        <v/>
      </c>
      <c r="D256" t="str">
        <f>IF(ISBLANK(Record!D257),"",Record!D257)</f>
        <v/>
      </c>
      <c r="E256" t="str">
        <f>IF(ISBLANK(Record!E257),"",Record!E257)</f>
        <v/>
      </c>
      <c r="M256" t="str">
        <f t="shared" si="21"/>
        <v xml:space="preserve">          </v>
      </c>
      <c r="N256" s="227" t="str">
        <f t="shared" si="22"/>
        <v/>
      </c>
      <c r="X256" t="str">
        <f t="shared" si="23"/>
        <v xml:space="preserve">          </v>
      </c>
      <c r="Y256" s="227" t="str">
        <f t="shared" si="24"/>
        <v/>
      </c>
      <c r="Z256" t="str">
        <f t="shared" si="25"/>
        <v/>
      </c>
      <c r="AL256" t="str">
        <f t="shared" si="26"/>
        <v/>
      </c>
      <c r="AM256" t="str">
        <f t="shared" si="27"/>
        <v/>
      </c>
    </row>
    <row r="257" spans="1:39">
      <c r="A257" t="str">
        <f>IF(ISBLANK(Record!A258),"",Record!A258)</f>
        <v/>
      </c>
      <c r="B257" t="str">
        <f>IF(ISBLANK(Record!B258),"",Record!B258)</f>
        <v/>
      </c>
      <c r="C257" s="227" t="str">
        <f>IF(ISBLANK(Record!C258),"",Record!C258)</f>
        <v/>
      </c>
      <c r="D257" t="str">
        <f>IF(ISBLANK(Record!D258),"",Record!D258)</f>
        <v/>
      </c>
      <c r="E257" t="str">
        <f>IF(ISBLANK(Record!E258),"",Record!E258)</f>
        <v/>
      </c>
      <c r="M257" t="str">
        <f t="shared" si="21"/>
        <v xml:space="preserve">          </v>
      </c>
      <c r="N257" s="227" t="str">
        <f t="shared" si="22"/>
        <v/>
      </c>
      <c r="X257" t="str">
        <f t="shared" si="23"/>
        <v xml:space="preserve">          </v>
      </c>
      <c r="Y257" s="227" t="str">
        <f t="shared" si="24"/>
        <v/>
      </c>
      <c r="Z257" t="str">
        <f t="shared" si="25"/>
        <v/>
      </c>
      <c r="AL257" t="str">
        <f t="shared" si="26"/>
        <v/>
      </c>
      <c r="AM257" t="str">
        <f t="shared" si="27"/>
        <v/>
      </c>
    </row>
    <row r="258" spans="1:39">
      <c r="A258" t="str">
        <f>IF(ISBLANK(Record!A259),"",Record!A259)</f>
        <v/>
      </c>
      <c r="B258" t="str">
        <f>IF(ISBLANK(Record!B259),"",Record!B259)</f>
        <v/>
      </c>
      <c r="C258" s="227" t="str">
        <f>IF(ISBLANK(Record!C259),"",Record!C259)</f>
        <v/>
      </c>
      <c r="D258" t="str">
        <f>IF(ISBLANK(Record!D259),"",Record!D259)</f>
        <v/>
      </c>
      <c r="E258" t="str">
        <f>IF(ISBLANK(Record!E259),"",Record!E259)</f>
        <v/>
      </c>
      <c r="M258" t="str">
        <f t="shared" si="21"/>
        <v xml:space="preserve">          </v>
      </c>
      <c r="N258" s="227" t="str">
        <f t="shared" si="22"/>
        <v/>
      </c>
      <c r="X258" t="str">
        <f t="shared" si="23"/>
        <v xml:space="preserve">          </v>
      </c>
      <c r="Y258" s="227" t="str">
        <f t="shared" si="24"/>
        <v/>
      </c>
      <c r="Z258" t="str">
        <f t="shared" si="25"/>
        <v/>
      </c>
      <c r="AL258" t="str">
        <f t="shared" si="26"/>
        <v/>
      </c>
      <c r="AM258" t="str">
        <f t="shared" si="27"/>
        <v/>
      </c>
    </row>
    <row r="259" spans="1:39">
      <c r="A259" t="str">
        <f>IF(ISBLANK(Record!A260),"",Record!A260)</f>
        <v/>
      </c>
      <c r="B259" t="str">
        <f>IF(ISBLANK(Record!B260),"",Record!B260)</f>
        <v/>
      </c>
      <c r="C259" s="227" t="str">
        <f>IF(ISBLANK(Record!C260),"",Record!C260)</f>
        <v/>
      </c>
      <c r="D259" t="str">
        <f>IF(ISBLANK(Record!D260),"",Record!D260)</f>
        <v/>
      </c>
      <c r="E259" t="str">
        <f>IF(ISBLANK(Record!E260),"",Record!E260)</f>
        <v/>
      </c>
      <c r="M259" t="str">
        <f t="shared" ref="M259:M322" si="28">RIGHT("                                   " &amp; A259,10)</f>
        <v xml:space="preserve">          </v>
      </c>
      <c r="N259" s="227" t="str">
        <f t="shared" ref="N259:N322" si="29">RIGHT(C259,16)</f>
        <v/>
      </c>
      <c r="X259" t="str">
        <f t="shared" ref="X259:X322" si="30">RIGHT("                                   " &amp; A259,10)</f>
        <v xml:space="preserve">          </v>
      </c>
      <c r="Y259" s="227" t="str">
        <f t="shared" ref="Y259:Y322" si="31">RIGHT(C259,16)</f>
        <v/>
      </c>
      <c r="Z259" t="str">
        <f t="shared" ref="Z259:Z322" si="32">RIGHT(D259,8)</f>
        <v/>
      </c>
      <c r="AL259" t="str">
        <f t="shared" ref="AL259:AL322" si="33">D259</f>
        <v/>
      </c>
      <c r="AM259" t="str">
        <f t="shared" ref="AM259:AM322" si="34">IF(E259&lt;&gt;AL259,E259,E259)</f>
        <v/>
      </c>
    </row>
    <row r="260" spans="1:39">
      <c r="A260" t="str">
        <f>IF(ISBLANK(Record!A261),"",Record!A261)</f>
        <v/>
      </c>
      <c r="B260" t="str">
        <f>IF(ISBLANK(Record!B261),"",Record!B261)</f>
        <v/>
      </c>
      <c r="C260" s="227" t="str">
        <f>IF(ISBLANK(Record!C261),"",Record!C261)</f>
        <v/>
      </c>
      <c r="D260" t="str">
        <f>IF(ISBLANK(Record!D261),"",Record!D261)</f>
        <v/>
      </c>
      <c r="E260" t="str">
        <f>IF(ISBLANK(Record!E261),"",Record!E261)</f>
        <v/>
      </c>
      <c r="M260" t="str">
        <f t="shared" si="28"/>
        <v xml:space="preserve">          </v>
      </c>
      <c r="N260" s="227" t="str">
        <f t="shared" si="29"/>
        <v/>
      </c>
      <c r="X260" t="str">
        <f t="shared" si="30"/>
        <v xml:space="preserve">          </v>
      </c>
      <c r="Y260" s="227" t="str">
        <f t="shared" si="31"/>
        <v/>
      </c>
      <c r="Z260" t="str">
        <f t="shared" si="32"/>
        <v/>
      </c>
      <c r="AL260" t="str">
        <f t="shared" si="33"/>
        <v/>
      </c>
      <c r="AM260" t="str">
        <f t="shared" si="34"/>
        <v/>
      </c>
    </row>
    <row r="261" spans="1:39">
      <c r="A261" t="str">
        <f>IF(ISBLANK(Record!A262),"",Record!A262)</f>
        <v/>
      </c>
      <c r="B261" t="str">
        <f>IF(ISBLANK(Record!B262),"",Record!B262)</f>
        <v/>
      </c>
      <c r="C261" s="227" t="str">
        <f>IF(ISBLANK(Record!C262),"",Record!C262)</f>
        <v/>
      </c>
      <c r="D261" t="str">
        <f>IF(ISBLANK(Record!D262),"",Record!D262)</f>
        <v/>
      </c>
      <c r="E261" t="str">
        <f>IF(ISBLANK(Record!E262),"",Record!E262)</f>
        <v/>
      </c>
      <c r="M261" t="str">
        <f t="shared" si="28"/>
        <v xml:space="preserve">          </v>
      </c>
      <c r="N261" s="227" t="str">
        <f t="shared" si="29"/>
        <v/>
      </c>
      <c r="X261" t="str">
        <f t="shared" si="30"/>
        <v xml:space="preserve">          </v>
      </c>
      <c r="Y261" s="227" t="str">
        <f t="shared" si="31"/>
        <v/>
      </c>
      <c r="Z261" t="str">
        <f t="shared" si="32"/>
        <v/>
      </c>
      <c r="AL261" t="str">
        <f t="shared" si="33"/>
        <v/>
      </c>
      <c r="AM261" t="str">
        <f t="shared" si="34"/>
        <v/>
      </c>
    </row>
    <row r="262" spans="1:39">
      <c r="A262" t="str">
        <f>IF(ISBLANK(Record!A263),"",Record!A263)</f>
        <v/>
      </c>
      <c r="B262" t="str">
        <f>IF(ISBLANK(Record!B263),"",Record!B263)</f>
        <v/>
      </c>
      <c r="C262" s="227" t="str">
        <f>IF(ISBLANK(Record!C263),"",Record!C263)</f>
        <v/>
      </c>
      <c r="D262" t="str">
        <f>IF(ISBLANK(Record!D263),"",Record!D263)</f>
        <v/>
      </c>
      <c r="E262" t="str">
        <f>IF(ISBLANK(Record!E263),"",Record!E263)</f>
        <v/>
      </c>
      <c r="M262" t="str">
        <f t="shared" si="28"/>
        <v xml:space="preserve">          </v>
      </c>
      <c r="N262" s="227" t="str">
        <f t="shared" si="29"/>
        <v/>
      </c>
      <c r="X262" t="str">
        <f t="shared" si="30"/>
        <v xml:space="preserve">          </v>
      </c>
      <c r="Y262" s="227" t="str">
        <f t="shared" si="31"/>
        <v/>
      </c>
      <c r="Z262" t="str">
        <f t="shared" si="32"/>
        <v/>
      </c>
      <c r="AL262" t="str">
        <f t="shared" si="33"/>
        <v/>
      </c>
      <c r="AM262" t="str">
        <f t="shared" si="34"/>
        <v/>
      </c>
    </row>
    <row r="263" spans="1:39">
      <c r="A263" t="str">
        <f>IF(ISBLANK(Record!A264),"",Record!A264)</f>
        <v/>
      </c>
      <c r="B263" t="str">
        <f>IF(ISBLANK(Record!B264),"",Record!B264)</f>
        <v/>
      </c>
      <c r="C263" s="227" t="str">
        <f>IF(ISBLANK(Record!C264),"",Record!C264)</f>
        <v/>
      </c>
      <c r="D263" t="str">
        <f>IF(ISBLANK(Record!D264),"",Record!D264)</f>
        <v/>
      </c>
      <c r="E263" t="str">
        <f>IF(ISBLANK(Record!E264),"",Record!E264)</f>
        <v/>
      </c>
      <c r="M263" t="str">
        <f t="shared" si="28"/>
        <v xml:space="preserve">          </v>
      </c>
      <c r="N263" s="227" t="str">
        <f t="shared" si="29"/>
        <v/>
      </c>
      <c r="X263" t="str">
        <f t="shared" si="30"/>
        <v xml:space="preserve">          </v>
      </c>
      <c r="Y263" s="227" t="str">
        <f t="shared" si="31"/>
        <v/>
      </c>
      <c r="Z263" t="str">
        <f t="shared" si="32"/>
        <v/>
      </c>
      <c r="AL263" t="str">
        <f t="shared" si="33"/>
        <v/>
      </c>
      <c r="AM263" t="str">
        <f t="shared" si="34"/>
        <v/>
      </c>
    </row>
    <row r="264" spans="1:39">
      <c r="A264" t="str">
        <f>IF(ISBLANK(Record!A265),"",Record!A265)</f>
        <v/>
      </c>
      <c r="B264" t="str">
        <f>IF(ISBLANK(Record!B265),"",Record!B265)</f>
        <v/>
      </c>
      <c r="C264" s="227" t="str">
        <f>IF(ISBLANK(Record!C265),"",Record!C265)</f>
        <v/>
      </c>
      <c r="D264" t="str">
        <f>IF(ISBLANK(Record!D265),"",Record!D265)</f>
        <v/>
      </c>
      <c r="E264" t="str">
        <f>IF(ISBLANK(Record!E265),"",Record!E265)</f>
        <v/>
      </c>
      <c r="M264" t="str">
        <f t="shared" si="28"/>
        <v xml:space="preserve">          </v>
      </c>
      <c r="N264" s="227" t="str">
        <f t="shared" si="29"/>
        <v/>
      </c>
      <c r="X264" t="str">
        <f t="shared" si="30"/>
        <v xml:space="preserve">          </v>
      </c>
      <c r="Y264" s="227" t="str">
        <f t="shared" si="31"/>
        <v/>
      </c>
      <c r="Z264" t="str">
        <f t="shared" si="32"/>
        <v/>
      </c>
      <c r="AL264" t="str">
        <f t="shared" si="33"/>
        <v/>
      </c>
      <c r="AM264" t="str">
        <f t="shared" si="34"/>
        <v/>
      </c>
    </row>
    <row r="265" spans="1:39">
      <c r="A265" t="str">
        <f>IF(ISBLANK(Record!A266),"",Record!A266)</f>
        <v/>
      </c>
      <c r="B265" t="str">
        <f>IF(ISBLANK(Record!B266),"",Record!B266)</f>
        <v/>
      </c>
      <c r="C265" s="227" t="str">
        <f>IF(ISBLANK(Record!C266),"",Record!C266)</f>
        <v/>
      </c>
      <c r="D265" t="str">
        <f>IF(ISBLANK(Record!D266),"",Record!D266)</f>
        <v/>
      </c>
      <c r="E265" t="str">
        <f>IF(ISBLANK(Record!E266),"",Record!E266)</f>
        <v/>
      </c>
      <c r="M265" t="str">
        <f t="shared" si="28"/>
        <v xml:space="preserve">          </v>
      </c>
      <c r="N265" s="227" t="str">
        <f t="shared" si="29"/>
        <v/>
      </c>
      <c r="X265" t="str">
        <f t="shared" si="30"/>
        <v xml:space="preserve">          </v>
      </c>
      <c r="Y265" s="227" t="str">
        <f t="shared" si="31"/>
        <v/>
      </c>
      <c r="Z265" t="str">
        <f t="shared" si="32"/>
        <v/>
      </c>
      <c r="AL265" t="str">
        <f t="shared" si="33"/>
        <v/>
      </c>
      <c r="AM265" t="str">
        <f t="shared" si="34"/>
        <v/>
      </c>
    </row>
    <row r="266" spans="1:39">
      <c r="A266" t="str">
        <f>IF(ISBLANK(Record!A267),"",Record!A267)</f>
        <v/>
      </c>
      <c r="B266" t="str">
        <f>IF(ISBLANK(Record!B267),"",Record!B267)</f>
        <v/>
      </c>
      <c r="C266" s="227" t="str">
        <f>IF(ISBLANK(Record!C267),"",Record!C267)</f>
        <v/>
      </c>
      <c r="D266" t="str">
        <f>IF(ISBLANK(Record!D267),"",Record!D267)</f>
        <v/>
      </c>
      <c r="E266" t="str">
        <f>IF(ISBLANK(Record!E267),"",Record!E267)</f>
        <v/>
      </c>
      <c r="M266" t="str">
        <f t="shared" si="28"/>
        <v xml:space="preserve">          </v>
      </c>
      <c r="N266" s="227" t="str">
        <f t="shared" si="29"/>
        <v/>
      </c>
      <c r="X266" t="str">
        <f t="shared" si="30"/>
        <v xml:space="preserve">          </v>
      </c>
      <c r="Y266" s="227" t="str">
        <f t="shared" si="31"/>
        <v/>
      </c>
      <c r="Z266" t="str">
        <f t="shared" si="32"/>
        <v/>
      </c>
      <c r="AL266" t="str">
        <f t="shared" si="33"/>
        <v/>
      </c>
      <c r="AM266" t="str">
        <f t="shared" si="34"/>
        <v/>
      </c>
    </row>
    <row r="267" spans="1:39">
      <c r="A267" t="str">
        <f>IF(ISBLANK(Record!A268),"",Record!A268)</f>
        <v/>
      </c>
      <c r="B267" t="str">
        <f>IF(ISBLANK(Record!B268),"",Record!B268)</f>
        <v/>
      </c>
      <c r="C267" s="227" t="str">
        <f>IF(ISBLANK(Record!C268),"",Record!C268)</f>
        <v/>
      </c>
      <c r="D267" t="str">
        <f>IF(ISBLANK(Record!D268),"",Record!D268)</f>
        <v/>
      </c>
      <c r="E267" t="str">
        <f>IF(ISBLANK(Record!E268),"",Record!E268)</f>
        <v/>
      </c>
      <c r="M267" t="str">
        <f t="shared" si="28"/>
        <v xml:space="preserve">          </v>
      </c>
      <c r="N267" s="227" t="str">
        <f t="shared" si="29"/>
        <v/>
      </c>
      <c r="X267" t="str">
        <f t="shared" si="30"/>
        <v xml:space="preserve">          </v>
      </c>
      <c r="Y267" s="227" t="str">
        <f t="shared" si="31"/>
        <v/>
      </c>
      <c r="Z267" t="str">
        <f t="shared" si="32"/>
        <v/>
      </c>
      <c r="AL267" t="str">
        <f t="shared" si="33"/>
        <v/>
      </c>
      <c r="AM267" t="str">
        <f t="shared" si="34"/>
        <v/>
      </c>
    </row>
    <row r="268" spans="1:39">
      <c r="A268" t="str">
        <f>IF(ISBLANK(Record!A269),"",Record!A269)</f>
        <v/>
      </c>
      <c r="B268" t="str">
        <f>IF(ISBLANK(Record!B269),"",Record!B269)</f>
        <v/>
      </c>
      <c r="C268" s="227" t="str">
        <f>IF(ISBLANK(Record!C269),"",Record!C269)</f>
        <v/>
      </c>
      <c r="D268" t="str">
        <f>IF(ISBLANK(Record!D269),"",Record!D269)</f>
        <v/>
      </c>
      <c r="E268" t="str">
        <f>IF(ISBLANK(Record!E269),"",Record!E269)</f>
        <v/>
      </c>
      <c r="M268" t="str">
        <f t="shared" si="28"/>
        <v xml:space="preserve">          </v>
      </c>
      <c r="N268" s="227" t="str">
        <f t="shared" si="29"/>
        <v/>
      </c>
      <c r="X268" t="str">
        <f t="shared" si="30"/>
        <v xml:space="preserve">          </v>
      </c>
      <c r="Y268" s="227" t="str">
        <f t="shared" si="31"/>
        <v/>
      </c>
      <c r="Z268" t="str">
        <f t="shared" si="32"/>
        <v/>
      </c>
      <c r="AL268" t="str">
        <f t="shared" si="33"/>
        <v/>
      </c>
      <c r="AM268" t="str">
        <f t="shared" si="34"/>
        <v/>
      </c>
    </row>
    <row r="269" spans="1:39">
      <c r="A269" t="str">
        <f>IF(ISBLANK(Record!A270),"",Record!A270)</f>
        <v/>
      </c>
      <c r="B269" t="str">
        <f>IF(ISBLANK(Record!B270),"",Record!B270)</f>
        <v/>
      </c>
      <c r="C269" s="227" t="str">
        <f>IF(ISBLANK(Record!C270),"",Record!C270)</f>
        <v/>
      </c>
      <c r="D269" t="str">
        <f>IF(ISBLANK(Record!D270),"",Record!D270)</f>
        <v/>
      </c>
      <c r="E269" t="str">
        <f>IF(ISBLANK(Record!E270),"",Record!E270)</f>
        <v/>
      </c>
      <c r="M269" t="str">
        <f t="shared" si="28"/>
        <v xml:space="preserve">          </v>
      </c>
      <c r="N269" s="227" t="str">
        <f t="shared" si="29"/>
        <v/>
      </c>
      <c r="X269" t="str">
        <f t="shared" si="30"/>
        <v xml:space="preserve">          </v>
      </c>
      <c r="Y269" s="227" t="str">
        <f t="shared" si="31"/>
        <v/>
      </c>
      <c r="Z269" t="str">
        <f t="shared" si="32"/>
        <v/>
      </c>
      <c r="AL269" t="str">
        <f t="shared" si="33"/>
        <v/>
      </c>
      <c r="AM269" t="str">
        <f t="shared" si="34"/>
        <v/>
      </c>
    </row>
    <row r="270" spans="1:39">
      <c r="A270" t="str">
        <f>IF(ISBLANK(Record!A271),"",Record!A271)</f>
        <v/>
      </c>
      <c r="B270" t="str">
        <f>IF(ISBLANK(Record!B271),"",Record!B271)</f>
        <v/>
      </c>
      <c r="C270" s="227" t="str">
        <f>IF(ISBLANK(Record!C271),"",Record!C271)</f>
        <v/>
      </c>
      <c r="D270" t="str">
        <f>IF(ISBLANK(Record!D271),"",Record!D271)</f>
        <v/>
      </c>
      <c r="E270" t="str">
        <f>IF(ISBLANK(Record!E271),"",Record!E271)</f>
        <v/>
      </c>
      <c r="M270" t="str">
        <f t="shared" si="28"/>
        <v xml:space="preserve">          </v>
      </c>
      <c r="N270" s="227" t="str">
        <f t="shared" si="29"/>
        <v/>
      </c>
      <c r="X270" t="str">
        <f t="shared" si="30"/>
        <v xml:space="preserve">          </v>
      </c>
      <c r="Y270" s="227" t="str">
        <f t="shared" si="31"/>
        <v/>
      </c>
      <c r="Z270" t="str">
        <f t="shared" si="32"/>
        <v/>
      </c>
      <c r="AL270" t="str">
        <f t="shared" si="33"/>
        <v/>
      </c>
      <c r="AM270" t="str">
        <f t="shared" si="34"/>
        <v/>
      </c>
    </row>
    <row r="271" spans="1:39">
      <c r="A271" t="str">
        <f>IF(ISBLANK(Record!A272),"",Record!A272)</f>
        <v/>
      </c>
      <c r="B271" t="str">
        <f>IF(ISBLANK(Record!B272),"",Record!B272)</f>
        <v/>
      </c>
      <c r="C271" s="227" t="str">
        <f>IF(ISBLANK(Record!C272),"",Record!C272)</f>
        <v/>
      </c>
      <c r="D271" t="str">
        <f>IF(ISBLANK(Record!D272),"",Record!D272)</f>
        <v/>
      </c>
      <c r="E271" t="str">
        <f>IF(ISBLANK(Record!E272),"",Record!E272)</f>
        <v/>
      </c>
      <c r="M271" t="str">
        <f t="shared" si="28"/>
        <v xml:space="preserve">          </v>
      </c>
      <c r="N271" s="227" t="str">
        <f t="shared" si="29"/>
        <v/>
      </c>
      <c r="X271" t="str">
        <f t="shared" si="30"/>
        <v xml:space="preserve">          </v>
      </c>
      <c r="Y271" s="227" t="str">
        <f t="shared" si="31"/>
        <v/>
      </c>
      <c r="Z271" t="str">
        <f t="shared" si="32"/>
        <v/>
      </c>
      <c r="AL271" t="str">
        <f t="shared" si="33"/>
        <v/>
      </c>
      <c r="AM271" t="str">
        <f t="shared" si="34"/>
        <v/>
      </c>
    </row>
    <row r="272" spans="1:39">
      <c r="A272" t="str">
        <f>IF(ISBLANK(Record!A273),"",Record!A273)</f>
        <v/>
      </c>
      <c r="B272" t="str">
        <f>IF(ISBLANK(Record!B273),"",Record!B273)</f>
        <v/>
      </c>
      <c r="C272" s="227" t="str">
        <f>IF(ISBLANK(Record!C273),"",Record!C273)</f>
        <v/>
      </c>
      <c r="D272" t="str">
        <f>IF(ISBLANK(Record!D273),"",Record!D273)</f>
        <v/>
      </c>
      <c r="E272" t="str">
        <f>IF(ISBLANK(Record!E273),"",Record!E273)</f>
        <v/>
      </c>
      <c r="M272" t="str">
        <f t="shared" si="28"/>
        <v xml:space="preserve">          </v>
      </c>
      <c r="N272" s="227" t="str">
        <f t="shared" si="29"/>
        <v/>
      </c>
      <c r="X272" t="str">
        <f t="shared" si="30"/>
        <v xml:space="preserve">          </v>
      </c>
      <c r="Y272" s="227" t="str">
        <f t="shared" si="31"/>
        <v/>
      </c>
      <c r="Z272" t="str">
        <f t="shared" si="32"/>
        <v/>
      </c>
      <c r="AL272" t="str">
        <f t="shared" si="33"/>
        <v/>
      </c>
      <c r="AM272" t="str">
        <f t="shared" si="34"/>
        <v/>
      </c>
    </row>
    <row r="273" spans="1:39">
      <c r="A273" t="str">
        <f>IF(ISBLANK(Record!A274),"",Record!A274)</f>
        <v/>
      </c>
      <c r="B273" t="str">
        <f>IF(ISBLANK(Record!B274),"",Record!B274)</f>
        <v/>
      </c>
      <c r="C273" s="227" t="str">
        <f>IF(ISBLANK(Record!C274),"",Record!C274)</f>
        <v/>
      </c>
      <c r="D273" t="str">
        <f>IF(ISBLANK(Record!D274),"",Record!D274)</f>
        <v/>
      </c>
      <c r="E273" t="str">
        <f>IF(ISBLANK(Record!E274),"",Record!E274)</f>
        <v/>
      </c>
      <c r="M273" t="str">
        <f t="shared" si="28"/>
        <v xml:space="preserve">          </v>
      </c>
      <c r="N273" s="227" t="str">
        <f t="shared" si="29"/>
        <v/>
      </c>
      <c r="X273" t="str">
        <f t="shared" si="30"/>
        <v xml:space="preserve">          </v>
      </c>
      <c r="Y273" s="227" t="str">
        <f t="shared" si="31"/>
        <v/>
      </c>
      <c r="Z273" t="str">
        <f t="shared" si="32"/>
        <v/>
      </c>
      <c r="AL273" t="str">
        <f t="shared" si="33"/>
        <v/>
      </c>
      <c r="AM273" t="str">
        <f t="shared" si="34"/>
        <v/>
      </c>
    </row>
    <row r="274" spans="1:39">
      <c r="A274" t="str">
        <f>IF(ISBLANK(Record!A275),"",Record!A275)</f>
        <v/>
      </c>
      <c r="B274" t="str">
        <f>IF(ISBLANK(Record!B275),"",Record!B275)</f>
        <v/>
      </c>
      <c r="C274" s="227" t="str">
        <f>IF(ISBLANK(Record!C275),"",Record!C275)</f>
        <v/>
      </c>
      <c r="D274" t="str">
        <f>IF(ISBLANK(Record!D275),"",Record!D275)</f>
        <v/>
      </c>
      <c r="E274" t="str">
        <f>IF(ISBLANK(Record!E275),"",Record!E275)</f>
        <v/>
      </c>
      <c r="M274" t="str">
        <f t="shared" si="28"/>
        <v xml:space="preserve">          </v>
      </c>
      <c r="N274" s="227" t="str">
        <f t="shared" si="29"/>
        <v/>
      </c>
      <c r="X274" t="str">
        <f t="shared" si="30"/>
        <v xml:space="preserve">          </v>
      </c>
      <c r="Y274" s="227" t="str">
        <f t="shared" si="31"/>
        <v/>
      </c>
      <c r="Z274" t="str">
        <f t="shared" si="32"/>
        <v/>
      </c>
      <c r="AL274" t="str">
        <f t="shared" si="33"/>
        <v/>
      </c>
      <c r="AM274" t="str">
        <f t="shared" si="34"/>
        <v/>
      </c>
    </row>
    <row r="275" spans="1:39">
      <c r="A275" t="str">
        <f>IF(ISBLANK(Record!A276),"",Record!A276)</f>
        <v/>
      </c>
      <c r="B275" t="str">
        <f>IF(ISBLANK(Record!B276),"",Record!B276)</f>
        <v/>
      </c>
      <c r="C275" s="227" t="str">
        <f>IF(ISBLANK(Record!C276),"",Record!C276)</f>
        <v/>
      </c>
      <c r="D275" t="str">
        <f>IF(ISBLANK(Record!D276),"",Record!D276)</f>
        <v/>
      </c>
      <c r="E275" t="str">
        <f>IF(ISBLANK(Record!E276),"",Record!E276)</f>
        <v/>
      </c>
      <c r="M275" t="str">
        <f t="shared" si="28"/>
        <v xml:space="preserve">          </v>
      </c>
      <c r="N275" s="227" t="str">
        <f t="shared" si="29"/>
        <v/>
      </c>
      <c r="X275" t="str">
        <f t="shared" si="30"/>
        <v xml:space="preserve">          </v>
      </c>
      <c r="Y275" s="227" t="str">
        <f t="shared" si="31"/>
        <v/>
      </c>
      <c r="Z275" t="str">
        <f t="shared" si="32"/>
        <v/>
      </c>
      <c r="AL275" t="str">
        <f t="shared" si="33"/>
        <v/>
      </c>
      <c r="AM275" t="str">
        <f t="shared" si="34"/>
        <v/>
      </c>
    </row>
    <row r="276" spans="1:39">
      <c r="A276" t="str">
        <f>IF(ISBLANK(Record!A277),"",Record!A277)</f>
        <v/>
      </c>
      <c r="B276" t="str">
        <f>IF(ISBLANK(Record!B277),"",Record!B277)</f>
        <v/>
      </c>
      <c r="C276" s="227" t="str">
        <f>IF(ISBLANK(Record!C277),"",Record!C277)</f>
        <v/>
      </c>
      <c r="D276" t="str">
        <f>IF(ISBLANK(Record!D277),"",Record!D277)</f>
        <v/>
      </c>
      <c r="E276" t="str">
        <f>IF(ISBLANK(Record!E277),"",Record!E277)</f>
        <v/>
      </c>
      <c r="M276" t="str">
        <f t="shared" si="28"/>
        <v xml:space="preserve">          </v>
      </c>
      <c r="N276" s="227" t="str">
        <f t="shared" si="29"/>
        <v/>
      </c>
      <c r="X276" t="str">
        <f t="shared" si="30"/>
        <v xml:space="preserve">          </v>
      </c>
      <c r="Y276" s="227" t="str">
        <f t="shared" si="31"/>
        <v/>
      </c>
      <c r="Z276" t="str">
        <f t="shared" si="32"/>
        <v/>
      </c>
      <c r="AL276" t="str">
        <f t="shared" si="33"/>
        <v/>
      </c>
      <c r="AM276" t="str">
        <f t="shared" si="34"/>
        <v/>
      </c>
    </row>
    <row r="277" spans="1:39">
      <c r="A277" t="str">
        <f>IF(ISBLANK(Record!A278),"",Record!A278)</f>
        <v/>
      </c>
      <c r="B277" t="str">
        <f>IF(ISBLANK(Record!B278),"",Record!B278)</f>
        <v/>
      </c>
      <c r="C277" s="227" t="str">
        <f>IF(ISBLANK(Record!C278),"",Record!C278)</f>
        <v/>
      </c>
      <c r="D277" t="str">
        <f>IF(ISBLANK(Record!D278),"",Record!D278)</f>
        <v/>
      </c>
      <c r="E277" t="str">
        <f>IF(ISBLANK(Record!E278),"",Record!E278)</f>
        <v/>
      </c>
      <c r="M277" t="str">
        <f t="shared" si="28"/>
        <v xml:space="preserve">          </v>
      </c>
      <c r="N277" s="227" t="str">
        <f t="shared" si="29"/>
        <v/>
      </c>
      <c r="X277" t="str">
        <f t="shared" si="30"/>
        <v xml:space="preserve">          </v>
      </c>
      <c r="Y277" s="227" t="str">
        <f t="shared" si="31"/>
        <v/>
      </c>
      <c r="Z277" t="str">
        <f t="shared" si="32"/>
        <v/>
      </c>
      <c r="AL277" t="str">
        <f t="shared" si="33"/>
        <v/>
      </c>
      <c r="AM277" t="str">
        <f t="shared" si="34"/>
        <v/>
      </c>
    </row>
    <row r="278" spans="1:39">
      <c r="A278" t="str">
        <f>IF(ISBLANK(Record!A279),"",Record!A279)</f>
        <v/>
      </c>
      <c r="B278" t="str">
        <f>IF(ISBLANK(Record!B279),"",Record!B279)</f>
        <v/>
      </c>
      <c r="C278" s="227" t="str">
        <f>IF(ISBLANK(Record!C279),"",Record!C279)</f>
        <v/>
      </c>
      <c r="D278" t="str">
        <f>IF(ISBLANK(Record!D279),"",Record!D279)</f>
        <v/>
      </c>
      <c r="E278" t="str">
        <f>IF(ISBLANK(Record!E279),"",Record!E279)</f>
        <v/>
      </c>
      <c r="M278" t="str">
        <f t="shared" si="28"/>
        <v xml:space="preserve">          </v>
      </c>
      <c r="N278" s="227" t="str">
        <f t="shared" si="29"/>
        <v/>
      </c>
      <c r="X278" t="str">
        <f t="shared" si="30"/>
        <v xml:space="preserve">          </v>
      </c>
      <c r="Y278" s="227" t="str">
        <f t="shared" si="31"/>
        <v/>
      </c>
      <c r="Z278" t="str">
        <f t="shared" si="32"/>
        <v/>
      </c>
      <c r="AL278" t="str">
        <f t="shared" si="33"/>
        <v/>
      </c>
      <c r="AM278" t="str">
        <f t="shared" si="34"/>
        <v/>
      </c>
    </row>
    <row r="279" spans="1:39">
      <c r="A279" t="str">
        <f>IF(ISBLANK(Record!A280),"",Record!A280)</f>
        <v/>
      </c>
      <c r="B279" t="str">
        <f>IF(ISBLANK(Record!B280),"",Record!B280)</f>
        <v/>
      </c>
      <c r="C279" s="227" t="str">
        <f>IF(ISBLANK(Record!C280),"",Record!C280)</f>
        <v/>
      </c>
      <c r="D279" t="str">
        <f>IF(ISBLANK(Record!D280),"",Record!D280)</f>
        <v/>
      </c>
      <c r="E279" t="str">
        <f>IF(ISBLANK(Record!E280),"",Record!E280)</f>
        <v/>
      </c>
      <c r="M279" t="str">
        <f t="shared" si="28"/>
        <v xml:space="preserve">          </v>
      </c>
      <c r="N279" s="227" t="str">
        <f t="shared" si="29"/>
        <v/>
      </c>
      <c r="X279" t="str">
        <f t="shared" si="30"/>
        <v xml:space="preserve">          </v>
      </c>
      <c r="Y279" s="227" t="str">
        <f t="shared" si="31"/>
        <v/>
      </c>
      <c r="Z279" t="str">
        <f t="shared" si="32"/>
        <v/>
      </c>
      <c r="AL279" t="str">
        <f t="shared" si="33"/>
        <v/>
      </c>
      <c r="AM279" t="str">
        <f t="shared" si="34"/>
        <v/>
      </c>
    </row>
    <row r="280" spans="1:39">
      <c r="A280" t="str">
        <f>IF(ISBLANK(Record!A281),"",Record!A281)</f>
        <v/>
      </c>
      <c r="B280" t="str">
        <f>IF(ISBLANK(Record!B281),"",Record!B281)</f>
        <v/>
      </c>
      <c r="C280" s="227" t="str">
        <f>IF(ISBLANK(Record!C281),"",Record!C281)</f>
        <v/>
      </c>
      <c r="D280" t="str">
        <f>IF(ISBLANK(Record!D281),"",Record!D281)</f>
        <v/>
      </c>
      <c r="E280" t="str">
        <f>IF(ISBLANK(Record!E281),"",Record!E281)</f>
        <v/>
      </c>
      <c r="M280" t="str">
        <f t="shared" si="28"/>
        <v xml:space="preserve">          </v>
      </c>
      <c r="N280" s="227" t="str">
        <f t="shared" si="29"/>
        <v/>
      </c>
      <c r="X280" t="str">
        <f t="shared" si="30"/>
        <v xml:space="preserve">          </v>
      </c>
      <c r="Y280" s="227" t="str">
        <f t="shared" si="31"/>
        <v/>
      </c>
      <c r="Z280" t="str">
        <f t="shared" si="32"/>
        <v/>
      </c>
      <c r="AL280" t="str">
        <f t="shared" si="33"/>
        <v/>
      </c>
      <c r="AM280" t="str">
        <f t="shared" si="34"/>
        <v/>
      </c>
    </row>
    <row r="281" spans="1:39">
      <c r="A281" t="str">
        <f>IF(ISBLANK(Record!A282),"",Record!A282)</f>
        <v/>
      </c>
      <c r="B281" t="str">
        <f>IF(ISBLANK(Record!B282),"",Record!B282)</f>
        <v/>
      </c>
      <c r="C281" s="227" t="str">
        <f>IF(ISBLANK(Record!C282),"",Record!C282)</f>
        <v/>
      </c>
      <c r="D281" t="str">
        <f>IF(ISBLANK(Record!D282),"",Record!D282)</f>
        <v/>
      </c>
      <c r="E281" t="str">
        <f>IF(ISBLANK(Record!E282),"",Record!E282)</f>
        <v/>
      </c>
      <c r="M281" t="str">
        <f t="shared" si="28"/>
        <v xml:space="preserve">          </v>
      </c>
      <c r="N281" s="227" t="str">
        <f t="shared" si="29"/>
        <v/>
      </c>
      <c r="X281" t="str">
        <f t="shared" si="30"/>
        <v xml:space="preserve">          </v>
      </c>
      <c r="Y281" s="227" t="str">
        <f t="shared" si="31"/>
        <v/>
      </c>
      <c r="Z281" t="str">
        <f t="shared" si="32"/>
        <v/>
      </c>
      <c r="AL281" t="str">
        <f t="shared" si="33"/>
        <v/>
      </c>
      <c r="AM281" t="str">
        <f t="shared" si="34"/>
        <v/>
      </c>
    </row>
    <row r="282" spans="1:39">
      <c r="A282" t="str">
        <f>IF(ISBLANK(Record!A283),"",Record!A283)</f>
        <v/>
      </c>
      <c r="B282" t="str">
        <f>IF(ISBLANK(Record!B283),"",Record!B283)</f>
        <v/>
      </c>
      <c r="C282" s="227" t="str">
        <f>IF(ISBLANK(Record!C283),"",Record!C283)</f>
        <v/>
      </c>
      <c r="D282" t="str">
        <f>IF(ISBLANK(Record!D283),"",Record!D283)</f>
        <v/>
      </c>
      <c r="E282" t="str">
        <f>IF(ISBLANK(Record!E283),"",Record!E283)</f>
        <v/>
      </c>
      <c r="M282" t="str">
        <f t="shared" si="28"/>
        <v xml:space="preserve">          </v>
      </c>
      <c r="N282" s="227" t="str">
        <f t="shared" si="29"/>
        <v/>
      </c>
      <c r="X282" t="str">
        <f t="shared" si="30"/>
        <v xml:space="preserve">          </v>
      </c>
      <c r="Y282" s="227" t="str">
        <f t="shared" si="31"/>
        <v/>
      </c>
      <c r="Z282" t="str">
        <f t="shared" si="32"/>
        <v/>
      </c>
      <c r="AL282" t="str">
        <f t="shared" si="33"/>
        <v/>
      </c>
      <c r="AM282" t="str">
        <f t="shared" si="34"/>
        <v/>
      </c>
    </row>
    <row r="283" spans="1:39">
      <c r="A283" t="str">
        <f>IF(ISBLANK(Record!A284),"",Record!A284)</f>
        <v/>
      </c>
      <c r="B283" t="str">
        <f>IF(ISBLANK(Record!B284),"",Record!B284)</f>
        <v/>
      </c>
      <c r="C283" s="227" t="str">
        <f>IF(ISBLANK(Record!C284),"",Record!C284)</f>
        <v/>
      </c>
      <c r="D283" t="str">
        <f>IF(ISBLANK(Record!D284),"",Record!D284)</f>
        <v/>
      </c>
      <c r="E283" t="str">
        <f>IF(ISBLANK(Record!E284),"",Record!E284)</f>
        <v/>
      </c>
      <c r="M283" t="str">
        <f t="shared" si="28"/>
        <v xml:space="preserve">          </v>
      </c>
      <c r="N283" s="227" t="str">
        <f t="shared" si="29"/>
        <v/>
      </c>
      <c r="X283" t="str">
        <f t="shared" si="30"/>
        <v xml:space="preserve">          </v>
      </c>
      <c r="Y283" s="227" t="str">
        <f t="shared" si="31"/>
        <v/>
      </c>
      <c r="Z283" t="str">
        <f t="shared" si="32"/>
        <v/>
      </c>
      <c r="AL283" t="str">
        <f t="shared" si="33"/>
        <v/>
      </c>
      <c r="AM283" t="str">
        <f t="shared" si="34"/>
        <v/>
      </c>
    </row>
    <row r="284" spans="1:39">
      <c r="A284" t="str">
        <f>IF(ISBLANK(Record!A285),"",Record!A285)</f>
        <v/>
      </c>
      <c r="B284" t="str">
        <f>IF(ISBLANK(Record!B285),"",Record!B285)</f>
        <v/>
      </c>
      <c r="C284" s="227" t="str">
        <f>IF(ISBLANK(Record!C285),"",Record!C285)</f>
        <v/>
      </c>
      <c r="D284" t="str">
        <f>IF(ISBLANK(Record!D285),"",Record!D285)</f>
        <v/>
      </c>
      <c r="E284" t="str">
        <f>IF(ISBLANK(Record!E285),"",Record!E285)</f>
        <v/>
      </c>
      <c r="M284" t="str">
        <f t="shared" si="28"/>
        <v xml:space="preserve">          </v>
      </c>
      <c r="N284" s="227" t="str">
        <f t="shared" si="29"/>
        <v/>
      </c>
      <c r="X284" t="str">
        <f t="shared" si="30"/>
        <v xml:space="preserve">          </v>
      </c>
      <c r="Y284" s="227" t="str">
        <f t="shared" si="31"/>
        <v/>
      </c>
      <c r="Z284" t="str">
        <f t="shared" si="32"/>
        <v/>
      </c>
      <c r="AL284" t="str">
        <f t="shared" si="33"/>
        <v/>
      </c>
      <c r="AM284" t="str">
        <f t="shared" si="34"/>
        <v/>
      </c>
    </row>
    <row r="285" spans="1:39">
      <c r="A285" t="str">
        <f>IF(ISBLANK(Record!A286),"",Record!A286)</f>
        <v/>
      </c>
      <c r="B285" t="str">
        <f>IF(ISBLANK(Record!B286),"",Record!B286)</f>
        <v/>
      </c>
      <c r="C285" s="227" t="str">
        <f>IF(ISBLANK(Record!C286),"",Record!C286)</f>
        <v/>
      </c>
      <c r="D285" t="str">
        <f>IF(ISBLANK(Record!D286),"",Record!D286)</f>
        <v/>
      </c>
      <c r="E285" t="str">
        <f>IF(ISBLANK(Record!E286),"",Record!E286)</f>
        <v/>
      </c>
      <c r="M285" t="str">
        <f t="shared" si="28"/>
        <v xml:space="preserve">          </v>
      </c>
      <c r="N285" s="227" t="str">
        <f t="shared" si="29"/>
        <v/>
      </c>
      <c r="X285" t="str">
        <f t="shared" si="30"/>
        <v xml:space="preserve">          </v>
      </c>
      <c r="Y285" s="227" t="str">
        <f t="shared" si="31"/>
        <v/>
      </c>
      <c r="Z285" t="str">
        <f t="shared" si="32"/>
        <v/>
      </c>
      <c r="AL285" t="str">
        <f t="shared" si="33"/>
        <v/>
      </c>
      <c r="AM285" t="str">
        <f t="shared" si="34"/>
        <v/>
      </c>
    </row>
    <row r="286" spans="1:39">
      <c r="A286" t="str">
        <f>IF(ISBLANK(Record!A287),"",Record!A287)</f>
        <v/>
      </c>
      <c r="B286" t="str">
        <f>IF(ISBLANK(Record!B287),"",Record!B287)</f>
        <v/>
      </c>
      <c r="C286" s="227" t="str">
        <f>IF(ISBLANK(Record!C287),"",Record!C287)</f>
        <v/>
      </c>
      <c r="D286" t="str">
        <f>IF(ISBLANK(Record!D287),"",Record!D287)</f>
        <v/>
      </c>
      <c r="E286" t="str">
        <f>IF(ISBLANK(Record!E287),"",Record!E287)</f>
        <v/>
      </c>
      <c r="M286" t="str">
        <f t="shared" si="28"/>
        <v xml:space="preserve">          </v>
      </c>
      <c r="N286" s="227" t="str">
        <f t="shared" si="29"/>
        <v/>
      </c>
      <c r="X286" t="str">
        <f t="shared" si="30"/>
        <v xml:space="preserve">          </v>
      </c>
      <c r="Y286" s="227" t="str">
        <f t="shared" si="31"/>
        <v/>
      </c>
      <c r="Z286" t="str">
        <f t="shared" si="32"/>
        <v/>
      </c>
      <c r="AL286" t="str">
        <f t="shared" si="33"/>
        <v/>
      </c>
      <c r="AM286" t="str">
        <f t="shared" si="34"/>
        <v/>
      </c>
    </row>
    <row r="287" spans="1:39">
      <c r="A287" t="str">
        <f>IF(ISBLANK(Record!A288),"",Record!A288)</f>
        <v/>
      </c>
      <c r="B287" t="str">
        <f>IF(ISBLANK(Record!B288),"",Record!B288)</f>
        <v/>
      </c>
      <c r="C287" s="227" t="str">
        <f>IF(ISBLANK(Record!C288),"",Record!C288)</f>
        <v/>
      </c>
      <c r="D287" t="str">
        <f>IF(ISBLANK(Record!D288),"",Record!D288)</f>
        <v/>
      </c>
      <c r="E287" t="str">
        <f>IF(ISBLANK(Record!E288),"",Record!E288)</f>
        <v/>
      </c>
      <c r="M287" t="str">
        <f t="shared" si="28"/>
        <v xml:space="preserve">          </v>
      </c>
      <c r="N287" s="227" t="str">
        <f t="shared" si="29"/>
        <v/>
      </c>
      <c r="X287" t="str">
        <f t="shared" si="30"/>
        <v xml:space="preserve">          </v>
      </c>
      <c r="Y287" s="227" t="str">
        <f t="shared" si="31"/>
        <v/>
      </c>
      <c r="Z287" t="str">
        <f t="shared" si="32"/>
        <v/>
      </c>
      <c r="AL287" t="str">
        <f t="shared" si="33"/>
        <v/>
      </c>
      <c r="AM287" t="str">
        <f t="shared" si="34"/>
        <v/>
      </c>
    </row>
    <row r="288" spans="1:39">
      <c r="A288" t="str">
        <f>IF(ISBLANK(Record!A289),"",Record!A289)</f>
        <v/>
      </c>
      <c r="B288" t="str">
        <f>IF(ISBLANK(Record!B289),"",Record!B289)</f>
        <v/>
      </c>
      <c r="C288" s="227" t="str">
        <f>IF(ISBLANK(Record!C289),"",Record!C289)</f>
        <v/>
      </c>
      <c r="D288" t="str">
        <f>IF(ISBLANK(Record!D289),"",Record!D289)</f>
        <v/>
      </c>
      <c r="E288" t="str">
        <f>IF(ISBLANK(Record!E289),"",Record!E289)</f>
        <v/>
      </c>
      <c r="M288" t="str">
        <f t="shared" si="28"/>
        <v xml:space="preserve">          </v>
      </c>
      <c r="N288" s="227" t="str">
        <f t="shared" si="29"/>
        <v/>
      </c>
      <c r="X288" t="str">
        <f t="shared" si="30"/>
        <v xml:space="preserve">          </v>
      </c>
      <c r="Y288" s="227" t="str">
        <f t="shared" si="31"/>
        <v/>
      </c>
      <c r="Z288" t="str">
        <f t="shared" si="32"/>
        <v/>
      </c>
      <c r="AL288" t="str">
        <f t="shared" si="33"/>
        <v/>
      </c>
      <c r="AM288" t="str">
        <f t="shared" si="34"/>
        <v/>
      </c>
    </row>
    <row r="289" spans="1:39">
      <c r="A289" t="str">
        <f>IF(ISBLANK(Record!A290),"",Record!A290)</f>
        <v/>
      </c>
      <c r="B289" t="str">
        <f>IF(ISBLANK(Record!B290),"",Record!B290)</f>
        <v/>
      </c>
      <c r="C289" s="227" t="str">
        <f>IF(ISBLANK(Record!C290),"",Record!C290)</f>
        <v/>
      </c>
      <c r="D289" t="str">
        <f>IF(ISBLANK(Record!D290),"",Record!D290)</f>
        <v/>
      </c>
      <c r="E289" t="str">
        <f>IF(ISBLANK(Record!E290),"",Record!E290)</f>
        <v/>
      </c>
      <c r="M289" t="str">
        <f t="shared" si="28"/>
        <v xml:space="preserve">          </v>
      </c>
      <c r="N289" s="227" t="str">
        <f t="shared" si="29"/>
        <v/>
      </c>
      <c r="X289" t="str">
        <f t="shared" si="30"/>
        <v xml:space="preserve">          </v>
      </c>
      <c r="Y289" s="227" t="str">
        <f t="shared" si="31"/>
        <v/>
      </c>
      <c r="Z289" t="str">
        <f t="shared" si="32"/>
        <v/>
      </c>
      <c r="AL289" t="str">
        <f t="shared" si="33"/>
        <v/>
      </c>
      <c r="AM289" t="str">
        <f t="shared" si="34"/>
        <v/>
      </c>
    </row>
    <row r="290" spans="1:39">
      <c r="A290" t="str">
        <f>IF(ISBLANK(Record!A291),"",Record!A291)</f>
        <v/>
      </c>
      <c r="B290" t="str">
        <f>IF(ISBLANK(Record!B291),"",Record!B291)</f>
        <v/>
      </c>
      <c r="C290" s="227" t="str">
        <f>IF(ISBLANK(Record!C291),"",Record!C291)</f>
        <v/>
      </c>
      <c r="D290" t="str">
        <f>IF(ISBLANK(Record!D291),"",Record!D291)</f>
        <v/>
      </c>
      <c r="E290" t="str">
        <f>IF(ISBLANK(Record!E291),"",Record!E291)</f>
        <v/>
      </c>
      <c r="M290" t="str">
        <f t="shared" si="28"/>
        <v xml:space="preserve">          </v>
      </c>
      <c r="N290" s="227" t="str">
        <f t="shared" si="29"/>
        <v/>
      </c>
      <c r="X290" t="str">
        <f t="shared" si="30"/>
        <v xml:space="preserve">          </v>
      </c>
      <c r="Y290" s="227" t="str">
        <f t="shared" si="31"/>
        <v/>
      </c>
      <c r="Z290" t="str">
        <f t="shared" si="32"/>
        <v/>
      </c>
      <c r="AL290" t="str">
        <f t="shared" si="33"/>
        <v/>
      </c>
      <c r="AM290" t="str">
        <f t="shared" si="34"/>
        <v/>
      </c>
    </row>
    <row r="291" spans="1:39">
      <c r="A291" t="str">
        <f>IF(ISBLANK(Record!A292),"",Record!A292)</f>
        <v/>
      </c>
      <c r="B291" t="str">
        <f>IF(ISBLANK(Record!B292),"",Record!B292)</f>
        <v/>
      </c>
      <c r="C291" s="227" t="str">
        <f>IF(ISBLANK(Record!C292),"",Record!C292)</f>
        <v/>
      </c>
      <c r="D291" t="str">
        <f>IF(ISBLANK(Record!D292),"",Record!D292)</f>
        <v/>
      </c>
      <c r="E291" t="str">
        <f>IF(ISBLANK(Record!E292),"",Record!E292)</f>
        <v/>
      </c>
      <c r="M291" t="str">
        <f t="shared" si="28"/>
        <v xml:space="preserve">          </v>
      </c>
      <c r="N291" s="227" t="str">
        <f t="shared" si="29"/>
        <v/>
      </c>
      <c r="X291" t="str">
        <f t="shared" si="30"/>
        <v xml:space="preserve">          </v>
      </c>
      <c r="Y291" s="227" t="str">
        <f t="shared" si="31"/>
        <v/>
      </c>
      <c r="Z291" t="str">
        <f t="shared" si="32"/>
        <v/>
      </c>
      <c r="AL291" t="str">
        <f t="shared" si="33"/>
        <v/>
      </c>
      <c r="AM291" t="str">
        <f t="shared" si="34"/>
        <v/>
      </c>
    </row>
    <row r="292" spans="1:39">
      <c r="A292" t="str">
        <f>IF(ISBLANK(Record!A293),"",Record!A293)</f>
        <v/>
      </c>
      <c r="B292" t="str">
        <f>IF(ISBLANK(Record!B293),"",Record!B293)</f>
        <v/>
      </c>
      <c r="C292" s="227" t="str">
        <f>IF(ISBLANK(Record!C293),"",Record!C293)</f>
        <v/>
      </c>
      <c r="D292" t="str">
        <f>IF(ISBLANK(Record!D293),"",Record!D293)</f>
        <v/>
      </c>
      <c r="E292" t="str">
        <f>IF(ISBLANK(Record!E293),"",Record!E293)</f>
        <v/>
      </c>
      <c r="M292" t="str">
        <f t="shared" si="28"/>
        <v xml:space="preserve">          </v>
      </c>
      <c r="N292" s="227" t="str">
        <f t="shared" si="29"/>
        <v/>
      </c>
      <c r="X292" t="str">
        <f t="shared" si="30"/>
        <v xml:space="preserve">          </v>
      </c>
      <c r="Y292" s="227" t="str">
        <f t="shared" si="31"/>
        <v/>
      </c>
      <c r="Z292" t="str">
        <f t="shared" si="32"/>
        <v/>
      </c>
      <c r="AL292" t="str">
        <f t="shared" si="33"/>
        <v/>
      </c>
      <c r="AM292" t="str">
        <f t="shared" si="34"/>
        <v/>
      </c>
    </row>
    <row r="293" spans="1:39">
      <c r="A293" t="str">
        <f>IF(ISBLANK(Record!A294),"",Record!A294)</f>
        <v/>
      </c>
      <c r="B293" t="str">
        <f>IF(ISBLANK(Record!B294),"",Record!B294)</f>
        <v/>
      </c>
      <c r="C293" s="227" t="str">
        <f>IF(ISBLANK(Record!C294),"",Record!C294)</f>
        <v/>
      </c>
      <c r="D293" t="str">
        <f>IF(ISBLANK(Record!D294),"",Record!D294)</f>
        <v/>
      </c>
      <c r="E293" t="str">
        <f>IF(ISBLANK(Record!E294),"",Record!E294)</f>
        <v/>
      </c>
      <c r="M293" t="str">
        <f t="shared" si="28"/>
        <v xml:space="preserve">          </v>
      </c>
      <c r="N293" s="227" t="str">
        <f t="shared" si="29"/>
        <v/>
      </c>
      <c r="X293" t="str">
        <f t="shared" si="30"/>
        <v xml:space="preserve">          </v>
      </c>
      <c r="Y293" s="227" t="str">
        <f t="shared" si="31"/>
        <v/>
      </c>
      <c r="Z293" t="str">
        <f t="shared" si="32"/>
        <v/>
      </c>
      <c r="AL293" t="str">
        <f t="shared" si="33"/>
        <v/>
      </c>
      <c r="AM293" t="str">
        <f t="shared" si="34"/>
        <v/>
      </c>
    </row>
    <row r="294" spans="1:39">
      <c r="A294" t="str">
        <f>IF(ISBLANK(Record!A295),"",Record!A295)</f>
        <v/>
      </c>
      <c r="B294" t="str">
        <f>IF(ISBLANK(Record!B295),"",Record!B295)</f>
        <v/>
      </c>
      <c r="C294" s="227" t="str">
        <f>IF(ISBLANK(Record!C295),"",Record!C295)</f>
        <v/>
      </c>
      <c r="D294" t="str">
        <f>IF(ISBLANK(Record!D295),"",Record!D295)</f>
        <v/>
      </c>
      <c r="E294" t="str">
        <f>IF(ISBLANK(Record!E295),"",Record!E295)</f>
        <v/>
      </c>
      <c r="M294" t="str">
        <f t="shared" si="28"/>
        <v xml:space="preserve">          </v>
      </c>
      <c r="N294" s="227" t="str">
        <f t="shared" si="29"/>
        <v/>
      </c>
      <c r="X294" t="str">
        <f t="shared" si="30"/>
        <v xml:space="preserve">          </v>
      </c>
      <c r="Y294" s="227" t="str">
        <f t="shared" si="31"/>
        <v/>
      </c>
      <c r="Z294" t="str">
        <f t="shared" si="32"/>
        <v/>
      </c>
      <c r="AL294" t="str">
        <f t="shared" si="33"/>
        <v/>
      </c>
      <c r="AM294" t="str">
        <f t="shared" si="34"/>
        <v/>
      </c>
    </row>
    <row r="295" spans="1:39">
      <c r="A295" t="str">
        <f>IF(ISBLANK(Record!A296),"",Record!A296)</f>
        <v/>
      </c>
      <c r="B295" t="str">
        <f>IF(ISBLANK(Record!B296),"",Record!B296)</f>
        <v/>
      </c>
      <c r="C295" s="227" t="str">
        <f>IF(ISBLANK(Record!C296),"",Record!C296)</f>
        <v/>
      </c>
      <c r="D295" t="str">
        <f>IF(ISBLANK(Record!D296),"",Record!D296)</f>
        <v/>
      </c>
      <c r="E295" t="str">
        <f>IF(ISBLANK(Record!E296),"",Record!E296)</f>
        <v/>
      </c>
      <c r="M295" t="str">
        <f t="shared" si="28"/>
        <v xml:space="preserve">          </v>
      </c>
      <c r="N295" s="227" t="str">
        <f t="shared" si="29"/>
        <v/>
      </c>
      <c r="X295" t="str">
        <f t="shared" si="30"/>
        <v xml:space="preserve">          </v>
      </c>
      <c r="Y295" s="227" t="str">
        <f t="shared" si="31"/>
        <v/>
      </c>
      <c r="Z295" t="str">
        <f t="shared" si="32"/>
        <v/>
      </c>
      <c r="AL295" t="str">
        <f t="shared" si="33"/>
        <v/>
      </c>
      <c r="AM295" t="str">
        <f t="shared" si="34"/>
        <v/>
      </c>
    </row>
    <row r="296" spans="1:39">
      <c r="A296" t="str">
        <f>IF(ISBLANK(Record!A297),"",Record!A297)</f>
        <v/>
      </c>
      <c r="B296" t="str">
        <f>IF(ISBLANK(Record!B297),"",Record!B297)</f>
        <v/>
      </c>
      <c r="C296" s="227" t="str">
        <f>IF(ISBLANK(Record!C297),"",Record!C297)</f>
        <v/>
      </c>
      <c r="D296" t="str">
        <f>IF(ISBLANK(Record!D297),"",Record!D297)</f>
        <v/>
      </c>
      <c r="E296" t="str">
        <f>IF(ISBLANK(Record!E297),"",Record!E297)</f>
        <v/>
      </c>
      <c r="M296" t="str">
        <f t="shared" si="28"/>
        <v xml:space="preserve">          </v>
      </c>
      <c r="N296" s="227" t="str">
        <f t="shared" si="29"/>
        <v/>
      </c>
      <c r="X296" t="str">
        <f t="shared" si="30"/>
        <v xml:space="preserve">          </v>
      </c>
      <c r="Y296" s="227" t="str">
        <f t="shared" si="31"/>
        <v/>
      </c>
      <c r="Z296" t="str">
        <f t="shared" si="32"/>
        <v/>
      </c>
      <c r="AL296" t="str">
        <f t="shared" si="33"/>
        <v/>
      </c>
      <c r="AM296" t="str">
        <f t="shared" si="34"/>
        <v/>
      </c>
    </row>
    <row r="297" spans="1:39">
      <c r="A297" t="str">
        <f>IF(ISBLANK(Record!A298),"",Record!A298)</f>
        <v/>
      </c>
      <c r="B297" t="str">
        <f>IF(ISBLANK(Record!B298),"",Record!B298)</f>
        <v/>
      </c>
      <c r="C297" s="227" t="str">
        <f>IF(ISBLANK(Record!C298),"",Record!C298)</f>
        <v/>
      </c>
      <c r="D297" t="str">
        <f>IF(ISBLANK(Record!D298),"",Record!D298)</f>
        <v/>
      </c>
      <c r="E297" t="str">
        <f>IF(ISBLANK(Record!E298),"",Record!E298)</f>
        <v/>
      </c>
      <c r="M297" t="str">
        <f t="shared" si="28"/>
        <v xml:space="preserve">          </v>
      </c>
      <c r="N297" s="227" t="str">
        <f t="shared" si="29"/>
        <v/>
      </c>
      <c r="X297" t="str">
        <f t="shared" si="30"/>
        <v xml:space="preserve">          </v>
      </c>
      <c r="Y297" s="227" t="str">
        <f t="shared" si="31"/>
        <v/>
      </c>
      <c r="Z297" t="str">
        <f t="shared" si="32"/>
        <v/>
      </c>
      <c r="AL297" t="str">
        <f t="shared" si="33"/>
        <v/>
      </c>
      <c r="AM297" t="str">
        <f t="shared" si="34"/>
        <v/>
      </c>
    </row>
    <row r="298" spans="1:39">
      <c r="A298" t="str">
        <f>IF(ISBLANK(Record!A299),"",Record!A299)</f>
        <v/>
      </c>
      <c r="B298" t="str">
        <f>IF(ISBLANK(Record!B299),"",Record!B299)</f>
        <v/>
      </c>
      <c r="C298" s="227" t="str">
        <f>IF(ISBLANK(Record!C299),"",Record!C299)</f>
        <v/>
      </c>
      <c r="D298" t="str">
        <f>IF(ISBLANK(Record!D299),"",Record!D299)</f>
        <v/>
      </c>
      <c r="E298" t="str">
        <f>IF(ISBLANK(Record!E299),"",Record!E299)</f>
        <v/>
      </c>
      <c r="M298" t="str">
        <f t="shared" si="28"/>
        <v xml:space="preserve">          </v>
      </c>
      <c r="N298" s="227" t="str">
        <f t="shared" si="29"/>
        <v/>
      </c>
      <c r="X298" t="str">
        <f t="shared" si="30"/>
        <v xml:space="preserve">          </v>
      </c>
      <c r="Y298" s="227" t="str">
        <f t="shared" si="31"/>
        <v/>
      </c>
      <c r="Z298" t="str">
        <f t="shared" si="32"/>
        <v/>
      </c>
      <c r="AL298" t="str">
        <f t="shared" si="33"/>
        <v/>
      </c>
      <c r="AM298" t="str">
        <f t="shared" si="34"/>
        <v/>
      </c>
    </row>
    <row r="299" spans="1:39">
      <c r="A299" t="str">
        <f>IF(ISBLANK(Record!A300),"",Record!A300)</f>
        <v/>
      </c>
      <c r="B299" t="str">
        <f>IF(ISBLANK(Record!B300),"",Record!B300)</f>
        <v/>
      </c>
      <c r="C299" s="227" t="str">
        <f>IF(ISBLANK(Record!C300),"",Record!C300)</f>
        <v/>
      </c>
      <c r="D299" t="str">
        <f>IF(ISBLANK(Record!D300),"",Record!D300)</f>
        <v/>
      </c>
      <c r="E299" t="str">
        <f>IF(ISBLANK(Record!E300),"",Record!E300)</f>
        <v/>
      </c>
      <c r="M299" t="str">
        <f t="shared" si="28"/>
        <v xml:space="preserve">          </v>
      </c>
      <c r="N299" s="227" t="str">
        <f t="shared" si="29"/>
        <v/>
      </c>
      <c r="X299" t="str">
        <f t="shared" si="30"/>
        <v xml:space="preserve">          </v>
      </c>
      <c r="Y299" s="227" t="str">
        <f t="shared" si="31"/>
        <v/>
      </c>
      <c r="Z299" t="str">
        <f t="shared" si="32"/>
        <v/>
      </c>
      <c r="AL299" t="str">
        <f t="shared" si="33"/>
        <v/>
      </c>
      <c r="AM299" t="str">
        <f t="shared" si="34"/>
        <v/>
      </c>
    </row>
    <row r="300" spans="1:39">
      <c r="A300" t="str">
        <f>IF(ISBLANK(Record!A301),"",Record!A301)</f>
        <v/>
      </c>
      <c r="B300" t="str">
        <f>IF(ISBLANK(Record!B301),"",Record!B301)</f>
        <v/>
      </c>
      <c r="C300" s="227" t="str">
        <f>IF(ISBLANK(Record!C301),"",Record!C301)</f>
        <v/>
      </c>
      <c r="D300" t="str">
        <f>IF(ISBLANK(Record!D301),"",Record!D301)</f>
        <v/>
      </c>
      <c r="E300" t="str">
        <f>IF(ISBLANK(Record!E301),"",Record!E301)</f>
        <v/>
      </c>
      <c r="M300" t="str">
        <f t="shared" si="28"/>
        <v xml:space="preserve">          </v>
      </c>
      <c r="N300" s="227" t="str">
        <f t="shared" si="29"/>
        <v/>
      </c>
      <c r="X300" t="str">
        <f t="shared" si="30"/>
        <v xml:space="preserve">          </v>
      </c>
      <c r="Y300" s="227" t="str">
        <f t="shared" si="31"/>
        <v/>
      </c>
      <c r="Z300" t="str">
        <f t="shared" si="32"/>
        <v/>
      </c>
      <c r="AL300" t="str">
        <f t="shared" si="33"/>
        <v/>
      </c>
      <c r="AM300" t="str">
        <f t="shared" si="34"/>
        <v/>
      </c>
    </row>
    <row r="301" spans="1:39">
      <c r="A301" t="str">
        <f>IF(ISBLANK(Record!A302),"",Record!A302)</f>
        <v/>
      </c>
      <c r="B301" t="str">
        <f>IF(ISBLANK(Record!B302),"",Record!B302)</f>
        <v/>
      </c>
      <c r="C301" s="227" t="str">
        <f>IF(ISBLANK(Record!C302),"",Record!C302)</f>
        <v/>
      </c>
      <c r="D301" t="str">
        <f>IF(ISBLANK(Record!D302),"",Record!D302)</f>
        <v/>
      </c>
      <c r="E301" t="str">
        <f>IF(ISBLANK(Record!E302),"",Record!E302)</f>
        <v/>
      </c>
      <c r="M301" t="str">
        <f t="shared" si="28"/>
        <v xml:space="preserve">          </v>
      </c>
      <c r="N301" s="227" t="str">
        <f t="shared" si="29"/>
        <v/>
      </c>
      <c r="X301" t="str">
        <f t="shared" si="30"/>
        <v xml:space="preserve">          </v>
      </c>
      <c r="Y301" s="227" t="str">
        <f t="shared" si="31"/>
        <v/>
      </c>
      <c r="Z301" t="str">
        <f t="shared" si="32"/>
        <v/>
      </c>
      <c r="AL301" t="str">
        <f t="shared" si="33"/>
        <v/>
      </c>
      <c r="AM301" t="str">
        <f t="shared" si="34"/>
        <v/>
      </c>
    </row>
    <row r="302" spans="1:39">
      <c r="A302" t="str">
        <f>IF(ISBLANK(Record!A303),"",Record!A303)</f>
        <v/>
      </c>
      <c r="B302" t="str">
        <f>IF(ISBLANK(Record!B303),"",Record!B303)</f>
        <v/>
      </c>
      <c r="C302" s="227" t="str">
        <f>IF(ISBLANK(Record!C303),"",Record!C303)</f>
        <v/>
      </c>
      <c r="D302" t="str">
        <f>IF(ISBLANK(Record!D303),"",Record!D303)</f>
        <v/>
      </c>
      <c r="E302" t="str">
        <f>IF(ISBLANK(Record!E303),"",Record!E303)</f>
        <v/>
      </c>
      <c r="M302" t="str">
        <f t="shared" si="28"/>
        <v xml:space="preserve">          </v>
      </c>
      <c r="N302" s="227" t="str">
        <f t="shared" si="29"/>
        <v/>
      </c>
      <c r="X302" t="str">
        <f t="shared" si="30"/>
        <v xml:space="preserve">          </v>
      </c>
      <c r="Y302" s="227" t="str">
        <f t="shared" si="31"/>
        <v/>
      </c>
      <c r="Z302" t="str">
        <f t="shared" si="32"/>
        <v/>
      </c>
      <c r="AL302" t="str">
        <f t="shared" si="33"/>
        <v/>
      </c>
      <c r="AM302" t="str">
        <f t="shared" si="34"/>
        <v/>
      </c>
    </row>
    <row r="303" spans="1:39">
      <c r="A303" t="str">
        <f>IF(ISBLANK(Record!A304),"",Record!A304)</f>
        <v/>
      </c>
      <c r="B303" t="str">
        <f>IF(ISBLANK(Record!B304),"",Record!B304)</f>
        <v/>
      </c>
      <c r="C303" s="227" t="str">
        <f>IF(ISBLANK(Record!C304),"",Record!C304)</f>
        <v/>
      </c>
      <c r="D303" t="str">
        <f>IF(ISBLANK(Record!D304),"",Record!D304)</f>
        <v/>
      </c>
      <c r="E303" t="str">
        <f>IF(ISBLANK(Record!E304),"",Record!E304)</f>
        <v/>
      </c>
      <c r="M303" t="str">
        <f t="shared" si="28"/>
        <v xml:space="preserve">          </v>
      </c>
      <c r="N303" s="227" t="str">
        <f t="shared" si="29"/>
        <v/>
      </c>
      <c r="X303" t="str">
        <f t="shared" si="30"/>
        <v xml:space="preserve">          </v>
      </c>
      <c r="Y303" s="227" t="str">
        <f t="shared" si="31"/>
        <v/>
      </c>
      <c r="Z303" t="str">
        <f t="shared" si="32"/>
        <v/>
      </c>
      <c r="AL303" t="str">
        <f t="shared" si="33"/>
        <v/>
      </c>
      <c r="AM303" t="str">
        <f t="shared" si="34"/>
        <v/>
      </c>
    </row>
    <row r="304" spans="1:39">
      <c r="A304" t="str">
        <f>IF(ISBLANK(Record!A305),"",Record!A305)</f>
        <v/>
      </c>
      <c r="B304" t="str">
        <f>IF(ISBLANK(Record!B305),"",Record!B305)</f>
        <v/>
      </c>
      <c r="C304" s="227" t="str">
        <f>IF(ISBLANK(Record!C305),"",Record!C305)</f>
        <v/>
      </c>
      <c r="D304" t="str">
        <f>IF(ISBLANK(Record!D305),"",Record!D305)</f>
        <v/>
      </c>
      <c r="E304" t="str">
        <f>IF(ISBLANK(Record!E305),"",Record!E305)</f>
        <v/>
      </c>
      <c r="M304" t="str">
        <f t="shared" si="28"/>
        <v xml:space="preserve">          </v>
      </c>
      <c r="N304" s="227" t="str">
        <f t="shared" si="29"/>
        <v/>
      </c>
      <c r="X304" t="str">
        <f t="shared" si="30"/>
        <v xml:space="preserve">          </v>
      </c>
      <c r="Y304" s="227" t="str">
        <f t="shared" si="31"/>
        <v/>
      </c>
      <c r="Z304" t="str">
        <f t="shared" si="32"/>
        <v/>
      </c>
      <c r="AL304" t="str">
        <f t="shared" si="33"/>
        <v/>
      </c>
      <c r="AM304" t="str">
        <f t="shared" si="34"/>
        <v/>
      </c>
    </row>
    <row r="305" spans="1:39">
      <c r="A305" t="str">
        <f>IF(ISBLANK(Record!A306),"",Record!A306)</f>
        <v/>
      </c>
      <c r="B305" t="str">
        <f>IF(ISBLANK(Record!B306),"",Record!B306)</f>
        <v/>
      </c>
      <c r="C305" s="227" t="str">
        <f>IF(ISBLANK(Record!C306),"",Record!C306)</f>
        <v/>
      </c>
      <c r="D305" t="str">
        <f>IF(ISBLANK(Record!D306),"",Record!D306)</f>
        <v/>
      </c>
      <c r="E305" t="str">
        <f>IF(ISBLANK(Record!E306),"",Record!E306)</f>
        <v/>
      </c>
      <c r="M305" t="str">
        <f t="shared" si="28"/>
        <v xml:space="preserve">          </v>
      </c>
      <c r="N305" s="227" t="str">
        <f t="shared" si="29"/>
        <v/>
      </c>
      <c r="X305" t="str">
        <f t="shared" si="30"/>
        <v xml:space="preserve">          </v>
      </c>
      <c r="Y305" s="227" t="str">
        <f t="shared" si="31"/>
        <v/>
      </c>
      <c r="Z305" t="str">
        <f t="shared" si="32"/>
        <v/>
      </c>
      <c r="AL305" t="str">
        <f t="shared" si="33"/>
        <v/>
      </c>
      <c r="AM305" t="str">
        <f t="shared" si="34"/>
        <v/>
      </c>
    </row>
    <row r="306" spans="1:39">
      <c r="A306" t="str">
        <f>IF(ISBLANK(Record!A307),"",Record!A307)</f>
        <v/>
      </c>
      <c r="B306" t="str">
        <f>IF(ISBLANK(Record!B307),"",Record!B307)</f>
        <v/>
      </c>
      <c r="C306" s="227" t="str">
        <f>IF(ISBLANK(Record!C307),"",Record!C307)</f>
        <v/>
      </c>
      <c r="D306" t="str">
        <f>IF(ISBLANK(Record!D307),"",Record!D307)</f>
        <v/>
      </c>
      <c r="E306" t="str">
        <f>IF(ISBLANK(Record!E307),"",Record!E307)</f>
        <v/>
      </c>
      <c r="M306" t="str">
        <f t="shared" si="28"/>
        <v xml:space="preserve">          </v>
      </c>
      <c r="N306" s="227" t="str">
        <f t="shared" si="29"/>
        <v/>
      </c>
      <c r="X306" t="str">
        <f t="shared" si="30"/>
        <v xml:space="preserve">          </v>
      </c>
      <c r="Y306" s="227" t="str">
        <f t="shared" si="31"/>
        <v/>
      </c>
      <c r="Z306" t="str">
        <f t="shared" si="32"/>
        <v/>
      </c>
      <c r="AL306" t="str">
        <f t="shared" si="33"/>
        <v/>
      </c>
      <c r="AM306" t="str">
        <f t="shared" si="34"/>
        <v/>
      </c>
    </row>
    <row r="307" spans="1:39">
      <c r="A307" t="str">
        <f>IF(ISBLANK(Record!A308),"",Record!A308)</f>
        <v/>
      </c>
      <c r="B307" t="str">
        <f>IF(ISBLANK(Record!B308),"",Record!B308)</f>
        <v/>
      </c>
      <c r="C307" s="227" t="str">
        <f>IF(ISBLANK(Record!C308),"",Record!C308)</f>
        <v/>
      </c>
      <c r="D307" t="str">
        <f>IF(ISBLANK(Record!D308),"",Record!D308)</f>
        <v/>
      </c>
      <c r="E307" t="str">
        <f>IF(ISBLANK(Record!E308),"",Record!E308)</f>
        <v/>
      </c>
      <c r="M307" t="str">
        <f t="shared" si="28"/>
        <v xml:space="preserve">          </v>
      </c>
      <c r="N307" s="227" t="str">
        <f t="shared" si="29"/>
        <v/>
      </c>
      <c r="X307" t="str">
        <f t="shared" si="30"/>
        <v xml:space="preserve">          </v>
      </c>
      <c r="Y307" s="227" t="str">
        <f t="shared" si="31"/>
        <v/>
      </c>
      <c r="Z307" t="str">
        <f t="shared" si="32"/>
        <v/>
      </c>
      <c r="AL307" t="str">
        <f t="shared" si="33"/>
        <v/>
      </c>
      <c r="AM307" t="str">
        <f t="shared" si="34"/>
        <v/>
      </c>
    </row>
    <row r="308" spans="1:39">
      <c r="A308" t="str">
        <f>IF(ISBLANK(Record!A309),"",Record!A309)</f>
        <v/>
      </c>
      <c r="B308" t="str">
        <f>IF(ISBLANK(Record!B309),"",Record!B309)</f>
        <v/>
      </c>
      <c r="C308" s="227" t="str">
        <f>IF(ISBLANK(Record!C309),"",Record!C309)</f>
        <v/>
      </c>
      <c r="D308" t="str">
        <f>IF(ISBLANK(Record!D309),"",Record!D309)</f>
        <v/>
      </c>
      <c r="E308" t="str">
        <f>IF(ISBLANK(Record!E309),"",Record!E309)</f>
        <v/>
      </c>
      <c r="M308" t="str">
        <f t="shared" si="28"/>
        <v xml:space="preserve">          </v>
      </c>
      <c r="N308" s="227" t="str">
        <f t="shared" si="29"/>
        <v/>
      </c>
      <c r="X308" t="str">
        <f t="shared" si="30"/>
        <v xml:space="preserve">          </v>
      </c>
      <c r="Y308" s="227" t="str">
        <f t="shared" si="31"/>
        <v/>
      </c>
      <c r="Z308" t="str">
        <f t="shared" si="32"/>
        <v/>
      </c>
      <c r="AL308" t="str">
        <f t="shared" si="33"/>
        <v/>
      </c>
      <c r="AM308" t="str">
        <f t="shared" si="34"/>
        <v/>
      </c>
    </row>
    <row r="309" spans="1:39">
      <c r="A309" t="str">
        <f>IF(ISBLANK(Record!A310),"",Record!A310)</f>
        <v/>
      </c>
      <c r="B309" t="str">
        <f>IF(ISBLANK(Record!B310),"",Record!B310)</f>
        <v/>
      </c>
      <c r="C309" s="227" t="str">
        <f>IF(ISBLANK(Record!C310),"",Record!C310)</f>
        <v/>
      </c>
      <c r="D309" t="str">
        <f>IF(ISBLANK(Record!D310),"",Record!D310)</f>
        <v/>
      </c>
      <c r="E309" t="str">
        <f>IF(ISBLANK(Record!E310),"",Record!E310)</f>
        <v/>
      </c>
      <c r="M309" t="str">
        <f t="shared" si="28"/>
        <v xml:space="preserve">          </v>
      </c>
      <c r="N309" s="227" t="str">
        <f t="shared" si="29"/>
        <v/>
      </c>
      <c r="X309" t="str">
        <f t="shared" si="30"/>
        <v xml:space="preserve">          </v>
      </c>
      <c r="Y309" s="227" t="str">
        <f t="shared" si="31"/>
        <v/>
      </c>
      <c r="Z309" t="str">
        <f t="shared" si="32"/>
        <v/>
      </c>
      <c r="AL309" t="str">
        <f t="shared" si="33"/>
        <v/>
      </c>
      <c r="AM309" t="str">
        <f t="shared" si="34"/>
        <v/>
      </c>
    </row>
    <row r="310" spans="1:39">
      <c r="A310" t="str">
        <f>IF(ISBLANK(Record!A311),"",Record!A311)</f>
        <v/>
      </c>
      <c r="B310" t="str">
        <f>IF(ISBLANK(Record!B311),"",Record!B311)</f>
        <v/>
      </c>
      <c r="C310" s="227" t="str">
        <f>IF(ISBLANK(Record!C311),"",Record!C311)</f>
        <v/>
      </c>
      <c r="D310" t="str">
        <f>IF(ISBLANK(Record!D311),"",Record!D311)</f>
        <v/>
      </c>
      <c r="E310" t="str">
        <f>IF(ISBLANK(Record!E311),"",Record!E311)</f>
        <v/>
      </c>
      <c r="M310" t="str">
        <f t="shared" si="28"/>
        <v xml:space="preserve">          </v>
      </c>
      <c r="N310" s="227" t="str">
        <f t="shared" si="29"/>
        <v/>
      </c>
      <c r="X310" t="str">
        <f t="shared" si="30"/>
        <v xml:space="preserve">          </v>
      </c>
      <c r="Y310" s="227" t="str">
        <f t="shared" si="31"/>
        <v/>
      </c>
      <c r="Z310" t="str">
        <f t="shared" si="32"/>
        <v/>
      </c>
      <c r="AL310" t="str">
        <f t="shared" si="33"/>
        <v/>
      </c>
      <c r="AM310" t="str">
        <f t="shared" si="34"/>
        <v/>
      </c>
    </row>
    <row r="311" spans="1:39">
      <c r="A311" t="str">
        <f>IF(ISBLANK(Record!A312),"",Record!A312)</f>
        <v/>
      </c>
      <c r="B311" t="str">
        <f>IF(ISBLANK(Record!B312),"",Record!B312)</f>
        <v/>
      </c>
      <c r="C311" s="227" t="str">
        <f>IF(ISBLANK(Record!C312),"",Record!C312)</f>
        <v/>
      </c>
      <c r="D311" t="str">
        <f>IF(ISBLANK(Record!D312),"",Record!D312)</f>
        <v/>
      </c>
      <c r="E311" t="str">
        <f>IF(ISBLANK(Record!E312),"",Record!E312)</f>
        <v/>
      </c>
      <c r="M311" t="str">
        <f t="shared" si="28"/>
        <v xml:space="preserve">          </v>
      </c>
      <c r="N311" s="227" t="str">
        <f t="shared" si="29"/>
        <v/>
      </c>
      <c r="X311" t="str">
        <f t="shared" si="30"/>
        <v xml:space="preserve">          </v>
      </c>
      <c r="Y311" s="227" t="str">
        <f t="shared" si="31"/>
        <v/>
      </c>
      <c r="Z311" t="str">
        <f t="shared" si="32"/>
        <v/>
      </c>
      <c r="AL311" t="str">
        <f t="shared" si="33"/>
        <v/>
      </c>
      <c r="AM311" t="str">
        <f t="shared" si="34"/>
        <v/>
      </c>
    </row>
    <row r="312" spans="1:39">
      <c r="A312" t="str">
        <f>IF(ISBLANK(Record!A313),"",Record!A313)</f>
        <v/>
      </c>
      <c r="B312" t="str">
        <f>IF(ISBLANK(Record!B313),"",Record!B313)</f>
        <v/>
      </c>
      <c r="C312" s="227" t="str">
        <f>IF(ISBLANK(Record!C313),"",Record!C313)</f>
        <v/>
      </c>
      <c r="D312" t="str">
        <f>IF(ISBLANK(Record!D313),"",Record!D313)</f>
        <v/>
      </c>
      <c r="E312" t="str">
        <f>IF(ISBLANK(Record!E313),"",Record!E313)</f>
        <v/>
      </c>
      <c r="M312" t="str">
        <f t="shared" si="28"/>
        <v xml:space="preserve">          </v>
      </c>
      <c r="N312" s="227" t="str">
        <f t="shared" si="29"/>
        <v/>
      </c>
      <c r="X312" t="str">
        <f t="shared" si="30"/>
        <v xml:space="preserve">          </v>
      </c>
      <c r="Y312" s="227" t="str">
        <f t="shared" si="31"/>
        <v/>
      </c>
      <c r="Z312" t="str">
        <f t="shared" si="32"/>
        <v/>
      </c>
      <c r="AL312" t="str">
        <f t="shared" si="33"/>
        <v/>
      </c>
      <c r="AM312" t="str">
        <f t="shared" si="34"/>
        <v/>
      </c>
    </row>
    <row r="313" spans="1:39">
      <c r="A313" t="str">
        <f>IF(ISBLANK(Record!A314),"",Record!A314)</f>
        <v/>
      </c>
      <c r="B313" t="str">
        <f>IF(ISBLANK(Record!B314),"",Record!B314)</f>
        <v/>
      </c>
      <c r="C313" s="227" t="str">
        <f>IF(ISBLANK(Record!C314),"",Record!C314)</f>
        <v/>
      </c>
      <c r="D313" t="str">
        <f>IF(ISBLANK(Record!D314),"",Record!D314)</f>
        <v/>
      </c>
      <c r="E313" t="str">
        <f>IF(ISBLANK(Record!E314),"",Record!E314)</f>
        <v/>
      </c>
      <c r="M313" t="str">
        <f t="shared" si="28"/>
        <v xml:space="preserve">          </v>
      </c>
      <c r="N313" s="227" t="str">
        <f t="shared" si="29"/>
        <v/>
      </c>
      <c r="X313" t="str">
        <f t="shared" si="30"/>
        <v xml:space="preserve">          </v>
      </c>
      <c r="Y313" s="227" t="str">
        <f t="shared" si="31"/>
        <v/>
      </c>
      <c r="Z313" t="str">
        <f t="shared" si="32"/>
        <v/>
      </c>
      <c r="AL313" t="str">
        <f t="shared" si="33"/>
        <v/>
      </c>
      <c r="AM313" t="str">
        <f t="shared" si="34"/>
        <v/>
      </c>
    </row>
    <row r="314" spans="1:39">
      <c r="A314" t="str">
        <f>IF(ISBLANK(Record!A315),"",Record!A315)</f>
        <v/>
      </c>
      <c r="B314" t="str">
        <f>IF(ISBLANK(Record!B315),"",Record!B315)</f>
        <v/>
      </c>
      <c r="C314" s="227" t="str">
        <f>IF(ISBLANK(Record!C315),"",Record!C315)</f>
        <v/>
      </c>
      <c r="D314" t="str">
        <f>IF(ISBLANK(Record!D315),"",Record!D315)</f>
        <v/>
      </c>
      <c r="E314" t="str">
        <f>IF(ISBLANK(Record!E315),"",Record!E315)</f>
        <v/>
      </c>
      <c r="M314" t="str">
        <f t="shared" si="28"/>
        <v xml:space="preserve">          </v>
      </c>
      <c r="N314" s="227" t="str">
        <f t="shared" si="29"/>
        <v/>
      </c>
      <c r="X314" t="str">
        <f t="shared" si="30"/>
        <v xml:space="preserve">          </v>
      </c>
      <c r="Y314" s="227" t="str">
        <f t="shared" si="31"/>
        <v/>
      </c>
      <c r="Z314" t="str">
        <f t="shared" si="32"/>
        <v/>
      </c>
      <c r="AL314" t="str">
        <f t="shared" si="33"/>
        <v/>
      </c>
      <c r="AM314" t="str">
        <f t="shared" si="34"/>
        <v/>
      </c>
    </row>
    <row r="315" spans="1:39">
      <c r="A315" t="str">
        <f>IF(ISBLANK(Record!A316),"",Record!A316)</f>
        <v/>
      </c>
      <c r="B315" t="str">
        <f>IF(ISBLANK(Record!B316),"",Record!B316)</f>
        <v/>
      </c>
      <c r="C315" s="227" t="str">
        <f>IF(ISBLANK(Record!C316),"",Record!C316)</f>
        <v/>
      </c>
      <c r="D315" t="str">
        <f>IF(ISBLANK(Record!D316),"",Record!D316)</f>
        <v/>
      </c>
      <c r="E315" t="str">
        <f>IF(ISBLANK(Record!E316),"",Record!E316)</f>
        <v/>
      </c>
      <c r="M315" t="str">
        <f t="shared" si="28"/>
        <v xml:space="preserve">          </v>
      </c>
      <c r="N315" s="227" t="str">
        <f t="shared" si="29"/>
        <v/>
      </c>
      <c r="X315" t="str">
        <f t="shared" si="30"/>
        <v xml:space="preserve">          </v>
      </c>
      <c r="Y315" s="227" t="str">
        <f t="shared" si="31"/>
        <v/>
      </c>
      <c r="Z315" t="str">
        <f t="shared" si="32"/>
        <v/>
      </c>
      <c r="AL315" t="str">
        <f t="shared" si="33"/>
        <v/>
      </c>
      <c r="AM315" t="str">
        <f t="shared" si="34"/>
        <v/>
      </c>
    </row>
    <row r="316" spans="1:39">
      <c r="A316" t="str">
        <f>IF(ISBLANK(Record!A317),"",Record!A317)</f>
        <v/>
      </c>
      <c r="B316" t="str">
        <f>IF(ISBLANK(Record!B317),"",Record!B317)</f>
        <v/>
      </c>
      <c r="C316" s="227" t="str">
        <f>IF(ISBLANK(Record!C317),"",Record!C317)</f>
        <v/>
      </c>
      <c r="D316" t="str">
        <f>IF(ISBLANK(Record!D317),"",Record!D317)</f>
        <v/>
      </c>
      <c r="E316" t="str">
        <f>IF(ISBLANK(Record!E317),"",Record!E317)</f>
        <v/>
      </c>
      <c r="M316" t="str">
        <f t="shared" si="28"/>
        <v xml:space="preserve">          </v>
      </c>
      <c r="N316" s="227" t="str">
        <f t="shared" si="29"/>
        <v/>
      </c>
      <c r="X316" t="str">
        <f t="shared" si="30"/>
        <v xml:space="preserve">          </v>
      </c>
      <c r="Y316" s="227" t="str">
        <f t="shared" si="31"/>
        <v/>
      </c>
      <c r="Z316" t="str">
        <f t="shared" si="32"/>
        <v/>
      </c>
      <c r="AL316" t="str">
        <f t="shared" si="33"/>
        <v/>
      </c>
      <c r="AM316" t="str">
        <f t="shared" si="34"/>
        <v/>
      </c>
    </row>
    <row r="317" spans="1:39">
      <c r="A317" t="str">
        <f>IF(ISBLANK(Record!A318),"",Record!A318)</f>
        <v/>
      </c>
      <c r="B317" t="str">
        <f>IF(ISBLANK(Record!B318),"",Record!B318)</f>
        <v/>
      </c>
      <c r="C317" s="227" t="str">
        <f>IF(ISBLANK(Record!C318),"",Record!C318)</f>
        <v/>
      </c>
      <c r="D317" t="str">
        <f>IF(ISBLANK(Record!D318),"",Record!D318)</f>
        <v/>
      </c>
      <c r="E317" t="str">
        <f>IF(ISBLANK(Record!E318),"",Record!E318)</f>
        <v/>
      </c>
      <c r="M317" t="str">
        <f t="shared" si="28"/>
        <v xml:space="preserve">          </v>
      </c>
      <c r="N317" s="227" t="str">
        <f t="shared" si="29"/>
        <v/>
      </c>
      <c r="X317" t="str">
        <f t="shared" si="30"/>
        <v xml:space="preserve">          </v>
      </c>
      <c r="Y317" s="227" t="str">
        <f t="shared" si="31"/>
        <v/>
      </c>
      <c r="Z317" t="str">
        <f t="shared" si="32"/>
        <v/>
      </c>
      <c r="AL317" t="str">
        <f t="shared" si="33"/>
        <v/>
      </c>
      <c r="AM317" t="str">
        <f t="shared" si="34"/>
        <v/>
      </c>
    </row>
    <row r="318" spans="1:39">
      <c r="A318" t="str">
        <f>IF(ISBLANK(Record!A319),"",Record!A319)</f>
        <v/>
      </c>
      <c r="B318" t="str">
        <f>IF(ISBLANK(Record!B319),"",Record!B319)</f>
        <v/>
      </c>
      <c r="C318" s="227" t="str">
        <f>IF(ISBLANK(Record!C319),"",Record!C319)</f>
        <v/>
      </c>
      <c r="D318" t="str">
        <f>IF(ISBLANK(Record!D319),"",Record!D319)</f>
        <v/>
      </c>
      <c r="E318" t="str">
        <f>IF(ISBLANK(Record!E319),"",Record!E319)</f>
        <v/>
      </c>
      <c r="M318" t="str">
        <f t="shared" si="28"/>
        <v xml:space="preserve">          </v>
      </c>
      <c r="N318" s="227" t="str">
        <f t="shared" si="29"/>
        <v/>
      </c>
      <c r="X318" t="str">
        <f t="shared" si="30"/>
        <v xml:space="preserve">          </v>
      </c>
      <c r="Y318" s="227" t="str">
        <f t="shared" si="31"/>
        <v/>
      </c>
      <c r="Z318" t="str">
        <f t="shared" si="32"/>
        <v/>
      </c>
      <c r="AL318" t="str">
        <f t="shared" si="33"/>
        <v/>
      </c>
      <c r="AM318" t="str">
        <f t="shared" si="34"/>
        <v/>
      </c>
    </row>
    <row r="319" spans="1:39">
      <c r="A319" t="str">
        <f>IF(ISBLANK(Record!A320),"",Record!A320)</f>
        <v/>
      </c>
      <c r="B319" t="str">
        <f>IF(ISBLANK(Record!B320),"",Record!B320)</f>
        <v/>
      </c>
      <c r="C319" s="227" t="str">
        <f>IF(ISBLANK(Record!C320),"",Record!C320)</f>
        <v/>
      </c>
      <c r="D319" t="str">
        <f>IF(ISBLANK(Record!D320),"",Record!D320)</f>
        <v/>
      </c>
      <c r="E319" t="str">
        <f>IF(ISBLANK(Record!E320),"",Record!E320)</f>
        <v/>
      </c>
      <c r="M319" t="str">
        <f t="shared" si="28"/>
        <v xml:space="preserve">          </v>
      </c>
      <c r="N319" s="227" t="str">
        <f t="shared" si="29"/>
        <v/>
      </c>
      <c r="X319" t="str">
        <f t="shared" si="30"/>
        <v xml:space="preserve">          </v>
      </c>
      <c r="Y319" s="227" t="str">
        <f t="shared" si="31"/>
        <v/>
      </c>
      <c r="Z319" t="str">
        <f t="shared" si="32"/>
        <v/>
      </c>
      <c r="AL319" t="str">
        <f t="shared" si="33"/>
        <v/>
      </c>
      <c r="AM319" t="str">
        <f t="shared" si="34"/>
        <v/>
      </c>
    </row>
    <row r="320" spans="1:39">
      <c r="A320" t="str">
        <f>IF(ISBLANK(Record!A321),"",Record!A321)</f>
        <v/>
      </c>
      <c r="B320" t="str">
        <f>IF(ISBLANK(Record!B321),"",Record!B321)</f>
        <v/>
      </c>
      <c r="C320" s="227" t="str">
        <f>IF(ISBLANK(Record!C321),"",Record!C321)</f>
        <v/>
      </c>
      <c r="D320" t="str">
        <f>IF(ISBLANK(Record!D321),"",Record!D321)</f>
        <v/>
      </c>
      <c r="E320" t="str">
        <f>IF(ISBLANK(Record!E321),"",Record!E321)</f>
        <v/>
      </c>
      <c r="M320" t="str">
        <f t="shared" si="28"/>
        <v xml:space="preserve">          </v>
      </c>
      <c r="N320" s="227" t="str">
        <f t="shared" si="29"/>
        <v/>
      </c>
      <c r="X320" t="str">
        <f t="shared" si="30"/>
        <v xml:space="preserve">          </v>
      </c>
      <c r="Y320" s="227" t="str">
        <f t="shared" si="31"/>
        <v/>
      </c>
      <c r="Z320" t="str">
        <f t="shared" si="32"/>
        <v/>
      </c>
      <c r="AL320" t="str">
        <f t="shared" si="33"/>
        <v/>
      </c>
      <c r="AM320" t="str">
        <f t="shared" si="34"/>
        <v/>
      </c>
    </row>
    <row r="321" spans="1:39">
      <c r="A321" t="str">
        <f>IF(ISBLANK(Record!A322),"",Record!A322)</f>
        <v/>
      </c>
      <c r="B321" t="str">
        <f>IF(ISBLANK(Record!B322),"",Record!B322)</f>
        <v/>
      </c>
      <c r="C321" s="227" t="str">
        <f>IF(ISBLANK(Record!C322),"",Record!C322)</f>
        <v/>
      </c>
      <c r="D321" t="str">
        <f>IF(ISBLANK(Record!D322),"",Record!D322)</f>
        <v/>
      </c>
      <c r="E321" t="str">
        <f>IF(ISBLANK(Record!E322),"",Record!E322)</f>
        <v/>
      </c>
      <c r="M321" t="str">
        <f t="shared" si="28"/>
        <v xml:space="preserve">          </v>
      </c>
      <c r="N321" s="227" t="str">
        <f t="shared" si="29"/>
        <v/>
      </c>
      <c r="X321" t="str">
        <f t="shared" si="30"/>
        <v xml:space="preserve">          </v>
      </c>
      <c r="Y321" s="227" t="str">
        <f t="shared" si="31"/>
        <v/>
      </c>
      <c r="Z321" t="str">
        <f t="shared" si="32"/>
        <v/>
      </c>
      <c r="AL321" t="str">
        <f t="shared" si="33"/>
        <v/>
      </c>
      <c r="AM321" t="str">
        <f t="shared" si="34"/>
        <v/>
      </c>
    </row>
    <row r="322" spans="1:39">
      <c r="A322" t="str">
        <f>IF(ISBLANK(Record!A323),"",Record!A323)</f>
        <v/>
      </c>
      <c r="B322" t="str">
        <f>IF(ISBLANK(Record!B323),"",Record!B323)</f>
        <v/>
      </c>
      <c r="C322" s="227" t="str">
        <f>IF(ISBLANK(Record!C323),"",Record!C323)</f>
        <v/>
      </c>
      <c r="D322" t="str">
        <f>IF(ISBLANK(Record!D323),"",Record!D323)</f>
        <v/>
      </c>
      <c r="E322" t="str">
        <f>IF(ISBLANK(Record!E323),"",Record!E323)</f>
        <v/>
      </c>
      <c r="M322" t="str">
        <f t="shared" si="28"/>
        <v xml:space="preserve">          </v>
      </c>
      <c r="N322" s="227" t="str">
        <f t="shared" si="29"/>
        <v/>
      </c>
      <c r="X322" t="str">
        <f t="shared" si="30"/>
        <v xml:space="preserve">          </v>
      </c>
      <c r="Y322" s="227" t="str">
        <f t="shared" si="31"/>
        <v/>
      </c>
      <c r="Z322" t="str">
        <f t="shared" si="32"/>
        <v/>
      </c>
      <c r="AL322" t="str">
        <f t="shared" si="33"/>
        <v/>
      </c>
      <c r="AM322" t="str">
        <f t="shared" si="34"/>
        <v/>
      </c>
    </row>
    <row r="323" spans="1:39">
      <c r="A323" t="str">
        <f>IF(ISBLANK(Record!A324),"",Record!A324)</f>
        <v/>
      </c>
      <c r="B323" t="str">
        <f>IF(ISBLANK(Record!B324),"",Record!B324)</f>
        <v/>
      </c>
      <c r="C323" s="227" t="str">
        <f>IF(ISBLANK(Record!C324),"",Record!C324)</f>
        <v/>
      </c>
      <c r="D323" t="str">
        <f>IF(ISBLANK(Record!D324),"",Record!D324)</f>
        <v/>
      </c>
      <c r="E323" t="str">
        <f>IF(ISBLANK(Record!E324),"",Record!E324)</f>
        <v/>
      </c>
      <c r="M323" t="str">
        <f t="shared" ref="M323:M386" si="35">RIGHT("                                   " &amp; A323,10)</f>
        <v xml:space="preserve">          </v>
      </c>
      <c r="N323" s="227" t="str">
        <f t="shared" ref="N323:N386" si="36">RIGHT(C323,16)</f>
        <v/>
      </c>
      <c r="X323" t="str">
        <f t="shared" ref="X323:X386" si="37">RIGHT("                                   " &amp; A323,10)</f>
        <v xml:space="preserve">          </v>
      </c>
      <c r="Y323" s="227" t="str">
        <f t="shared" ref="Y323:Y386" si="38">RIGHT(C323,16)</f>
        <v/>
      </c>
      <c r="Z323" t="str">
        <f t="shared" ref="Z323:Z386" si="39">RIGHT(D323,8)</f>
        <v/>
      </c>
      <c r="AL323" t="str">
        <f t="shared" ref="AL323:AL386" si="40">D323</f>
        <v/>
      </c>
      <c r="AM323" t="str">
        <f t="shared" ref="AM323:AM386" si="41">IF(E323&lt;&gt;AL323,E323,E323)</f>
        <v/>
      </c>
    </row>
    <row r="324" spans="1:39">
      <c r="A324" t="str">
        <f>IF(ISBLANK(Record!A325),"",Record!A325)</f>
        <v/>
      </c>
      <c r="B324" t="str">
        <f>IF(ISBLANK(Record!B325),"",Record!B325)</f>
        <v/>
      </c>
      <c r="C324" s="227" t="str">
        <f>IF(ISBLANK(Record!C325),"",Record!C325)</f>
        <v/>
      </c>
      <c r="D324" t="str">
        <f>IF(ISBLANK(Record!D325),"",Record!D325)</f>
        <v/>
      </c>
      <c r="E324" t="str">
        <f>IF(ISBLANK(Record!E325),"",Record!E325)</f>
        <v/>
      </c>
      <c r="M324" t="str">
        <f t="shared" si="35"/>
        <v xml:space="preserve">          </v>
      </c>
      <c r="N324" s="227" t="str">
        <f t="shared" si="36"/>
        <v/>
      </c>
      <c r="X324" t="str">
        <f t="shared" si="37"/>
        <v xml:space="preserve">          </v>
      </c>
      <c r="Y324" s="227" t="str">
        <f t="shared" si="38"/>
        <v/>
      </c>
      <c r="Z324" t="str">
        <f t="shared" si="39"/>
        <v/>
      </c>
      <c r="AL324" t="str">
        <f t="shared" si="40"/>
        <v/>
      </c>
      <c r="AM324" t="str">
        <f t="shared" si="41"/>
        <v/>
      </c>
    </row>
    <row r="325" spans="1:39">
      <c r="A325" t="str">
        <f>IF(ISBLANK(Record!A326),"",Record!A326)</f>
        <v/>
      </c>
      <c r="B325" t="str">
        <f>IF(ISBLANK(Record!B326),"",Record!B326)</f>
        <v/>
      </c>
      <c r="C325" s="227" t="str">
        <f>IF(ISBLANK(Record!C326),"",Record!C326)</f>
        <v/>
      </c>
      <c r="D325" t="str">
        <f>IF(ISBLANK(Record!D326),"",Record!D326)</f>
        <v/>
      </c>
      <c r="E325" t="str">
        <f>IF(ISBLANK(Record!E326),"",Record!E326)</f>
        <v/>
      </c>
      <c r="M325" t="str">
        <f t="shared" si="35"/>
        <v xml:space="preserve">          </v>
      </c>
      <c r="N325" s="227" t="str">
        <f t="shared" si="36"/>
        <v/>
      </c>
      <c r="X325" t="str">
        <f t="shared" si="37"/>
        <v xml:space="preserve">          </v>
      </c>
      <c r="Y325" s="227" t="str">
        <f t="shared" si="38"/>
        <v/>
      </c>
      <c r="Z325" t="str">
        <f t="shared" si="39"/>
        <v/>
      </c>
      <c r="AL325" t="str">
        <f t="shared" si="40"/>
        <v/>
      </c>
      <c r="AM325" t="str">
        <f t="shared" si="41"/>
        <v/>
      </c>
    </row>
    <row r="326" spans="1:39">
      <c r="A326" t="str">
        <f>IF(ISBLANK(Record!A327),"",Record!A327)</f>
        <v/>
      </c>
      <c r="B326" t="str">
        <f>IF(ISBLANK(Record!B327),"",Record!B327)</f>
        <v/>
      </c>
      <c r="C326" s="227" t="str">
        <f>IF(ISBLANK(Record!C327),"",Record!C327)</f>
        <v/>
      </c>
      <c r="D326" t="str">
        <f>IF(ISBLANK(Record!D327),"",Record!D327)</f>
        <v/>
      </c>
      <c r="E326" t="str">
        <f>IF(ISBLANK(Record!E327),"",Record!E327)</f>
        <v/>
      </c>
      <c r="M326" t="str">
        <f t="shared" si="35"/>
        <v xml:space="preserve">          </v>
      </c>
      <c r="N326" s="227" t="str">
        <f t="shared" si="36"/>
        <v/>
      </c>
      <c r="X326" t="str">
        <f t="shared" si="37"/>
        <v xml:space="preserve">          </v>
      </c>
      <c r="Y326" s="227" t="str">
        <f t="shared" si="38"/>
        <v/>
      </c>
      <c r="Z326" t="str">
        <f t="shared" si="39"/>
        <v/>
      </c>
      <c r="AL326" t="str">
        <f t="shared" si="40"/>
        <v/>
      </c>
      <c r="AM326" t="str">
        <f t="shared" si="41"/>
        <v/>
      </c>
    </row>
    <row r="327" spans="1:39">
      <c r="A327" t="str">
        <f>IF(ISBLANK(Record!A328),"",Record!A328)</f>
        <v/>
      </c>
      <c r="B327" t="str">
        <f>IF(ISBLANK(Record!B328),"",Record!B328)</f>
        <v/>
      </c>
      <c r="C327" s="227" t="str">
        <f>IF(ISBLANK(Record!C328),"",Record!C328)</f>
        <v/>
      </c>
      <c r="D327" t="str">
        <f>IF(ISBLANK(Record!D328),"",Record!D328)</f>
        <v/>
      </c>
      <c r="E327" t="str">
        <f>IF(ISBLANK(Record!E328),"",Record!E328)</f>
        <v/>
      </c>
      <c r="M327" t="str">
        <f t="shared" si="35"/>
        <v xml:space="preserve">          </v>
      </c>
      <c r="N327" s="227" t="str">
        <f t="shared" si="36"/>
        <v/>
      </c>
      <c r="X327" t="str">
        <f t="shared" si="37"/>
        <v xml:space="preserve">          </v>
      </c>
      <c r="Y327" s="227" t="str">
        <f t="shared" si="38"/>
        <v/>
      </c>
      <c r="Z327" t="str">
        <f t="shared" si="39"/>
        <v/>
      </c>
      <c r="AL327" t="str">
        <f t="shared" si="40"/>
        <v/>
      </c>
      <c r="AM327" t="str">
        <f t="shared" si="41"/>
        <v/>
      </c>
    </row>
    <row r="328" spans="1:39">
      <c r="A328" t="str">
        <f>IF(ISBLANK(Record!A329),"",Record!A329)</f>
        <v/>
      </c>
      <c r="B328" t="str">
        <f>IF(ISBLANK(Record!B329),"",Record!B329)</f>
        <v/>
      </c>
      <c r="C328" s="227" t="str">
        <f>IF(ISBLANK(Record!C329),"",Record!C329)</f>
        <v/>
      </c>
      <c r="D328" t="str">
        <f>IF(ISBLANK(Record!D329),"",Record!D329)</f>
        <v/>
      </c>
      <c r="E328" t="str">
        <f>IF(ISBLANK(Record!E329),"",Record!E329)</f>
        <v/>
      </c>
      <c r="M328" t="str">
        <f t="shared" si="35"/>
        <v xml:space="preserve">          </v>
      </c>
      <c r="N328" s="227" t="str">
        <f t="shared" si="36"/>
        <v/>
      </c>
      <c r="X328" t="str">
        <f t="shared" si="37"/>
        <v xml:space="preserve">          </v>
      </c>
      <c r="Y328" s="227" t="str">
        <f t="shared" si="38"/>
        <v/>
      </c>
      <c r="Z328" t="str">
        <f t="shared" si="39"/>
        <v/>
      </c>
      <c r="AL328" t="str">
        <f t="shared" si="40"/>
        <v/>
      </c>
      <c r="AM328" t="str">
        <f t="shared" si="41"/>
        <v/>
      </c>
    </row>
    <row r="329" spans="1:39">
      <c r="A329" t="str">
        <f>IF(ISBLANK(Record!A330),"",Record!A330)</f>
        <v/>
      </c>
      <c r="B329" t="str">
        <f>IF(ISBLANK(Record!B330),"",Record!B330)</f>
        <v/>
      </c>
      <c r="C329" s="227" t="str">
        <f>IF(ISBLANK(Record!C330),"",Record!C330)</f>
        <v/>
      </c>
      <c r="D329" t="str">
        <f>IF(ISBLANK(Record!D330),"",Record!D330)</f>
        <v/>
      </c>
      <c r="E329" t="str">
        <f>IF(ISBLANK(Record!E330),"",Record!E330)</f>
        <v/>
      </c>
      <c r="M329" t="str">
        <f t="shared" si="35"/>
        <v xml:space="preserve">          </v>
      </c>
      <c r="N329" s="227" t="str">
        <f t="shared" si="36"/>
        <v/>
      </c>
      <c r="X329" t="str">
        <f t="shared" si="37"/>
        <v xml:space="preserve">          </v>
      </c>
      <c r="Y329" s="227" t="str">
        <f t="shared" si="38"/>
        <v/>
      </c>
      <c r="Z329" t="str">
        <f t="shared" si="39"/>
        <v/>
      </c>
      <c r="AL329" t="str">
        <f t="shared" si="40"/>
        <v/>
      </c>
      <c r="AM329" t="str">
        <f t="shared" si="41"/>
        <v/>
      </c>
    </row>
    <row r="330" spans="1:39">
      <c r="A330" t="str">
        <f>IF(ISBLANK(Record!A331),"",Record!A331)</f>
        <v/>
      </c>
      <c r="B330" t="str">
        <f>IF(ISBLANK(Record!B331),"",Record!B331)</f>
        <v/>
      </c>
      <c r="C330" s="227" t="str">
        <f>IF(ISBLANK(Record!C331),"",Record!C331)</f>
        <v/>
      </c>
      <c r="D330" t="str">
        <f>IF(ISBLANK(Record!D331),"",Record!D331)</f>
        <v/>
      </c>
      <c r="E330" t="str">
        <f>IF(ISBLANK(Record!E331),"",Record!E331)</f>
        <v/>
      </c>
      <c r="M330" t="str">
        <f t="shared" si="35"/>
        <v xml:space="preserve">          </v>
      </c>
      <c r="N330" s="227" t="str">
        <f t="shared" si="36"/>
        <v/>
      </c>
      <c r="X330" t="str">
        <f t="shared" si="37"/>
        <v xml:space="preserve">          </v>
      </c>
      <c r="Y330" s="227" t="str">
        <f t="shared" si="38"/>
        <v/>
      </c>
      <c r="Z330" t="str">
        <f t="shared" si="39"/>
        <v/>
      </c>
      <c r="AL330" t="str">
        <f t="shared" si="40"/>
        <v/>
      </c>
      <c r="AM330" t="str">
        <f t="shared" si="41"/>
        <v/>
      </c>
    </row>
    <row r="331" spans="1:39">
      <c r="A331" t="str">
        <f>IF(ISBLANK(Record!A332),"",Record!A332)</f>
        <v/>
      </c>
      <c r="B331" t="str">
        <f>IF(ISBLANK(Record!B332),"",Record!B332)</f>
        <v/>
      </c>
      <c r="C331" s="227" t="str">
        <f>IF(ISBLANK(Record!C332),"",Record!C332)</f>
        <v/>
      </c>
      <c r="D331" t="str">
        <f>IF(ISBLANK(Record!D332),"",Record!D332)</f>
        <v/>
      </c>
      <c r="E331" t="str">
        <f>IF(ISBLANK(Record!E332),"",Record!E332)</f>
        <v/>
      </c>
      <c r="M331" t="str">
        <f t="shared" si="35"/>
        <v xml:space="preserve">          </v>
      </c>
      <c r="N331" s="227" t="str">
        <f t="shared" si="36"/>
        <v/>
      </c>
      <c r="X331" t="str">
        <f t="shared" si="37"/>
        <v xml:space="preserve">          </v>
      </c>
      <c r="Y331" s="227" t="str">
        <f t="shared" si="38"/>
        <v/>
      </c>
      <c r="Z331" t="str">
        <f t="shared" si="39"/>
        <v/>
      </c>
      <c r="AL331" t="str">
        <f t="shared" si="40"/>
        <v/>
      </c>
      <c r="AM331" t="str">
        <f t="shared" si="41"/>
        <v/>
      </c>
    </row>
    <row r="332" spans="1:39">
      <c r="A332" t="str">
        <f>IF(ISBLANK(Record!A333),"",Record!A333)</f>
        <v/>
      </c>
      <c r="B332" t="str">
        <f>IF(ISBLANK(Record!B333),"",Record!B333)</f>
        <v/>
      </c>
      <c r="C332" s="227" t="str">
        <f>IF(ISBLANK(Record!C333),"",Record!C333)</f>
        <v/>
      </c>
      <c r="D332" t="str">
        <f>IF(ISBLANK(Record!D333),"",Record!D333)</f>
        <v/>
      </c>
      <c r="E332" t="str">
        <f>IF(ISBLANK(Record!E333),"",Record!E333)</f>
        <v/>
      </c>
      <c r="M332" t="str">
        <f t="shared" si="35"/>
        <v xml:space="preserve">          </v>
      </c>
      <c r="N332" s="227" t="str">
        <f t="shared" si="36"/>
        <v/>
      </c>
      <c r="X332" t="str">
        <f t="shared" si="37"/>
        <v xml:space="preserve">          </v>
      </c>
      <c r="Y332" s="227" t="str">
        <f t="shared" si="38"/>
        <v/>
      </c>
      <c r="Z332" t="str">
        <f t="shared" si="39"/>
        <v/>
      </c>
      <c r="AL332" t="str">
        <f t="shared" si="40"/>
        <v/>
      </c>
      <c r="AM332" t="str">
        <f t="shared" si="41"/>
        <v/>
      </c>
    </row>
    <row r="333" spans="1:39">
      <c r="A333" t="str">
        <f>IF(ISBLANK(Record!A334),"",Record!A334)</f>
        <v/>
      </c>
      <c r="B333" t="str">
        <f>IF(ISBLANK(Record!B334),"",Record!B334)</f>
        <v/>
      </c>
      <c r="C333" s="227" t="str">
        <f>IF(ISBLANK(Record!C334),"",Record!C334)</f>
        <v/>
      </c>
      <c r="D333" t="str">
        <f>IF(ISBLANK(Record!D334),"",Record!D334)</f>
        <v/>
      </c>
      <c r="E333" t="str">
        <f>IF(ISBLANK(Record!E334),"",Record!E334)</f>
        <v/>
      </c>
      <c r="M333" t="str">
        <f t="shared" si="35"/>
        <v xml:space="preserve">          </v>
      </c>
      <c r="N333" s="227" t="str">
        <f t="shared" si="36"/>
        <v/>
      </c>
      <c r="X333" t="str">
        <f t="shared" si="37"/>
        <v xml:space="preserve">          </v>
      </c>
      <c r="Y333" s="227" t="str">
        <f t="shared" si="38"/>
        <v/>
      </c>
      <c r="Z333" t="str">
        <f t="shared" si="39"/>
        <v/>
      </c>
      <c r="AL333" t="str">
        <f t="shared" si="40"/>
        <v/>
      </c>
      <c r="AM333" t="str">
        <f t="shared" si="41"/>
        <v/>
      </c>
    </row>
    <row r="334" spans="1:39">
      <c r="A334" t="str">
        <f>IF(ISBLANK(Record!A335),"",Record!A335)</f>
        <v/>
      </c>
      <c r="B334" t="str">
        <f>IF(ISBLANK(Record!B335),"",Record!B335)</f>
        <v/>
      </c>
      <c r="C334" s="227" t="str">
        <f>IF(ISBLANK(Record!C335),"",Record!C335)</f>
        <v/>
      </c>
      <c r="D334" t="str">
        <f>IF(ISBLANK(Record!D335),"",Record!D335)</f>
        <v/>
      </c>
      <c r="E334" t="str">
        <f>IF(ISBLANK(Record!E335),"",Record!E335)</f>
        <v/>
      </c>
      <c r="M334" t="str">
        <f t="shared" si="35"/>
        <v xml:space="preserve">          </v>
      </c>
      <c r="N334" s="227" t="str">
        <f t="shared" si="36"/>
        <v/>
      </c>
      <c r="X334" t="str">
        <f t="shared" si="37"/>
        <v xml:space="preserve">          </v>
      </c>
      <c r="Y334" s="227" t="str">
        <f t="shared" si="38"/>
        <v/>
      </c>
      <c r="Z334" t="str">
        <f t="shared" si="39"/>
        <v/>
      </c>
      <c r="AL334" t="str">
        <f t="shared" si="40"/>
        <v/>
      </c>
      <c r="AM334" t="str">
        <f t="shared" si="41"/>
        <v/>
      </c>
    </row>
    <row r="335" spans="1:39">
      <c r="A335" t="str">
        <f>IF(ISBLANK(Record!A336),"",Record!A336)</f>
        <v/>
      </c>
      <c r="B335" t="str">
        <f>IF(ISBLANK(Record!B336),"",Record!B336)</f>
        <v/>
      </c>
      <c r="C335" s="227" t="str">
        <f>IF(ISBLANK(Record!C336),"",Record!C336)</f>
        <v/>
      </c>
      <c r="D335" t="str">
        <f>IF(ISBLANK(Record!D336),"",Record!D336)</f>
        <v/>
      </c>
      <c r="E335" t="str">
        <f>IF(ISBLANK(Record!E336),"",Record!E336)</f>
        <v/>
      </c>
      <c r="M335" t="str">
        <f t="shared" si="35"/>
        <v xml:space="preserve">          </v>
      </c>
      <c r="N335" s="227" t="str">
        <f t="shared" si="36"/>
        <v/>
      </c>
      <c r="X335" t="str">
        <f t="shared" si="37"/>
        <v xml:space="preserve">          </v>
      </c>
      <c r="Y335" s="227" t="str">
        <f t="shared" si="38"/>
        <v/>
      </c>
      <c r="Z335" t="str">
        <f t="shared" si="39"/>
        <v/>
      </c>
      <c r="AL335" t="str">
        <f t="shared" si="40"/>
        <v/>
      </c>
      <c r="AM335" t="str">
        <f t="shared" si="41"/>
        <v/>
      </c>
    </row>
    <row r="336" spans="1:39">
      <c r="A336" t="str">
        <f>IF(ISBLANK(Record!A337),"",Record!A337)</f>
        <v/>
      </c>
      <c r="B336" t="str">
        <f>IF(ISBLANK(Record!B337),"",Record!B337)</f>
        <v/>
      </c>
      <c r="C336" s="227" t="str">
        <f>IF(ISBLANK(Record!C337),"",Record!C337)</f>
        <v/>
      </c>
      <c r="D336" t="str">
        <f>IF(ISBLANK(Record!D337),"",Record!D337)</f>
        <v/>
      </c>
      <c r="E336" t="str">
        <f>IF(ISBLANK(Record!E337),"",Record!E337)</f>
        <v/>
      </c>
      <c r="M336" t="str">
        <f t="shared" si="35"/>
        <v xml:space="preserve">          </v>
      </c>
      <c r="N336" s="227" t="str">
        <f t="shared" si="36"/>
        <v/>
      </c>
      <c r="X336" t="str">
        <f t="shared" si="37"/>
        <v xml:space="preserve">          </v>
      </c>
      <c r="Y336" s="227" t="str">
        <f t="shared" si="38"/>
        <v/>
      </c>
      <c r="Z336" t="str">
        <f t="shared" si="39"/>
        <v/>
      </c>
      <c r="AL336" t="str">
        <f t="shared" si="40"/>
        <v/>
      </c>
      <c r="AM336" t="str">
        <f t="shared" si="41"/>
        <v/>
      </c>
    </row>
    <row r="337" spans="1:39">
      <c r="A337" t="str">
        <f>IF(ISBLANK(Record!A338),"",Record!A338)</f>
        <v/>
      </c>
      <c r="B337" t="str">
        <f>IF(ISBLANK(Record!B338),"",Record!B338)</f>
        <v/>
      </c>
      <c r="C337" s="227" t="str">
        <f>IF(ISBLANK(Record!C338),"",Record!C338)</f>
        <v/>
      </c>
      <c r="D337" t="str">
        <f>IF(ISBLANK(Record!D338),"",Record!D338)</f>
        <v/>
      </c>
      <c r="E337" t="str">
        <f>IF(ISBLANK(Record!E338),"",Record!E338)</f>
        <v/>
      </c>
      <c r="M337" t="str">
        <f t="shared" si="35"/>
        <v xml:space="preserve">          </v>
      </c>
      <c r="N337" s="227" t="str">
        <f t="shared" si="36"/>
        <v/>
      </c>
      <c r="X337" t="str">
        <f t="shared" si="37"/>
        <v xml:space="preserve">          </v>
      </c>
      <c r="Y337" s="227" t="str">
        <f t="shared" si="38"/>
        <v/>
      </c>
      <c r="Z337" t="str">
        <f t="shared" si="39"/>
        <v/>
      </c>
      <c r="AL337" t="str">
        <f t="shared" si="40"/>
        <v/>
      </c>
      <c r="AM337" t="str">
        <f t="shared" si="41"/>
        <v/>
      </c>
    </row>
    <row r="338" spans="1:39">
      <c r="A338" t="str">
        <f>IF(ISBLANK(Record!A339),"",Record!A339)</f>
        <v/>
      </c>
      <c r="B338" t="str">
        <f>IF(ISBLANK(Record!B339),"",Record!B339)</f>
        <v/>
      </c>
      <c r="C338" s="227" t="str">
        <f>IF(ISBLANK(Record!C339),"",Record!C339)</f>
        <v/>
      </c>
      <c r="D338" t="str">
        <f>IF(ISBLANK(Record!D339),"",Record!D339)</f>
        <v/>
      </c>
      <c r="E338" t="str">
        <f>IF(ISBLANK(Record!E339),"",Record!E339)</f>
        <v/>
      </c>
      <c r="M338" t="str">
        <f t="shared" si="35"/>
        <v xml:space="preserve">          </v>
      </c>
      <c r="N338" s="227" t="str">
        <f t="shared" si="36"/>
        <v/>
      </c>
      <c r="X338" t="str">
        <f t="shared" si="37"/>
        <v xml:space="preserve">          </v>
      </c>
      <c r="Y338" s="227" t="str">
        <f t="shared" si="38"/>
        <v/>
      </c>
      <c r="Z338" t="str">
        <f t="shared" si="39"/>
        <v/>
      </c>
      <c r="AL338" t="str">
        <f t="shared" si="40"/>
        <v/>
      </c>
      <c r="AM338" t="str">
        <f t="shared" si="41"/>
        <v/>
      </c>
    </row>
    <row r="339" spans="1:39">
      <c r="A339" t="str">
        <f>IF(ISBLANK(Record!A340),"",Record!A340)</f>
        <v/>
      </c>
      <c r="B339" t="str">
        <f>IF(ISBLANK(Record!B340),"",Record!B340)</f>
        <v/>
      </c>
      <c r="C339" s="227" t="str">
        <f>IF(ISBLANK(Record!C340),"",Record!C340)</f>
        <v/>
      </c>
      <c r="D339" t="str">
        <f>IF(ISBLANK(Record!D340),"",Record!D340)</f>
        <v/>
      </c>
      <c r="E339" t="str">
        <f>IF(ISBLANK(Record!E340),"",Record!E340)</f>
        <v/>
      </c>
      <c r="M339" t="str">
        <f t="shared" si="35"/>
        <v xml:space="preserve">          </v>
      </c>
      <c r="N339" s="227" t="str">
        <f t="shared" si="36"/>
        <v/>
      </c>
      <c r="X339" t="str">
        <f t="shared" si="37"/>
        <v xml:space="preserve">          </v>
      </c>
      <c r="Y339" s="227" t="str">
        <f t="shared" si="38"/>
        <v/>
      </c>
      <c r="Z339" t="str">
        <f t="shared" si="39"/>
        <v/>
      </c>
      <c r="AL339" t="str">
        <f t="shared" si="40"/>
        <v/>
      </c>
      <c r="AM339" t="str">
        <f t="shared" si="41"/>
        <v/>
      </c>
    </row>
    <row r="340" spans="1:39">
      <c r="A340" t="str">
        <f>IF(ISBLANK(Record!A341),"",Record!A341)</f>
        <v/>
      </c>
      <c r="B340" t="str">
        <f>IF(ISBLANK(Record!B341),"",Record!B341)</f>
        <v/>
      </c>
      <c r="C340" s="227" t="str">
        <f>IF(ISBLANK(Record!C341),"",Record!C341)</f>
        <v/>
      </c>
      <c r="D340" t="str">
        <f>IF(ISBLANK(Record!D341),"",Record!D341)</f>
        <v/>
      </c>
      <c r="E340" t="str">
        <f>IF(ISBLANK(Record!E341),"",Record!E341)</f>
        <v/>
      </c>
      <c r="M340" t="str">
        <f t="shared" si="35"/>
        <v xml:space="preserve">          </v>
      </c>
      <c r="N340" s="227" t="str">
        <f t="shared" si="36"/>
        <v/>
      </c>
      <c r="X340" t="str">
        <f t="shared" si="37"/>
        <v xml:space="preserve">          </v>
      </c>
      <c r="Y340" s="227" t="str">
        <f t="shared" si="38"/>
        <v/>
      </c>
      <c r="Z340" t="str">
        <f t="shared" si="39"/>
        <v/>
      </c>
      <c r="AL340" t="str">
        <f t="shared" si="40"/>
        <v/>
      </c>
      <c r="AM340" t="str">
        <f t="shared" si="41"/>
        <v/>
      </c>
    </row>
    <row r="341" spans="1:39">
      <c r="A341" t="str">
        <f>IF(ISBLANK(Record!A342),"",Record!A342)</f>
        <v/>
      </c>
      <c r="B341" t="str">
        <f>IF(ISBLANK(Record!B342),"",Record!B342)</f>
        <v/>
      </c>
      <c r="C341" s="227" t="str">
        <f>IF(ISBLANK(Record!C342),"",Record!C342)</f>
        <v/>
      </c>
      <c r="D341" t="str">
        <f>IF(ISBLANK(Record!D342),"",Record!D342)</f>
        <v/>
      </c>
      <c r="E341" t="str">
        <f>IF(ISBLANK(Record!E342),"",Record!E342)</f>
        <v/>
      </c>
      <c r="M341" t="str">
        <f t="shared" si="35"/>
        <v xml:space="preserve">          </v>
      </c>
      <c r="N341" s="227" t="str">
        <f t="shared" si="36"/>
        <v/>
      </c>
      <c r="X341" t="str">
        <f t="shared" si="37"/>
        <v xml:space="preserve">          </v>
      </c>
      <c r="Y341" s="227" t="str">
        <f t="shared" si="38"/>
        <v/>
      </c>
      <c r="Z341" t="str">
        <f t="shared" si="39"/>
        <v/>
      </c>
      <c r="AL341" t="str">
        <f t="shared" si="40"/>
        <v/>
      </c>
      <c r="AM341" t="str">
        <f t="shared" si="41"/>
        <v/>
      </c>
    </row>
    <row r="342" spans="1:39">
      <c r="A342" t="str">
        <f>IF(ISBLANK(Record!A343),"",Record!A343)</f>
        <v/>
      </c>
      <c r="B342" t="str">
        <f>IF(ISBLANK(Record!B343),"",Record!B343)</f>
        <v/>
      </c>
      <c r="C342" s="227" t="str">
        <f>IF(ISBLANK(Record!C343),"",Record!C343)</f>
        <v/>
      </c>
      <c r="D342" t="str">
        <f>IF(ISBLANK(Record!D343),"",Record!D343)</f>
        <v/>
      </c>
      <c r="E342" t="str">
        <f>IF(ISBLANK(Record!E343),"",Record!E343)</f>
        <v/>
      </c>
      <c r="M342" t="str">
        <f t="shared" si="35"/>
        <v xml:space="preserve">          </v>
      </c>
      <c r="N342" s="227" t="str">
        <f t="shared" si="36"/>
        <v/>
      </c>
      <c r="X342" t="str">
        <f t="shared" si="37"/>
        <v xml:space="preserve">          </v>
      </c>
      <c r="Y342" s="227" t="str">
        <f t="shared" si="38"/>
        <v/>
      </c>
      <c r="Z342" t="str">
        <f t="shared" si="39"/>
        <v/>
      </c>
      <c r="AL342" t="str">
        <f t="shared" si="40"/>
        <v/>
      </c>
      <c r="AM342" t="str">
        <f t="shared" si="41"/>
        <v/>
      </c>
    </row>
    <row r="343" spans="1:39">
      <c r="A343" t="str">
        <f>IF(ISBLANK(Record!A344),"",Record!A344)</f>
        <v/>
      </c>
      <c r="B343" t="str">
        <f>IF(ISBLANK(Record!B344),"",Record!B344)</f>
        <v/>
      </c>
      <c r="C343" s="227" t="str">
        <f>IF(ISBLANK(Record!C344),"",Record!C344)</f>
        <v/>
      </c>
      <c r="D343" t="str">
        <f>IF(ISBLANK(Record!D344),"",Record!D344)</f>
        <v/>
      </c>
      <c r="E343" t="str">
        <f>IF(ISBLANK(Record!E344),"",Record!E344)</f>
        <v/>
      </c>
      <c r="M343" t="str">
        <f t="shared" si="35"/>
        <v xml:space="preserve">          </v>
      </c>
      <c r="N343" s="227" t="str">
        <f t="shared" si="36"/>
        <v/>
      </c>
      <c r="X343" t="str">
        <f t="shared" si="37"/>
        <v xml:space="preserve">          </v>
      </c>
      <c r="Y343" s="227" t="str">
        <f t="shared" si="38"/>
        <v/>
      </c>
      <c r="Z343" t="str">
        <f t="shared" si="39"/>
        <v/>
      </c>
      <c r="AL343" t="str">
        <f t="shared" si="40"/>
        <v/>
      </c>
      <c r="AM343" t="str">
        <f t="shared" si="41"/>
        <v/>
      </c>
    </row>
    <row r="344" spans="1:39">
      <c r="A344" t="str">
        <f>IF(ISBLANK(Record!A345),"",Record!A345)</f>
        <v/>
      </c>
      <c r="B344" t="str">
        <f>IF(ISBLANK(Record!B345),"",Record!B345)</f>
        <v/>
      </c>
      <c r="C344" s="227" t="str">
        <f>IF(ISBLANK(Record!C345),"",Record!C345)</f>
        <v/>
      </c>
      <c r="D344" t="str">
        <f>IF(ISBLANK(Record!D345),"",Record!D345)</f>
        <v/>
      </c>
      <c r="E344" t="str">
        <f>IF(ISBLANK(Record!E345),"",Record!E345)</f>
        <v/>
      </c>
      <c r="M344" t="str">
        <f t="shared" si="35"/>
        <v xml:space="preserve">          </v>
      </c>
      <c r="N344" s="227" t="str">
        <f t="shared" si="36"/>
        <v/>
      </c>
      <c r="X344" t="str">
        <f t="shared" si="37"/>
        <v xml:space="preserve">          </v>
      </c>
      <c r="Y344" s="227" t="str">
        <f t="shared" si="38"/>
        <v/>
      </c>
      <c r="Z344" t="str">
        <f t="shared" si="39"/>
        <v/>
      </c>
      <c r="AL344" t="str">
        <f t="shared" si="40"/>
        <v/>
      </c>
      <c r="AM344" t="str">
        <f t="shared" si="41"/>
        <v/>
      </c>
    </row>
    <row r="345" spans="1:39">
      <c r="A345" t="str">
        <f>IF(ISBLANK(Record!A346),"",Record!A346)</f>
        <v/>
      </c>
      <c r="B345" t="str">
        <f>IF(ISBLANK(Record!B346),"",Record!B346)</f>
        <v/>
      </c>
      <c r="C345" s="227" t="str">
        <f>IF(ISBLANK(Record!C346),"",Record!C346)</f>
        <v/>
      </c>
      <c r="D345" t="str">
        <f>IF(ISBLANK(Record!D346),"",Record!D346)</f>
        <v/>
      </c>
      <c r="E345" t="str">
        <f>IF(ISBLANK(Record!E346),"",Record!E346)</f>
        <v/>
      </c>
      <c r="M345" t="str">
        <f t="shared" si="35"/>
        <v xml:space="preserve">          </v>
      </c>
      <c r="N345" s="227" t="str">
        <f t="shared" si="36"/>
        <v/>
      </c>
      <c r="X345" t="str">
        <f t="shared" si="37"/>
        <v xml:space="preserve">          </v>
      </c>
      <c r="Y345" s="227" t="str">
        <f t="shared" si="38"/>
        <v/>
      </c>
      <c r="Z345" t="str">
        <f t="shared" si="39"/>
        <v/>
      </c>
      <c r="AL345" t="str">
        <f t="shared" si="40"/>
        <v/>
      </c>
      <c r="AM345" t="str">
        <f t="shared" si="41"/>
        <v/>
      </c>
    </row>
    <row r="346" spans="1:39">
      <c r="A346" t="str">
        <f>IF(ISBLANK(Record!A347),"",Record!A347)</f>
        <v/>
      </c>
      <c r="B346" t="str">
        <f>IF(ISBLANK(Record!B347),"",Record!B347)</f>
        <v/>
      </c>
      <c r="C346" s="227" t="str">
        <f>IF(ISBLANK(Record!C347),"",Record!C347)</f>
        <v/>
      </c>
      <c r="D346" t="str">
        <f>IF(ISBLANK(Record!D347),"",Record!D347)</f>
        <v/>
      </c>
      <c r="E346" t="str">
        <f>IF(ISBLANK(Record!E347),"",Record!E347)</f>
        <v/>
      </c>
      <c r="M346" t="str">
        <f t="shared" si="35"/>
        <v xml:space="preserve">          </v>
      </c>
      <c r="N346" s="227" t="str">
        <f t="shared" si="36"/>
        <v/>
      </c>
      <c r="X346" t="str">
        <f t="shared" si="37"/>
        <v xml:space="preserve">          </v>
      </c>
      <c r="Y346" s="227" t="str">
        <f t="shared" si="38"/>
        <v/>
      </c>
      <c r="Z346" t="str">
        <f t="shared" si="39"/>
        <v/>
      </c>
      <c r="AL346" t="str">
        <f t="shared" si="40"/>
        <v/>
      </c>
      <c r="AM346" t="str">
        <f t="shared" si="41"/>
        <v/>
      </c>
    </row>
    <row r="347" spans="1:39">
      <c r="A347" t="str">
        <f>IF(ISBLANK(Record!A348),"",Record!A348)</f>
        <v/>
      </c>
      <c r="B347" t="str">
        <f>IF(ISBLANK(Record!B348),"",Record!B348)</f>
        <v/>
      </c>
      <c r="C347" s="227" t="str">
        <f>IF(ISBLANK(Record!C348),"",Record!C348)</f>
        <v/>
      </c>
      <c r="D347" t="str">
        <f>IF(ISBLANK(Record!D348),"",Record!D348)</f>
        <v/>
      </c>
      <c r="E347" t="str">
        <f>IF(ISBLANK(Record!E348),"",Record!E348)</f>
        <v/>
      </c>
      <c r="M347" t="str">
        <f t="shared" si="35"/>
        <v xml:space="preserve">          </v>
      </c>
      <c r="N347" s="227" t="str">
        <f t="shared" si="36"/>
        <v/>
      </c>
      <c r="X347" t="str">
        <f t="shared" si="37"/>
        <v xml:space="preserve">          </v>
      </c>
      <c r="Y347" s="227" t="str">
        <f t="shared" si="38"/>
        <v/>
      </c>
      <c r="Z347" t="str">
        <f t="shared" si="39"/>
        <v/>
      </c>
      <c r="AL347" t="str">
        <f t="shared" si="40"/>
        <v/>
      </c>
      <c r="AM347" t="str">
        <f t="shared" si="41"/>
        <v/>
      </c>
    </row>
    <row r="348" spans="1:39">
      <c r="A348" t="str">
        <f>IF(ISBLANK(Record!A349),"",Record!A349)</f>
        <v/>
      </c>
      <c r="B348" t="str">
        <f>IF(ISBLANK(Record!B349),"",Record!B349)</f>
        <v/>
      </c>
      <c r="C348" s="227" t="str">
        <f>IF(ISBLANK(Record!C349),"",Record!C349)</f>
        <v/>
      </c>
      <c r="D348" t="str">
        <f>IF(ISBLANK(Record!D349),"",Record!D349)</f>
        <v/>
      </c>
      <c r="E348" t="str">
        <f>IF(ISBLANK(Record!E349),"",Record!E349)</f>
        <v/>
      </c>
      <c r="M348" t="str">
        <f t="shared" si="35"/>
        <v xml:space="preserve">          </v>
      </c>
      <c r="N348" s="227" t="str">
        <f t="shared" si="36"/>
        <v/>
      </c>
      <c r="X348" t="str">
        <f t="shared" si="37"/>
        <v xml:space="preserve">          </v>
      </c>
      <c r="Y348" s="227" t="str">
        <f t="shared" si="38"/>
        <v/>
      </c>
      <c r="Z348" t="str">
        <f t="shared" si="39"/>
        <v/>
      </c>
      <c r="AL348" t="str">
        <f t="shared" si="40"/>
        <v/>
      </c>
      <c r="AM348" t="str">
        <f t="shared" si="41"/>
        <v/>
      </c>
    </row>
    <row r="349" spans="1:39">
      <c r="A349" t="str">
        <f>IF(ISBLANK(Record!A350),"",Record!A350)</f>
        <v/>
      </c>
      <c r="B349" t="str">
        <f>IF(ISBLANK(Record!B350),"",Record!B350)</f>
        <v/>
      </c>
      <c r="C349" s="227" t="str">
        <f>IF(ISBLANK(Record!C350),"",Record!C350)</f>
        <v/>
      </c>
      <c r="D349" t="str">
        <f>IF(ISBLANK(Record!D350),"",Record!D350)</f>
        <v/>
      </c>
      <c r="E349" t="str">
        <f>IF(ISBLANK(Record!E350),"",Record!E350)</f>
        <v/>
      </c>
      <c r="M349" t="str">
        <f t="shared" si="35"/>
        <v xml:space="preserve">          </v>
      </c>
      <c r="N349" s="227" t="str">
        <f t="shared" si="36"/>
        <v/>
      </c>
      <c r="X349" t="str">
        <f t="shared" si="37"/>
        <v xml:space="preserve">          </v>
      </c>
      <c r="Y349" s="227" t="str">
        <f t="shared" si="38"/>
        <v/>
      </c>
      <c r="Z349" t="str">
        <f t="shared" si="39"/>
        <v/>
      </c>
      <c r="AL349" t="str">
        <f t="shared" si="40"/>
        <v/>
      </c>
      <c r="AM349" t="str">
        <f t="shared" si="41"/>
        <v/>
      </c>
    </row>
    <row r="350" spans="1:39">
      <c r="A350" t="str">
        <f>IF(ISBLANK(Record!A351),"",Record!A351)</f>
        <v/>
      </c>
      <c r="B350" t="str">
        <f>IF(ISBLANK(Record!B351),"",Record!B351)</f>
        <v/>
      </c>
      <c r="C350" s="227" t="str">
        <f>IF(ISBLANK(Record!C351),"",Record!C351)</f>
        <v/>
      </c>
      <c r="D350" t="str">
        <f>IF(ISBLANK(Record!D351),"",Record!D351)</f>
        <v/>
      </c>
      <c r="E350" t="str">
        <f>IF(ISBLANK(Record!E351),"",Record!E351)</f>
        <v/>
      </c>
      <c r="M350" t="str">
        <f t="shared" si="35"/>
        <v xml:space="preserve">          </v>
      </c>
      <c r="N350" s="227" t="str">
        <f t="shared" si="36"/>
        <v/>
      </c>
      <c r="X350" t="str">
        <f t="shared" si="37"/>
        <v xml:space="preserve">          </v>
      </c>
      <c r="Y350" s="227" t="str">
        <f t="shared" si="38"/>
        <v/>
      </c>
      <c r="Z350" t="str">
        <f t="shared" si="39"/>
        <v/>
      </c>
      <c r="AL350" t="str">
        <f t="shared" si="40"/>
        <v/>
      </c>
      <c r="AM350" t="str">
        <f t="shared" si="41"/>
        <v/>
      </c>
    </row>
    <row r="351" spans="1:39">
      <c r="A351" t="str">
        <f>IF(ISBLANK(Record!A352),"",Record!A352)</f>
        <v/>
      </c>
      <c r="B351" t="str">
        <f>IF(ISBLANK(Record!B352),"",Record!B352)</f>
        <v/>
      </c>
      <c r="C351" s="227" t="str">
        <f>IF(ISBLANK(Record!C352),"",Record!C352)</f>
        <v/>
      </c>
      <c r="D351" t="str">
        <f>IF(ISBLANK(Record!D352),"",Record!D352)</f>
        <v/>
      </c>
      <c r="E351" t="str">
        <f>IF(ISBLANK(Record!E352),"",Record!E352)</f>
        <v/>
      </c>
      <c r="M351" t="str">
        <f t="shared" si="35"/>
        <v xml:space="preserve">          </v>
      </c>
      <c r="N351" s="227" t="str">
        <f t="shared" si="36"/>
        <v/>
      </c>
      <c r="X351" t="str">
        <f t="shared" si="37"/>
        <v xml:space="preserve">          </v>
      </c>
      <c r="Y351" s="227" t="str">
        <f t="shared" si="38"/>
        <v/>
      </c>
      <c r="Z351" t="str">
        <f t="shared" si="39"/>
        <v/>
      </c>
      <c r="AL351" t="str">
        <f t="shared" si="40"/>
        <v/>
      </c>
      <c r="AM351" t="str">
        <f t="shared" si="41"/>
        <v/>
      </c>
    </row>
    <row r="352" spans="1:39">
      <c r="A352" t="str">
        <f>IF(ISBLANK(Record!A353),"",Record!A353)</f>
        <v/>
      </c>
      <c r="B352" t="str">
        <f>IF(ISBLANK(Record!B353),"",Record!B353)</f>
        <v/>
      </c>
      <c r="C352" s="227" t="str">
        <f>IF(ISBLANK(Record!C353),"",Record!C353)</f>
        <v/>
      </c>
      <c r="D352" t="str">
        <f>IF(ISBLANK(Record!D353),"",Record!D353)</f>
        <v/>
      </c>
      <c r="E352" t="str">
        <f>IF(ISBLANK(Record!E353),"",Record!E353)</f>
        <v/>
      </c>
      <c r="M352" t="str">
        <f t="shared" si="35"/>
        <v xml:space="preserve">          </v>
      </c>
      <c r="N352" s="227" t="str">
        <f t="shared" si="36"/>
        <v/>
      </c>
      <c r="X352" t="str">
        <f t="shared" si="37"/>
        <v xml:space="preserve">          </v>
      </c>
      <c r="Y352" s="227" t="str">
        <f t="shared" si="38"/>
        <v/>
      </c>
      <c r="Z352" t="str">
        <f t="shared" si="39"/>
        <v/>
      </c>
      <c r="AL352" t="str">
        <f t="shared" si="40"/>
        <v/>
      </c>
      <c r="AM352" t="str">
        <f t="shared" si="41"/>
        <v/>
      </c>
    </row>
    <row r="353" spans="1:39">
      <c r="A353" t="str">
        <f>IF(ISBLANK(Record!A354),"",Record!A354)</f>
        <v/>
      </c>
      <c r="B353" t="str">
        <f>IF(ISBLANK(Record!B354),"",Record!B354)</f>
        <v/>
      </c>
      <c r="C353" s="227" t="str">
        <f>IF(ISBLANK(Record!C354),"",Record!C354)</f>
        <v/>
      </c>
      <c r="D353" t="str">
        <f>IF(ISBLANK(Record!D354),"",Record!D354)</f>
        <v/>
      </c>
      <c r="E353" t="str">
        <f>IF(ISBLANK(Record!E354),"",Record!E354)</f>
        <v/>
      </c>
      <c r="M353" t="str">
        <f t="shared" si="35"/>
        <v xml:space="preserve">          </v>
      </c>
      <c r="N353" s="227" t="str">
        <f t="shared" si="36"/>
        <v/>
      </c>
      <c r="X353" t="str">
        <f t="shared" si="37"/>
        <v xml:space="preserve">          </v>
      </c>
      <c r="Y353" s="227" t="str">
        <f t="shared" si="38"/>
        <v/>
      </c>
      <c r="Z353" t="str">
        <f t="shared" si="39"/>
        <v/>
      </c>
      <c r="AL353" t="str">
        <f t="shared" si="40"/>
        <v/>
      </c>
      <c r="AM353" t="str">
        <f t="shared" si="41"/>
        <v/>
      </c>
    </row>
    <row r="354" spans="1:39">
      <c r="A354" t="str">
        <f>IF(ISBLANK(Record!A355),"",Record!A355)</f>
        <v/>
      </c>
      <c r="B354" t="str">
        <f>IF(ISBLANK(Record!B355),"",Record!B355)</f>
        <v/>
      </c>
      <c r="C354" s="227" t="str">
        <f>IF(ISBLANK(Record!C355),"",Record!C355)</f>
        <v/>
      </c>
      <c r="D354" t="str">
        <f>IF(ISBLANK(Record!D355),"",Record!D355)</f>
        <v/>
      </c>
      <c r="E354" t="str">
        <f>IF(ISBLANK(Record!E355),"",Record!E355)</f>
        <v/>
      </c>
      <c r="M354" t="str">
        <f t="shared" si="35"/>
        <v xml:space="preserve">          </v>
      </c>
      <c r="N354" s="227" t="str">
        <f t="shared" si="36"/>
        <v/>
      </c>
      <c r="X354" t="str">
        <f t="shared" si="37"/>
        <v xml:space="preserve">          </v>
      </c>
      <c r="Y354" s="227" t="str">
        <f t="shared" si="38"/>
        <v/>
      </c>
      <c r="Z354" t="str">
        <f t="shared" si="39"/>
        <v/>
      </c>
      <c r="AL354" t="str">
        <f t="shared" si="40"/>
        <v/>
      </c>
      <c r="AM354" t="str">
        <f t="shared" si="41"/>
        <v/>
      </c>
    </row>
    <row r="355" spans="1:39">
      <c r="A355" t="str">
        <f>IF(ISBLANK(Record!A356),"",Record!A356)</f>
        <v/>
      </c>
      <c r="B355" t="str">
        <f>IF(ISBLANK(Record!B356),"",Record!B356)</f>
        <v/>
      </c>
      <c r="C355" s="227" t="str">
        <f>IF(ISBLANK(Record!C356),"",Record!C356)</f>
        <v/>
      </c>
      <c r="D355" t="str">
        <f>IF(ISBLANK(Record!D356),"",Record!D356)</f>
        <v/>
      </c>
      <c r="E355" t="str">
        <f>IF(ISBLANK(Record!E356),"",Record!E356)</f>
        <v/>
      </c>
      <c r="M355" t="str">
        <f t="shared" si="35"/>
        <v xml:space="preserve">          </v>
      </c>
      <c r="N355" s="227" t="str">
        <f t="shared" si="36"/>
        <v/>
      </c>
      <c r="X355" t="str">
        <f t="shared" si="37"/>
        <v xml:space="preserve">          </v>
      </c>
      <c r="Y355" s="227" t="str">
        <f t="shared" si="38"/>
        <v/>
      </c>
      <c r="Z355" t="str">
        <f t="shared" si="39"/>
        <v/>
      </c>
      <c r="AL355" t="str">
        <f t="shared" si="40"/>
        <v/>
      </c>
      <c r="AM355" t="str">
        <f t="shared" si="41"/>
        <v/>
      </c>
    </row>
    <row r="356" spans="1:39">
      <c r="A356" t="str">
        <f>IF(ISBLANK(Record!A357),"",Record!A357)</f>
        <v/>
      </c>
      <c r="B356" t="str">
        <f>IF(ISBLANK(Record!B357),"",Record!B357)</f>
        <v/>
      </c>
      <c r="C356" s="227" t="str">
        <f>IF(ISBLANK(Record!C357),"",Record!C357)</f>
        <v/>
      </c>
      <c r="D356" t="str">
        <f>IF(ISBLANK(Record!D357),"",Record!D357)</f>
        <v/>
      </c>
      <c r="E356" t="str">
        <f>IF(ISBLANK(Record!E357),"",Record!E357)</f>
        <v/>
      </c>
      <c r="M356" t="str">
        <f t="shared" si="35"/>
        <v xml:space="preserve">          </v>
      </c>
      <c r="N356" s="227" t="str">
        <f t="shared" si="36"/>
        <v/>
      </c>
      <c r="X356" t="str">
        <f t="shared" si="37"/>
        <v xml:space="preserve">          </v>
      </c>
      <c r="Y356" s="227" t="str">
        <f t="shared" si="38"/>
        <v/>
      </c>
      <c r="Z356" t="str">
        <f t="shared" si="39"/>
        <v/>
      </c>
      <c r="AL356" t="str">
        <f t="shared" si="40"/>
        <v/>
      </c>
      <c r="AM356" t="str">
        <f t="shared" si="41"/>
        <v/>
      </c>
    </row>
    <row r="357" spans="1:39">
      <c r="A357" t="str">
        <f>IF(ISBLANK(Record!A358),"",Record!A358)</f>
        <v/>
      </c>
      <c r="B357" t="str">
        <f>IF(ISBLANK(Record!B358),"",Record!B358)</f>
        <v/>
      </c>
      <c r="C357" s="227" t="str">
        <f>IF(ISBLANK(Record!C358),"",Record!C358)</f>
        <v/>
      </c>
      <c r="D357" t="str">
        <f>IF(ISBLANK(Record!D358),"",Record!D358)</f>
        <v/>
      </c>
      <c r="E357" t="str">
        <f>IF(ISBLANK(Record!E358),"",Record!E358)</f>
        <v/>
      </c>
      <c r="M357" t="str">
        <f t="shared" si="35"/>
        <v xml:space="preserve">          </v>
      </c>
      <c r="N357" s="227" t="str">
        <f t="shared" si="36"/>
        <v/>
      </c>
      <c r="X357" t="str">
        <f t="shared" si="37"/>
        <v xml:space="preserve">          </v>
      </c>
      <c r="Y357" s="227" t="str">
        <f t="shared" si="38"/>
        <v/>
      </c>
      <c r="Z357" t="str">
        <f t="shared" si="39"/>
        <v/>
      </c>
      <c r="AL357" t="str">
        <f t="shared" si="40"/>
        <v/>
      </c>
      <c r="AM357" t="str">
        <f t="shared" si="41"/>
        <v/>
      </c>
    </row>
    <row r="358" spans="1:39">
      <c r="A358" t="str">
        <f>IF(ISBLANK(Record!A359),"",Record!A359)</f>
        <v/>
      </c>
      <c r="B358" t="str">
        <f>IF(ISBLANK(Record!B359),"",Record!B359)</f>
        <v/>
      </c>
      <c r="C358" s="227" t="str">
        <f>IF(ISBLANK(Record!C359),"",Record!C359)</f>
        <v/>
      </c>
      <c r="D358" t="str">
        <f>IF(ISBLANK(Record!D359),"",Record!D359)</f>
        <v/>
      </c>
      <c r="E358" t="str">
        <f>IF(ISBLANK(Record!E359),"",Record!E359)</f>
        <v/>
      </c>
      <c r="M358" t="str">
        <f t="shared" si="35"/>
        <v xml:space="preserve">          </v>
      </c>
      <c r="N358" s="227" t="str">
        <f t="shared" si="36"/>
        <v/>
      </c>
      <c r="X358" t="str">
        <f t="shared" si="37"/>
        <v xml:space="preserve">          </v>
      </c>
      <c r="Y358" s="227" t="str">
        <f t="shared" si="38"/>
        <v/>
      </c>
      <c r="Z358" t="str">
        <f t="shared" si="39"/>
        <v/>
      </c>
      <c r="AL358" t="str">
        <f t="shared" si="40"/>
        <v/>
      </c>
      <c r="AM358" t="str">
        <f t="shared" si="41"/>
        <v/>
      </c>
    </row>
    <row r="359" spans="1:39">
      <c r="A359" t="str">
        <f>IF(ISBLANK(Record!A360),"",Record!A360)</f>
        <v/>
      </c>
      <c r="B359" t="str">
        <f>IF(ISBLANK(Record!B360),"",Record!B360)</f>
        <v/>
      </c>
      <c r="C359" s="227" t="str">
        <f>IF(ISBLANK(Record!C360),"",Record!C360)</f>
        <v/>
      </c>
      <c r="D359" t="str">
        <f>IF(ISBLANK(Record!D360),"",Record!D360)</f>
        <v/>
      </c>
      <c r="E359" t="str">
        <f>IF(ISBLANK(Record!E360),"",Record!E360)</f>
        <v/>
      </c>
      <c r="M359" t="str">
        <f t="shared" si="35"/>
        <v xml:space="preserve">          </v>
      </c>
      <c r="N359" s="227" t="str">
        <f t="shared" si="36"/>
        <v/>
      </c>
      <c r="X359" t="str">
        <f t="shared" si="37"/>
        <v xml:space="preserve">          </v>
      </c>
      <c r="Y359" s="227" t="str">
        <f t="shared" si="38"/>
        <v/>
      </c>
      <c r="Z359" t="str">
        <f t="shared" si="39"/>
        <v/>
      </c>
      <c r="AL359" t="str">
        <f t="shared" si="40"/>
        <v/>
      </c>
      <c r="AM359" t="str">
        <f t="shared" si="41"/>
        <v/>
      </c>
    </row>
    <row r="360" spans="1:39">
      <c r="A360" t="str">
        <f>IF(ISBLANK(Record!A361),"",Record!A361)</f>
        <v/>
      </c>
      <c r="B360" t="str">
        <f>IF(ISBLANK(Record!B361),"",Record!B361)</f>
        <v/>
      </c>
      <c r="C360" s="227" t="str">
        <f>IF(ISBLANK(Record!C361),"",Record!C361)</f>
        <v/>
      </c>
      <c r="D360" t="str">
        <f>IF(ISBLANK(Record!D361),"",Record!D361)</f>
        <v/>
      </c>
      <c r="E360" t="str">
        <f>IF(ISBLANK(Record!E361),"",Record!E361)</f>
        <v/>
      </c>
      <c r="M360" t="str">
        <f t="shared" si="35"/>
        <v xml:space="preserve">          </v>
      </c>
      <c r="N360" s="227" t="str">
        <f t="shared" si="36"/>
        <v/>
      </c>
      <c r="X360" t="str">
        <f t="shared" si="37"/>
        <v xml:space="preserve">          </v>
      </c>
      <c r="Y360" s="227" t="str">
        <f t="shared" si="38"/>
        <v/>
      </c>
      <c r="Z360" t="str">
        <f t="shared" si="39"/>
        <v/>
      </c>
      <c r="AL360" t="str">
        <f t="shared" si="40"/>
        <v/>
      </c>
      <c r="AM360" t="str">
        <f t="shared" si="41"/>
        <v/>
      </c>
    </row>
    <row r="361" spans="1:39">
      <c r="A361" t="str">
        <f>IF(ISBLANK(Record!A362),"",Record!A362)</f>
        <v/>
      </c>
      <c r="B361" t="str">
        <f>IF(ISBLANK(Record!B362),"",Record!B362)</f>
        <v/>
      </c>
      <c r="C361" s="227" t="str">
        <f>IF(ISBLANK(Record!C362),"",Record!C362)</f>
        <v/>
      </c>
      <c r="D361" t="str">
        <f>IF(ISBLANK(Record!D362),"",Record!D362)</f>
        <v/>
      </c>
      <c r="E361" t="str">
        <f>IF(ISBLANK(Record!E362),"",Record!E362)</f>
        <v/>
      </c>
      <c r="M361" t="str">
        <f t="shared" si="35"/>
        <v xml:space="preserve">          </v>
      </c>
      <c r="N361" s="227" t="str">
        <f t="shared" si="36"/>
        <v/>
      </c>
      <c r="X361" t="str">
        <f t="shared" si="37"/>
        <v xml:space="preserve">          </v>
      </c>
      <c r="Y361" s="227" t="str">
        <f t="shared" si="38"/>
        <v/>
      </c>
      <c r="Z361" t="str">
        <f t="shared" si="39"/>
        <v/>
      </c>
      <c r="AL361" t="str">
        <f t="shared" si="40"/>
        <v/>
      </c>
      <c r="AM361" t="str">
        <f t="shared" si="41"/>
        <v/>
      </c>
    </row>
    <row r="362" spans="1:39">
      <c r="A362" t="str">
        <f>IF(ISBLANK(Record!A363),"",Record!A363)</f>
        <v/>
      </c>
      <c r="B362" t="str">
        <f>IF(ISBLANK(Record!B363),"",Record!B363)</f>
        <v/>
      </c>
      <c r="C362" s="227" t="str">
        <f>IF(ISBLANK(Record!C363),"",Record!C363)</f>
        <v/>
      </c>
      <c r="D362" t="str">
        <f>IF(ISBLANK(Record!D363),"",Record!D363)</f>
        <v/>
      </c>
      <c r="E362" t="str">
        <f>IF(ISBLANK(Record!E363),"",Record!E363)</f>
        <v/>
      </c>
      <c r="M362" t="str">
        <f t="shared" si="35"/>
        <v xml:space="preserve">          </v>
      </c>
      <c r="N362" s="227" t="str">
        <f t="shared" si="36"/>
        <v/>
      </c>
      <c r="X362" t="str">
        <f t="shared" si="37"/>
        <v xml:space="preserve">          </v>
      </c>
      <c r="Y362" s="227" t="str">
        <f t="shared" si="38"/>
        <v/>
      </c>
      <c r="Z362" t="str">
        <f t="shared" si="39"/>
        <v/>
      </c>
      <c r="AL362" t="str">
        <f t="shared" si="40"/>
        <v/>
      </c>
      <c r="AM362" t="str">
        <f t="shared" si="41"/>
        <v/>
      </c>
    </row>
    <row r="363" spans="1:39">
      <c r="A363" t="str">
        <f>IF(ISBLANK(Record!A364),"",Record!A364)</f>
        <v/>
      </c>
      <c r="B363" t="str">
        <f>IF(ISBLANK(Record!B364),"",Record!B364)</f>
        <v/>
      </c>
      <c r="C363" s="227" t="str">
        <f>IF(ISBLANK(Record!C364),"",Record!C364)</f>
        <v/>
      </c>
      <c r="D363" t="str">
        <f>IF(ISBLANK(Record!D364),"",Record!D364)</f>
        <v/>
      </c>
      <c r="E363" t="str">
        <f>IF(ISBLANK(Record!E364),"",Record!E364)</f>
        <v/>
      </c>
      <c r="M363" t="str">
        <f t="shared" si="35"/>
        <v xml:space="preserve">          </v>
      </c>
      <c r="N363" s="227" t="str">
        <f t="shared" si="36"/>
        <v/>
      </c>
      <c r="X363" t="str">
        <f t="shared" si="37"/>
        <v xml:space="preserve">          </v>
      </c>
      <c r="Y363" s="227" t="str">
        <f t="shared" si="38"/>
        <v/>
      </c>
      <c r="Z363" t="str">
        <f t="shared" si="39"/>
        <v/>
      </c>
      <c r="AL363" t="str">
        <f t="shared" si="40"/>
        <v/>
      </c>
      <c r="AM363" t="str">
        <f t="shared" si="41"/>
        <v/>
      </c>
    </row>
    <row r="364" spans="1:39">
      <c r="A364" t="str">
        <f>IF(ISBLANK(Record!A365),"",Record!A365)</f>
        <v/>
      </c>
      <c r="B364" t="str">
        <f>IF(ISBLANK(Record!B365),"",Record!B365)</f>
        <v/>
      </c>
      <c r="C364" s="227" t="str">
        <f>IF(ISBLANK(Record!C365),"",Record!C365)</f>
        <v/>
      </c>
      <c r="D364" t="str">
        <f>IF(ISBLANK(Record!D365),"",Record!D365)</f>
        <v/>
      </c>
      <c r="E364" t="str">
        <f>IF(ISBLANK(Record!E365),"",Record!E365)</f>
        <v/>
      </c>
      <c r="M364" t="str">
        <f t="shared" si="35"/>
        <v xml:space="preserve">          </v>
      </c>
      <c r="N364" s="227" t="str">
        <f t="shared" si="36"/>
        <v/>
      </c>
      <c r="X364" t="str">
        <f t="shared" si="37"/>
        <v xml:space="preserve">          </v>
      </c>
      <c r="Y364" s="227" t="str">
        <f t="shared" si="38"/>
        <v/>
      </c>
      <c r="Z364" t="str">
        <f t="shared" si="39"/>
        <v/>
      </c>
      <c r="AL364" t="str">
        <f t="shared" si="40"/>
        <v/>
      </c>
      <c r="AM364" t="str">
        <f t="shared" si="41"/>
        <v/>
      </c>
    </row>
    <row r="365" spans="1:39">
      <c r="A365" t="str">
        <f>IF(ISBLANK(Record!A366),"",Record!A366)</f>
        <v/>
      </c>
      <c r="B365" t="str">
        <f>IF(ISBLANK(Record!B366),"",Record!B366)</f>
        <v/>
      </c>
      <c r="C365" s="227" t="str">
        <f>IF(ISBLANK(Record!C366),"",Record!C366)</f>
        <v/>
      </c>
      <c r="D365" t="str">
        <f>IF(ISBLANK(Record!D366),"",Record!D366)</f>
        <v/>
      </c>
      <c r="E365" t="str">
        <f>IF(ISBLANK(Record!E366),"",Record!E366)</f>
        <v/>
      </c>
      <c r="M365" t="str">
        <f t="shared" si="35"/>
        <v xml:space="preserve">          </v>
      </c>
      <c r="N365" s="227" t="str">
        <f t="shared" si="36"/>
        <v/>
      </c>
      <c r="X365" t="str">
        <f t="shared" si="37"/>
        <v xml:space="preserve">          </v>
      </c>
      <c r="Y365" s="227" t="str">
        <f t="shared" si="38"/>
        <v/>
      </c>
      <c r="Z365" t="str">
        <f t="shared" si="39"/>
        <v/>
      </c>
      <c r="AL365" t="str">
        <f t="shared" si="40"/>
        <v/>
      </c>
      <c r="AM365" t="str">
        <f t="shared" si="41"/>
        <v/>
      </c>
    </row>
    <row r="366" spans="1:39">
      <c r="A366" t="str">
        <f>IF(ISBLANK(Record!A367),"",Record!A367)</f>
        <v/>
      </c>
      <c r="B366" t="str">
        <f>IF(ISBLANK(Record!B367),"",Record!B367)</f>
        <v/>
      </c>
      <c r="C366" s="227" t="str">
        <f>IF(ISBLANK(Record!C367),"",Record!C367)</f>
        <v/>
      </c>
      <c r="D366" t="str">
        <f>IF(ISBLANK(Record!D367),"",Record!D367)</f>
        <v/>
      </c>
      <c r="E366" t="str">
        <f>IF(ISBLANK(Record!E367),"",Record!E367)</f>
        <v/>
      </c>
      <c r="M366" t="str">
        <f t="shared" si="35"/>
        <v xml:space="preserve">          </v>
      </c>
      <c r="N366" s="227" t="str">
        <f t="shared" si="36"/>
        <v/>
      </c>
      <c r="X366" t="str">
        <f t="shared" si="37"/>
        <v xml:space="preserve">          </v>
      </c>
      <c r="Y366" s="227" t="str">
        <f t="shared" si="38"/>
        <v/>
      </c>
      <c r="Z366" t="str">
        <f t="shared" si="39"/>
        <v/>
      </c>
      <c r="AL366" t="str">
        <f t="shared" si="40"/>
        <v/>
      </c>
      <c r="AM366" t="str">
        <f t="shared" si="41"/>
        <v/>
      </c>
    </row>
    <row r="367" spans="1:39">
      <c r="A367" t="str">
        <f>IF(ISBLANK(Record!A368),"",Record!A368)</f>
        <v/>
      </c>
      <c r="B367" t="str">
        <f>IF(ISBLANK(Record!B368),"",Record!B368)</f>
        <v/>
      </c>
      <c r="C367" s="227" t="str">
        <f>IF(ISBLANK(Record!C368),"",Record!C368)</f>
        <v/>
      </c>
      <c r="D367" t="str">
        <f>IF(ISBLANK(Record!D368),"",Record!D368)</f>
        <v/>
      </c>
      <c r="E367" t="str">
        <f>IF(ISBLANK(Record!E368),"",Record!E368)</f>
        <v/>
      </c>
      <c r="M367" t="str">
        <f t="shared" si="35"/>
        <v xml:space="preserve">          </v>
      </c>
      <c r="N367" s="227" t="str">
        <f t="shared" si="36"/>
        <v/>
      </c>
      <c r="X367" t="str">
        <f t="shared" si="37"/>
        <v xml:space="preserve">          </v>
      </c>
      <c r="Y367" s="227" t="str">
        <f t="shared" si="38"/>
        <v/>
      </c>
      <c r="Z367" t="str">
        <f t="shared" si="39"/>
        <v/>
      </c>
      <c r="AL367" t="str">
        <f t="shared" si="40"/>
        <v/>
      </c>
      <c r="AM367" t="str">
        <f t="shared" si="41"/>
        <v/>
      </c>
    </row>
    <row r="368" spans="1:39">
      <c r="A368" t="str">
        <f>IF(ISBLANK(Record!A369),"",Record!A369)</f>
        <v/>
      </c>
      <c r="B368" t="str">
        <f>IF(ISBLANK(Record!B369),"",Record!B369)</f>
        <v/>
      </c>
      <c r="C368" s="227" t="str">
        <f>IF(ISBLANK(Record!C369),"",Record!C369)</f>
        <v/>
      </c>
      <c r="D368" t="str">
        <f>IF(ISBLANK(Record!D369),"",Record!D369)</f>
        <v/>
      </c>
      <c r="E368" t="str">
        <f>IF(ISBLANK(Record!E369),"",Record!E369)</f>
        <v/>
      </c>
      <c r="M368" t="str">
        <f t="shared" si="35"/>
        <v xml:space="preserve">          </v>
      </c>
      <c r="N368" s="227" t="str">
        <f t="shared" si="36"/>
        <v/>
      </c>
      <c r="X368" t="str">
        <f t="shared" si="37"/>
        <v xml:space="preserve">          </v>
      </c>
      <c r="Y368" s="227" t="str">
        <f t="shared" si="38"/>
        <v/>
      </c>
      <c r="Z368" t="str">
        <f t="shared" si="39"/>
        <v/>
      </c>
      <c r="AL368" t="str">
        <f t="shared" si="40"/>
        <v/>
      </c>
      <c r="AM368" t="str">
        <f t="shared" si="41"/>
        <v/>
      </c>
    </row>
    <row r="369" spans="1:39">
      <c r="A369" t="str">
        <f>IF(ISBLANK(Record!A370),"",Record!A370)</f>
        <v/>
      </c>
      <c r="B369" t="str">
        <f>IF(ISBLANK(Record!B370),"",Record!B370)</f>
        <v/>
      </c>
      <c r="C369" s="227" t="str">
        <f>IF(ISBLANK(Record!C370),"",Record!C370)</f>
        <v/>
      </c>
      <c r="D369" t="str">
        <f>IF(ISBLANK(Record!D370),"",Record!D370)</f>
        <v/>
      </c>
      <c r="E369" t="str">
        <f>IF(ISBLANK(Record!E370),"",Record!E370)</f>
        <v/>
      </c>
      <c r="M369" t="str">
        <f t="shared" si="35"/>
        <v xml:space="preserve">          </v>
      </c>
      <c r="N369" s="227" t="str">
        <f t="shared" si="36"/>
        <v/>
      </c>
      <c r="X369" t="str">
        <f t="shared" si="37"/>
        <v xml:space="preserve">          </v>
      </c>
      <c r="Y369" s="227" t="str">
        <f t="shared" si="38"/>
        <v/>
      </c>
      <c r="Z369" t="str">
        <f t="shared" si="39"/>
        <v/>
      </c>
      <c r="AL369" t="str">
        <f t="shared" si="40"/>
        <v/>
      </c>
      <c r="AM369" t="str">
        <f t="shared" si="41"/>
        <v/>
      </c>
    </row>
    <row r="370" spans="1:39">
      <c r="A370" t="str">
        <f>IF(ISBLANK(Record!A371),"",Record!A371)</f>
        <v/>
      </c>
      <c r="B370" t="str">
        <f>IF(ISBLANK(Record!B371),"",Record!B371)</f>
        <v/>
      </c>
      <c r="C370" s="227" t="str">
        <f>IF(ISBLANK(Record!C371),"",Record!C371)</f>
        <v/>
      </c>
      <c r="D370" t="str">
        <f>IF(ISBLANK(Record!D371),"",Record!D371)</f>
        <v/>
      </c>
      <c r="E370" t="str">
        <f>IF(ISBLANK(Record!E371),"",Record!E371)</f>
        <v/>
      </c>
      <c r="M370" t="str">
        <f t="shared" si="35"/>
        <v xml:space="preserve">          </v>
      </c>
      <c r="N370" s="227" t="str">
        <f t="shared" si="36"/>
        <v/>
      </c>
      <c r="X370" t="str">
        <f t="shared" si="37"/>
        <v xml:space="preserve">          </v>
      </c>
      <c r="Y370" s="227" t="str">
        <f t="shared" si="38"/>
        <v/>
      </c>
      <c r="Z370" t="str">
        <f t="shared" si="39"/>
        <v/>
      </c>
      <c r="AL370" t="str">
        <f t="shared" si="40"/>
        <v/>
      </c>
      <c r="AM370" t="str">
        <f t="shared" si="41"/>
        <v/>
      </c>
    </row>
    <row r="371" spans="1:39">
      <c r="A371" t="str">
        <f>IF(ISBLANK(Record!A372),"",Record!A372)</f>
        <v/>
      </c>
      <c r="B371" t="str">
        <f>IF(ISBLANK(Record!B372),"",Record!B372)</f>
        <v/>
      </c>
      <c r="C371" s="227" t="str">
        <f>IF(ISBLANK(Record!C372),"",Record!C372)</f>
        <v/>
      </c>
      <c r="D371" t="str">
        <f>IF(ISBLANK(Record!D372),"",Record!D372)</f>
        <v/>
      </c>
      <c r="E371" t="str">
        <f>IF(ISBLANK(Record!E372),"",Record!E372)</f>
        <v/>
      </c>
      <c r="M371" t="str">
        <f t="shared" si="35"/>
        <v xml:space="preserve">          </v>
      </c>
      <c r="N371" s="227" t="str">
        <f t="shared" si="36"/>
        <v/>
      </c>
      <c r="X371" t="str">
        <f t="shared" si="37"/>
        <v xml:space="preserve">          </v>
      </c>
      <c r="Y371" s="227" t="str">
        <f t="shared" si="38"/>
        <v/>
      </c>
      <c r="Z371" t="str">
        <f t="shared" si="39"/>
        <v/>
      </c>
      <c r="AL371" t="str">
        <f t="shared" si="40"/>
        <v/>
      </c>
      <c r="AM371" t="str">
        <f t="shared" si="41"/>
        <v/>
      </c>
    </row>
    <row r="372" spans="1:39">
      <c r="A372" t="str">
        <f>IF(ISBLANK(Record!A373),"",Record!A373)</f>
        <v/>
      </c>
      <c r="B372" t="str">
        <f>IF(ISBLANK(Record!B373),"",Record!B373)</f>
        <v/>
      </c>
      <c r="C372" s="227" t="str">
        <f>IF(ISBLANK(Record!C373),"",Record!C373)</f>
        <v/>
      </c>
      <c r="D372" t="str">
        <f>IF(ISBLANK(Record!D373),"",Record!D373)</f>
        <v/>
      </c>
      <c r="E372" t="str">
        <f>IF(ISBLANK(Record!E373),"",Record!E373)</f>
        <v/>
      </c>
      <c r="M372" t="str">
        <f t="shared" si="35"/>
        <v xml:space="preserve">          </v>
      </c>
      <c r="N372" s="227" t="str">
        <f t="shared" si="36"/>
        <v/>
      </c>
      <c r="X372" t="str">
        <f t="shared" si="37"/>
        <v xml:space="preserve">          </v>
      </c>
      <c r="Y372" s="227" t="str">
        <f t="shared" si="38"/>
        <v/>
      </c>
      <c r="Z372" t="str">
        <f t="shared" si="39"/>
        <v/>
      </c>
      <c r="AL372" t="str">
        <f t="shared" si="40"/>
        <v/>
      </c>
      <c r="AM372" t="str">
        <f t="shared" si="41"/>
        <v/>
      </c>
    </row>
    <row r="373" spans="1:39">
      <c r="A373" t="str">
        <f>IF(ISBLANK(Record!A374),"",Record!A374)</f>
        <v/>
      </c>
      <c r="B373" t="str">
        <f>IF(ISBLANK(Record!B374),"",Record!B374)</f>
        <v/>
      </c>
      <c r="C373" s="227" t="str">
        <f>IF(ISBLANK(Record!C374),"",Record!C374)</f>
        <v/>
      </c>
      <c r="D373" t="str">
        <f>IF(ISBLANK(Record!D374),"",Record!D374)</f>
        <v/>
      </c>
      <c r="E373" t="str">
        <f>IF(ISBLANK(Record!E374),"",Record!E374)</f>
        <v/>
      </c>
      <c r="M373" t="str">
        <f t="shared" si="35"/>
        <v xml:space="preserve">          </v>
      </c>
      <c r="N373" s="227" t="str">
        <f t="shared" si="36"/>
        <v/>
      </c>
      <c r="X373" t="str">
        <f t="shared" si="37"/>
        <v xml:space="preserve">          </v>
      </c>
      <c r="Y373" s="227" t="str">
        <f t="shared" si="38"/>
        <v/>
      </c>
      <c r="Z373" t="str">
        <f t="shared" si="39"/>
        <v/>
      </c>
      <c r="AL373" t="str">
        <f t="shared" si="40"/>
        <v/>
      </c>
      <c r="AM373" t="str">
        <f t="shared" si="41"/>
        <v/>
      </c>
    </row>
    <row r="374" spans="1:39">
      <c r="A374" t="str">
        <f>IF(ISBLANK(Record!A375),"",Record!A375)</f>
        <v/>
      </c>
      <c r="B374" t="str">
        <f>IF(ISBLANK(Record!B375),"",Record!B375)</f>
        <v/>
      </c>
      <c r="C374" s="227" t="str">
        <f>IF(ISBLANK(Record!C375),"",Record!C375)</f>
        <v/>
      </c>
      <c r="D374" t="str">
        <f>IF(ISBLANK(Record!D375),"",Record!D375)</f>
        <v/>
      </c>
      <c r="E374" t="str">
        <f>IF(ISBLANK(Record!E375),"",Record!E375)</f>
        <v/>
      </c>
      <c r="M374" t="str">
        <f t="shared" si="35"/>
        <v xml:space="preserve">          </v>
      </c>
      <c r="N374" s="227" t="str">
        <f t="shared" si="36"/>
        <v/>
      </c>
      <c r="X374" t="str">
        <f t="shared" si="37"/>
        <v xml:space="preserve">          </v>
      </c>
      <c r="Y374" s="227" t="str">
        <f t="shared" si="38"/>
        <v/>
      </c>
      <c r="Z374" t="str">
        <f t="shared" si="39"/>
        <v/>
      </c>
      <c r="AL374" t="str">
        <f t="shared" si="40"/>
        <v/>
      </c>
      <c r="AM374" t="str">
        <f t="shared" si="41"/>
        <v/>
      </c>
    </row>
    <row r="375" spans="1:39">
      <c r="A375" t="str">
        <f>IF(ISBLANK(Record!A376),"",Record!A376)</f>
        <v/>
      </c>
      <c r="B375" t="str">
        <f>IF(ISBLANK(Record!B376),"",Record!B376)</f>
        <v/>
      </c>
      <c r="C375" s="227" t="str">
        <f>IF(ISBLANK(Record!C376),"",Record!C376)</f>
        <v/>
      </c>
      <c r="D375" t="str">
        <f>IF(ISBLANK(Record!D376),"",Record!D376)</f>
        <v/>
      </c>
      <c r="E375" t="str">
        <f>IF(ISBLANK(Record!E376),"",Record!E376)</f>
        <v/>
      </c>
      <c r="M375" t="str">
        <f t="shared" si="35"/>
        <v xml:space="preserve">          </v>
      </c>
      <c r="N375" s="227" t="str">
        <f t="shared" si="36"/>
        <v/>
      </c>
      <c r="X375" t="str">
        <f t="shared" si="37"/>
        <v xml:space="preserve">          </v>
      </c>
      <c r="Y375" s="227" t="str">
        <f t="shared" si="38"/>
        <v/>
      </c>
      <c r="Z375" t="str">
        <f t="shared" si="39"/>
        <v/>
      </c>
      <c r="AL375" t="str">
        <f t="shared" si="40"/>
        <v/>
      </c>
      <c r="AM375" t="str">
        <f t="shared" si="41"/>
        <v/>
      </c>
    </row>
    <row r="376" spans="1:39">
      <c r="A376" t="str">
        <f>IF(ISBLANK(Record!A377),"",Record!A377)</f>
        <v/>
      </c>
      <c r="B376" t="str">
        <f>IF(ISBLANK(Record!B377),"",Record!B377)</f>
        <v/>
      </c>
      <c r="C376" s="227" t="str">
        <f>IF(ISBLANK(Record!C377),"",Record!C377)</f>
        <v/>
      </c>
      <c r="D376" t="str">
        <f>IF(ISBLANK(Record!D377),"",Record!D377)</f>
        <v/>
      </c>
      <c r="E376" t="str">
        <f>IF(ISBLANK(Record!E377),"",Record!E377)</f>
        <v/>
      </c>
      <c r="M376" t="str">
        <f t="shared" si="35"/>
        <v xml:space="preserve">          </v>
      </c>
      <c r="N376" s="227" t="str">
        <f t="shared" si="36"/>
        <v/>
      </c>
      <c r="X376" t="str">
        <f t="shared" si="37"/>
        <v xml:space="preserve">          </v>
      </c>
      <c r="Y376" s="227" t="str">
        <f t="shared" si="38"/>
        <v/>
      </c>
      <c r="Z376" t="str">
        <f t="shared" si="39"/>
        <v/>
      </c>
      <c r="AL376" t="str">
        <f t="shared" si="40"/>
        <v/>
      </c>
      <c r="AM376" t="str">
        <f t="shared" si="41"/>
        <v/>
      </c>
    </row>
    <row r="377" spans="1:39">
      <c r="A377" t="str">
        <f>IF(ISBLANK(Record!A378),"",Record!A378)</f>
        <v/>
      </c>
      <c r="B377" t="str">
        <f>IF(ISBLANK(Record!B378),"",Record!B378)</f>
        <v/>
      </c>
      <c r="C377" s="227" t="str">
        <f>IF(ISBLANK(Record!C378),"",Record!C378)</f>
        <v/>
      </c>
      <c r="D377" t="str">
        <f>IF(ISBLANK(Record!D378),"",Record!D378)</f>
        <v/>
      </c>
      <c r="E377" t="str">
        <f>IF(ISBLANK(Record!E378),"",Record!E378)</f>
        <v/>
      </c>
      <c r="M377" t="str">
        <f t="shared" si="35"/>
        <v xml:space="preserve">          </v>
      </c>
      <c r="N377" s="227" t="str">
        <f t="shared" si="36"/>
        <v/>
      </c>
      <c r="X377" t="str">
        <f t="shared" si="37"/>
        <v xml:space="preserve">          </v>
      </c>
      <c r="Y377" s="227" t="str">
        <f t="shared" si="38"/>
        <v/>
      </c>
      <c r="Z377" t="str">
        <f t="shared" si="39"/>
        <v/>
      </c>
      <c r="AL377" t="str">
        <f t="shared" si="40"/>
        <v/>
      </c>
      <c r="AM377" t="str">
        <f t="shared" si="41"/>
        <v/>
      </c>
    </row>
    <row r="378" spans="1:39">
      <c r="A378" t="str">
        <f>IF(ISBLANK(Record!A379),"",Record!A379)</f>
        <v/>
      </c>
      <c r="B378" t="str">
        <f>IF(ISBLANK(Record!B379),"",Record!B379)</f>
        <v/>
      </c>
      <c r="C378" s="227" t="str">
        <f>IF(ISBLANK(Record!C379),"",Record!C379)</f>
        <v/>
      </c>
      <c r="D378" t="str">
        <f>IF(ISBLANK(Record!D379),"",Record!D379)</f>
        <v/>
      </c>
      <c r="E378" t="str">
        <f>IF(ISBLANK(Record!E379),"",Record!E379)</f>
        <v/>
      </c>
      <c r="M378" t="str">
        <f t="shared" si="35"/>
        <v xml:space="preserve">          </v>
      </c>
      <c r="N378" s="227" t="str">
        <f t="shared" si="36"/>
        <v/>
      </c>
      <c r="X378" t="str">
        <f t="shared" si="37"/>
        <v xml:space="preserve">          </v>
      </c>
      <c r="Y378" s="227" t="str">
        <f t="shared" si="38"/>
        <v/>
      </c>
      <c r="Z378" t="str">
        <f t="shared" si="39"/>
        <v/>
      </c>
      <c r="AL378" t="str">
        <f t="shared" si="40"/>
        <v/>
      </c>
      <c r="AM378" t="str">
        <f t="shared" si="41"/>
        <v/>
      </c>
    </row>
    <row r="379" spans="1:39">
      <c r="A379" t="str">
        <f>IF(ISBLANK(Record!A380),"",Record!A380)</f>
        <v/>
      </c>
      <c r="B379" t="str">
        <f>IF(ISBLANK(Record!B380),"",Record!B380)</f>
        <v/>
      </c>
      <c r="C379" s="227" t="str">
        <f>IF(ISBLANK(Record!C380),"",Record!C380)</f>
        <v/>
      </c>
      <c r="D379" t="str">
        <f>IF(ISBLANK(Record!D380),"",Record!D380)</f>
        <v/>
      </c>
      <c r="E379" t="str">
        <f>IF(ISBLANK(Record!E380),"",Record!E380)</f>
        <v/>
      </c>
      <c r="M379" t="str">
        <f t="shared" si="35"/>
        <v xml:space="preserve">          </v>
      </c>
      <c r="N379" s="227" t="str">
        <f t="shared" si="36"/>
        <v/>
      </c>
      <c r="X379" t="str">
        <f t="shared" si="37"/>
        <v xml:space="preserve">          </v>
      </c>
      <c r="Y379" s="227" t="str">
        <f t="shared" si="38"/>
        <v/>
      </c>
      <c r="Z379" t="str">
        <f t="shared" si="39"/>
        <v/>
      </c>
      <c r="AL379" t="str">
        <f t="shared" si="40"/>
        <v/>
      </c>
      <c r="AM379" t="str">
        <f t="shared" si="41"/>
        <v/>
      </c>
    </row>
    <row r="380" spans="1:39">
      <c r="A380" t="str">
        <f>IF(ISBLANK(Record!A381),"",Record!A381)</f>
        <v/>
      </c>
      <c r="B380" t="str">
        <f>IF(ISBLANK(Record!B381),"",Record!B381)</f>
        <v/>
      </c>
      <c r="C380" s="227" t="str">
        <f>IF(ISBLANK(Record!C381),"",Record!C381)</f>
        <v/>
      </c>
      <c r="D380" t="str">
        <f>IF(ISBLANK(Record!D381),"",Record!D381)</f>
        <v/>
      </c>
      <c r="E380" t="str">
        <f>IF(ISBLANK(Record!E381),"",Record!E381)</f>
        <v/>
      </c>
      <c r="M380" t="str">
        <f t="shared" si="35"/>
        <v xml:space="preserve">          </v>
      </c>
      <c r="N380" s="227" t="str">
        <f t="shared" si="36"/>
        <v/>
      </c>
      <c r="X380" t="str">
        <f t="shared" si="37"/>
        <v xml:space="preserve">          </v>
      </c>
      <c r="Y380" s="227" t="str">
        <f t="shared" si="38"/>
        <v/>
      </c>
      <c r="Z380" t="str">
        <f t="shared" si="39"/>
        <v/>
      </c>
      <c r="AL380" t="str">
        <f t="shared" si="40"/>
        <v/>
      </c>
      <c r="AM380" t="str">
        <f t="shared" si="41"/>
        <v/>
      </c>
    </row>
    <row r="381" spans="1:39">
      <c r="A381" t="str">
        <f>IF(ISBLANK(Record!A382),"",Record!A382)</f>
        <v/>
      </c>
      <c r="B381" t="str">
        <f>IF(ISBLANK(Record!B382),"",Record!B382)</f>
        <v/>
      </c>
      <c r="C381" s="227" t="str">
        <f>IF(ISBLANK(Record!C382),"",Record!C382)</f>
        <v/>
      </c>
      <c r="D381" t="str">
        <f>IF(ISBLANK(Record!D382),"",Record!D382)</f>
        <v/>
      </c>
      <c r="E381" t="str">
        <f>IF(ISBLANK(Record!E382),"",Record!E382)</f>
        <v/>
      </c>
      <c r="M381" t="str">
        <f t="shared" si="35"/>
        <v xml:space="preserve">          </v>
      </c>
      <c r="N381" s="227" t="str">
        <f t="shared" si="36"/>
        <v/>
      </c>
      <c r="X381" t="str">
        <f t="shared" si="37"/>
        <v xml:space="preserve">          </v>
      </c>
      <c r="Y381" s="227" t="str">
        <f t="shared" si="38"/>
        <v/>
      </c>
      <c r="Z381" t="str">
        <f t="shared" si="39"/>
        <v/>
      </c>
      <c r="AL381" t="str">
        <f t="shared" si="40"/>
        <v/>
      </c>
      <c r="AM381" t="str">
        <f t="shared" si="41"/>
        <v/>
      </c>
    </row>
    <row r="382" spans="1:39">
      <c r="A382" t="str">
        <f>IF(ISBLANK(Record!A383),"",Record!A383)</f>
        <v/>
      </c>
      <c r="B382" t="str">
        <f>IF(ISBLANK(Record!B383),"",Record!B383)</f>
        <v/>
      </c>
      <c r="C382" s="227" t="str">
        <f>IF(ISBLANK(Record!C383),"",Record!C383)</f>
        <v/>
      </c>
      <c r="D382" t="str">
        <f>IF(ISBLANK(Record!D383),"",Record!D383)</f>
        <v/>
      </c>
      <c r="E382" t="str">
        <f>IF(ISBLANK(Record!E383),"",Record!E383)</f>
        <v/>
      </c>
      <c r="M382" t="str">
        <f t="shared" si="35"/>
        <v xml:space="preserve">          </v>
      </c>
      <c r="N382" s="227" t="str">
        <f t="shared" si="36"/>
        <v/>
      </c>
      <c r="X382" t="str">
        <f t="shared" si="37"/>
        <v xml:space="preserve">          </v>
      </c>
      <c r="Y382" s="227" t="str">
        <f t="shared" si="38"/>
        <v/>
      </c>
      <c r="Z382" t="str">
        <f t="shared" si="39"/>
        <v/>
      </c>
      <c r="AL382" t="str">
        <f t="shared" si="40"/>
        <v/>
      </c>
      <c r="AM382" t="str">
        <f t="shared" si="41"/>
        <v/>
      </c>
    </row>
    <row r="383" spans="1:39">
      <c r="A383" t="str">
        <f>IF(ISBLANK(Record!A384),"",Record!A384)</f>
        <v/>
      </c>
      <c r="B383" t="str">
        <f>IF(ISBLANK(Record!B384),"",Record!B384)</f>
        <v/>
      </c>
      <c r="C383" s="227" t="str">
        <f>IF(ISBLANK(Record!C384),"",Record!C384)</f>
        <v/>
      </c>
      <c r="D383" t="str">
        <f>IF(ISBLANK(Record!D384),"",Record!D384)</f>
        <v/>
      </c>
      <c r="E383" t="str">
        <f>IF(ISBLANK(Record!E384),"",Record!E384)</f>
        <v/>
      </c>
      <c r="M383" t="str">
        <f t="shared" si="35"/>
        <v xml:space="preserve">          </v>
      </c>
      <c r="N383" s="227" t="str">
        <f t="shared" si="36"/>
        <v/>
      </c>
      <c r="X383" t="str">
        <f t="shared" si="37"/>
        <v xml:space="preserve">          </v>
      </c>
      <c r="Y383" s="227" t="str">
        <f t="shared" si="38"/>
        <v/>
      </c>
      <c r="Z383" t="str">
        <f t="shared" si="39"/>
        <v/>
      </c>
      <c r="AL383" t="str">
        <f t="shared" si="40"/>
        <v/>
      </c>
      <c r="AM383" t="str">
        <f t="shared" si="41"/>
        <v/>
      </c>
    </row>
    <row r="384" spans="1:39">
      <c r="A384" t="str">
        <f>IF(ISBLANK(Record!A385),"",Record!A385)</f>
        <v/>
      </c>
      <c r="B384" t="str">
        <f>IF(ISBLANK(Record!B385),"",Record!B385)</f>
        <v/>
      </c>
      <c r="C384" s="227" t="str">
        <f>IF(ISBLANK(Record!C385),"",Record!C385)</f>
        <v/>
      </c>
      <c r="D384" t="str">
        <f>IF(ISBLANK(Record!D385),"",Record!D385)</f>
        <v/>
      </c>
      <c r="E384" t="str">
        <f>IF(ISBLANK(Record!E385),"",Record!E385)</f>
        <v/>
      </c>
      <c r="M384" t="str">
        <f t="shared" si="35"/>
        <v xml:space="preserve">          </v>
      </c>
      <c r="N384" s="227" t="str">
        <f t="shared" si="36"/>
        <v/>
      </c>
      <c r="X384" t="str">
        <f t="shared" si="37"/>
        <v xml:space="preserve">          </v>
      </c>
      <c r="Y384" s="227" t="str">
        <f t="shared" si="38"/>
        <v/>
      </c>
      <c r="Z384" t="str">
        <f t="shared" si="39"/>
        <v/>
      </c>
      <c r="AL384" t="str">
        <f t="shared" si="40"/>
        <v/>
      </c>
      <c r="AM384" t="str">
        <f t="shared" si="41"/>
        <v/>
      </c>
    </row>
    <row r="385" spans="1:39">
      <c r="A385" t="str">
        <f>IF(ISBLANK(Record!A386),"",Record!A386)</f>
        <v/>
      </c>
      <c r="B385" t="str">
        <f>IF(ISBLANK(Record!B386),"",Record!B386)</f>
        <v/>
      </c>
      <c r="C385" s="227" t="str">
        <f>IF(ISBLANK(Record!C386),"",Record!C386)</f>
        <v/>
      </c>
      <c r="D385" t="str">
        <f>IF(ISBLANK(Record!D386),"",Record!D386)</f>
        <v/>
      </c>
      <c r="E385" t="str">
        <f>IF(ISBLANK(Record!E386),"",Record!E386)</f>
        <v/>
      </c>
      <c r="M385" t="str">
        <f t="shared" si="35"/>
        <v xml:space="preserve">          </v>
      </c>
      <c r="N385" s="227" t="str">
        <f t="shared" si="36"/>
        <v/>
      </c>
      <c r="X385" t="str">
        <f t="shared" si="37"/>
        <v xml:space="preserve">          </v>
      </c>
      <c r="Y385" s="227" t="str">
        <f t="shared" si="38"/>
        <v/>
      </c>
      <c r="Z385" t="str">
        <f t="shared" si="39"/>
        <v/>
      </c>
      <c r="AL385" t="str">
        <f t="shared" si="40"/>
        <v/>
      </c>
      <c r="AM385" t="str">
        <f t="shared" si="41"/>
        <v/>
      </c>
    </row>
    <row r="386" spans="1:39">
      <c r="A386" t="str">
        <f>IF(ISBLANK(Record!A387),"",Record!A387)</f>
        <v/>
      </c>
      <c r="B386" t="str">
        <f>IF(ISBLANK(Record!B387),"",Record!B387)</f>
        <v/>
      </c>
      <c r="C386" s="227" t="str">
        <f>IF(ISBLANK(Record!C387),"",Record!C387)</f>
        <v/>
      </c>
      <c r="D386" t="str">
        <f>IF(ISBLANK(Record!D387),"",Record!D387)</f>
        <v/>
      </c>
      <c r="E386" t="str">
        <f>IF(ISBLANK(Record!E387),"",Record!E387)</f>
        <v/>
      </c>
      <c r="M386" t="str">
        <f t="shared" si="35"/>
        <v xml:space="preserve">          </v>
      </c>
      <c r="N386" s="227" t="str">
        <f t="shared" si="36"/>
        <v/>
      </c>
      <c r="X386" t="str">
        <f t="shared" si="37"/>
        <v xml:space="preserve">          </v>
      </c>
      <c r="Y386" s="227" t="str">
        <f t="shared" si="38"/>
        <v/>
      </c>
      <c r="Z386" t="str">
        <f t="shared" si="39"/>
        <v/>
      </c>
      <c r="AL386" t="str">
        <f t="shared" si="40"/>
        <v/>
      </c>
      <c r="AM386" t="str">
        <f t="shared" si="41"/>
        <v/>
      </c>
    </row>
    <row r="387" spans="1:39">
      <c r="A387" t="str">
        <f>IF(ISBLANK(Record!A388),"",Record!A388)</f>
        <v/>
      </c>
      <c r="B387" t="str">
        <f>IF(ISBLANK(Record!B388),"",Record!B388)</f>
        <v/>
      </c>
      <c r="C387" s="227" t="str">
        <f>IF(ISBLANK(Record!C388),"",Record!C388)</f>
        <v/>
      </c>
      <c r="D387" t="str">
        <f>IF(ISBLANK(Record!D388),"",Record!D388)</f>
        <v/>
      </c>
      <c r="E387" t="str">
        <f>IF(ISBLANK(Record!E388),"",Record!E388)</f>
        <v/>
      </c>
      <c r="M387" t="str">
        <f t="shared" ref="M387:M450" si="42">RIGHT("                                   " &amp; A387,10)</f>
        <v xml:space="preserve">          </v>
      </c>
      <c r="N387" s="227" t="str">
        <f t="shared" ref="N387:N450" si="43">RIGHT(C387,16)</f>
        <v/>
      </c>
      <c r="X387" t="str">
        <f t="shared" ref="X387:X450" si="44">RIGHT("                                   " &amp; A387,10)</f>
        <v xml:space="preserve">          </v>
      </c>
      <c r="Y387" s="227" t="str">
        <f t="shared" ref="Y387:Y450" si="45">RIGHT(C387,16)</f>
        <v/>
      </c>
      <c r="Z387" t="str">
        <f t="shared" ref="Z387:Z450" si="46">RIGHT(D387,8)</f>
        <v/>
      </c>
      <c r="AL387" t="str">
        <f t="shared" ref="AL387:AL450" si="47">D387</f>
        <v/>
      </c>
      <c r="AM387" t="str">
        <f t="shared" ref="AM387:AM450" si="48">IF(E387&lt;&gt;AL387,E387,E387)</f>
        <v/>
      </c>
    </row>
    <row r="388" spans="1:39">
      <c r="A388" t="str">
        <f>IF(ISBLANK(Record!A389),"",Record!A389)</f>
        <v/>
      </c>
      <c r="B388" t="str">
        <f>IF(ISBLANK(Record!B389),"",Record!B389)</f>
        <v/>
      </c>
      <c r="C388" s="227" t="str">
        <f>IF(ISBLANK(Record!C389),"",Record!C389)</f>
        <v/>
      </c>
      <c r="D388" t="str">
        <f>IF(ISBLANK(Record!D389),"",Record!D389)</f>
        <v/>
      </c>
      <c r="E388" t="str">
        <f>IF(ISBLANK(Record!E389),"",Record!E389)</f>
        <v/>
      </c>
      <c r="M388" t="str">
        <f t="shared" si="42"/>
        <v xml:space="preserve">          </v>
      </c>
      <c r="N388" s="227" t="str">
        <f t="shared" si="43"/>
        <v/>
      </c>
      <c r="X388" t="str">
        <f t="shared" si="44"/>
        <v xml:space="preserve">          </v>
      </c>
      <c r="Y388" s="227" t="str">
        <f t="shared" si="45"/>
        <v/>
      </c>
      <c r="Z388" t="str">
        <f t="shared" si="46"/>
        <v/>
      </c>
      <c r="AL388" t="str">
        <f t="shared" si="47"/>
        <v/>
      </c>
      <c r="AM388" t="str">
        <f t="shared" si="48"/>
        <v/>
      </c>
    </row>
    <row r="389" spans="1:39">
      <c r="A389" t="str">
        <f>IF(ISBLANK(Record!A390),"",Record!A390)</f>
        <v/>
      </c>
      <c r="B389" t="str">
        <f>IF(ISBLANK(Record!B390),"",Record!B390)</f>
        <v/>
      </c>
      <c r="C389" s="227" t="str">
        <f>IF(ISBLANK(Record!C390),"",Record!C390)</f>
        <v/>
      </c>
      <c r="D389" t="str">
        <f>IF(ISBLANK(Record!D390),"",Record!D390)</f>
        <v/>
      </c>
      <c r="E389" t="str">
        <f>IF(ISBLANK(Record!E390),"",Record!E390)</f>
        <v/>
      </c>
      <c r="M389" t="str">
        <f t="shared" si="42"/>
        <v xml:space="preserve">          </v>
      </c>
      <c r="N389" s="227" t="str">
        <f t="shared" si="43"/>
        <v/>
      </c>
      <c r="X389" t="str">
        <f t="shared" si="44"/>
        <v xml:space="preserve">          </v>
      </c>
      <c r="Y389" s="227" t="str">
        <f t="shared" si="45"/>
        <v/>
      </c>
      <c r="Z389" t="str">
        <f t="shared" si="46"/>
        <v/>
      </c>
      <c r="AL389" t="str">
        <f t="shared" si="47"/>
        <v/>
      </c>
      <c r="AM389" t="str">
        <f t="shared" si="48"/>
        <v/>
      </c>
    </row>
    <row r="390" spans="1:39">
      <c r="A390" t="str">
        <f>IF(ISBLANK(Record!A391),"",Record!A391)</f>
        <v/>
      </c>
      <c r="B390" t="str">
        <f>IF(ISBLANK(Record!B391),"",Record!B391)</f>
        <v/>
      </c>
      <c r="C390" s="227" t="str">
        <f>IF(ISBLANK(Record!C391),"",Record!C391)</f>
        <v/>
      </c>
      <c r="D390" t="str">
        <f>IF(ISBLANK(Record!D391),"",Record!D391)</f>
        <v/>
      </c>
      <c r="E390" t="str">
        <f>IF(ISBLANK(Record!E391),"",Record!E391)</f>
        <v/>
      </c>
      <c r="M390" t="str">
        <f t="shared" si="42"/>
        <v xml:space="preserve">          </v>
      </c>
      <c r="N390" s="227" t="str">
        <f t="shared" si="43"/>
        <v/>
      </c>
      <c r="X390" t="str">
        <f t="shared" si="44"/>
        <v xml:space="preserve">          </v>
      </c>
      <c r="Y390" s="227" t="str">
        <f t="shared" si="45"/>
        <v/>
      </c>
      <c r="Z390" t="str">
        <f t="shared" si="46"/>
        <v/>
      </c>
      <c r="AL390" t="str">
        <f t="shared" si="47"/>
        <v/>
      </c>
      <c r="AM390" t="str">
        <f t="shared" si="48"/>
        <v/>
      </c>
    </row>
    <row r="391" spans="1:39">
      <c r="A391" t="str">
        <f>IF(ISBLANK(Record!A392),"",Record!A392)</f>
        <v/>
      </c>
      <c r="B391" t="str">
        <f>IF(ISBLANK(Record!B392),"",Record!B392)</f>
        <v/>
      </c>
      <c r="C391" s="227" t="str">
        <f>IF(ISBLANK(Record!C392),"",Record!C392)</f>
        <v/>
      </c>
      <c r="D391" t="str">
        <f>IF(ISBLANK(Record!D392),"",Record!D392)</f>
        <v/>
      </c>
      <c r="E391" t="str">
        <f>IF(ISBLANK(Record!E392),"",Record!E392)</f>
        <v/>
      </c>
      <c r="M391" t="str">
        <f t="shared" si="42"/>
        <v xml:space="preserve">          </v>
      </c>
      <c r="N391" s="227" t="str">
        <f t="shared" si="43"/>
        <v/>
      </c>
      <c r="X391" t="str">
        <f t="shared" si="44"/>
        <v xml:space="preserve">          </v>
      </c>
      <c r="Y391" s="227" t="str">
        <f t="shared" si="45"/>
        <v/>
      </c>
      <c r="Z391" t="str">
        <f t="shared" si="46"/>
        <v/>
      </c>
      <c r="AL391" t="str">
        <f t="shared" si="47"/>
        <v/>
      </c>
      <c r="AM391" t="str">
        <f t="shared" si="48"/>
        <v/>
      </c>
    </row>
    <row r="392" spans="1:39">
      <c r="A392" t="str">
        <f>IF(ISBLANK(Record!A393),"",Record!A393)</f>
        <v/>
      </c>
      <c r="B392" t="str">
        <f>IF(ISBLANK(Record!B393),"",Record!B393)</f>
        <v/>
      </c>
      <c r="C392" s="227" t="str">
        <f>IF(ISBLANK(Record!C393),"",Record!C393)</f>
        <v/>
      </c>
      <c r="D392" t="str">
        <f>IF(ISBLANK(Record!D393),"",Record!D393)</f>
        <v/>
      </c>
      <c r="E392" t="str">
        <f>IF(ISBLANK(Record!E393),"",Record!E393)</f>
        <v/>
      </c>
      <c r="M392" t="str">
        <f t="shared" si="42"/>
        <v xml:space="preserve">          </v>
      </c>
      <c r="N392" s="227" t="str">
        <f t="shared" si="43"/>
        <v/>
      </c>
      <c r="X392" t="str">
        <f t="shared" si="44"/>
        <v xml:space="preserve">          </v>
      </c>
      <c r="Y392" s="227" t="str">
        <f t="shared" si="45"/>
        <v/>
      </c>
      <c r="Z392" t="str">
        <f t="shared" si="46"/>
        <v/>
      </c>
      <c r="AL392" t="str">
        <f t="shared" si="47"/>
        <v/>
      </c>
      <c r="AM392" t="str">
        <f t="shared" si="48"/>
        <v/>
      </c>
    </row>
    <row r="393" spans="1:39">
      <c r="A393" t="str">
        <f>IF(ISBLANK(Record!A394),"",Record!A394)</f>
        <v/>
      </c>
      <c r="B393" t="str">
        <f>IF(ISBLANK(Record!B394),"",Record!B394)</f>
        <v/>
      </c>
      <c r="C393" s="227" t="str">
        <f>IF(ISBLANK(Record!C394),"",Record!C394)</f>
        <v/>
      </c>
      <c r="D393" t="str">
        <f>IF(ISBLANK(Record!D394),"",Record!D394)</f>
        <v/>
      </c>
      <c r="E393" t="str">
        <f>IF(ISBLANK(Record!E394),"",Record!E394)</f>
        <v/>
      </c>
      <c r="M393" t="str">
        <f t="shared" si="42"/>
        <v xml:space="preserve">          </v>
      </c>
      <c r="N393" s="227" t="str">
        <f t="shared" si="43"/>
        <v/>
      </c>
      <c r="X393" t="str">
        <f t="shared" si="44"/>
        <v xml:space="preserve">          </v>
      </c>
      <c r="Y393" s="227" t="str">
        <f t="shared" si="45"/>
        <v/>
      </c>
      <c r="Z393" t="str">
        <f t="shared" si="46"/>
        <v/>
      </c>
      <c r="AL393" t="str">
        <f t="shared" si="47"/>
        <v/>
      </c>
      <c r="AM393" t="str">
        <f t="shared" si="48"/>
        <v/>
      </c>
    </row>
    <row r="394" spans="1:39">
      <c r="A394" t="str">
        <f>IF(ISBLANK(Record!A395),"",Record!A395)</f>
        <v/>
      </c>
      <c r="B394" t="str">
        <f>IF(ISBLANK(Record!B395),"",Record!B395)</f>
        <v/>
      </c>
      <c r="C394" s="227" t="str">
        <f>IF(ISBLANK(Record!C395),"",Record!C395)</f>
        <v/>
      </c>
      <c r="D394" t="str">
        <f>IF(ISBLANK(Record!D395),"",Record!D395)</f>
        <v/>
      </c>
      <c r="E394" t="str">
        <f>IF(ISBLANK(Record!E395),"",Record!E395)</f>
        <v/>
      </c>
      <c r="M394" t="str">
        <f t="shared" si="42"/>
        <v xml:space="preserve">          </v>
      </c>
      <c r="N394" s="227" t="str">
        <f t="shared" si="43"/>
        <v/>
      </c>
      <c r="X394" t="str">
        <f t="shared" si="44"/>
        <v xml:space="preserve">          </v>
      </c>
      <c r="Y394" s="227" t="str">
        <f t="shared" si="45"/>
        <v/>
      </c>
      <c r="Z394" t="str">
        <f t="shared" si="46"/>
        <v/>
      </c>
      <c r="AL394" t="str">
        <f t="shared" si="47"/>
        <v/>
      </c>
      <c r="AM394" t="str">
        <f t="shared" si="48"/>
        <v/>
      </c>
    </row>
    <row r="395" spans="1:39">
      <c r="A395" t="str">
        <f>IF(ISBLANK(Record!A396),"",Record!A396)</f>
        <v/>
      </c>
      <c r="B395" t="str">
        <f>IF(ISBLANK(Record!B396),"",Record!B396)</f>
        <v/>
      </c>
      <c r="C395" s="227" t="str">
        <f>IF(ISBLANK(Record!C396),"",Record!C396)</f>
        <v/>
      </c>
      <c r="D395" t="str">
        <f>IF(ISBLANK(Record!D396),"",Record!D396)</f>
        <v/>
      </c>
      <c r="E395" t="str">
        <f>IF(ISBLANK(Record!E396),"",Record!E396)</f>
        <v/>
      </c>
      <c r="M395" t="str">
        <f t="shared" si="42"/>
        <v xml:space="preserve">          </v>
      </c>
      <c r="N395" s="227" t="str">
        <f t="shared" si="43"/>
        <v/>
      </c>
      <c r="X395" t="str">
        <f t="shared" si="44"/>
        <v xml:space="preserve">          </v>
      </c>
      <c r="Y395" s="227" t="str">
        <f t="shared" si="45"/>
        <v/>
      </c>
      <c r="Z395" t="str">
        <f t="shared" si="46"/>
        <v/>
      </c>
      <c r="AL395" t="str">
        <f t="shared" si="47"/>
        <v/>
      </c>
      <c r="AM395" t="str">
        <f t="shared" si="48"/>
        <v/>
      </c>
    </row>
    <row r="396" spans="1:39">
      <c r="A396" t="str">
        <f>IF(ISBLANK(Record!A397),"",Record!A397)</f>
        <v/>
      </c>
      <c r="B396" t="str">
        <f>IF(ISBLANK(Record!B397),"",Record!B397)</f>
        <v/>
      </c>
      <c r="C396" s="227" t="str">
        <f>IF(ISBLANK(Record!C397),"",Record!C397)</f>
        <v/>
      </c>
      <c r="D396" t="str">
        <f>IF(ISBLANK(Record!D397),"",Record!D397)</f>
        <v/>
      </c>
      <c r="E396" t="str">
        <f>IF(ISBLANK(Record!E397),"",Record!E397)</f>
        <v/>
      </c>
      <c r="M396" t="str">
        <f t="shared" si="42"/>
        <v xml:space="preserve">          </v>
      </c>
      <c r="N396" s="227" t="str">
        <f t="shared" si="43"/>
        <v/>
      </c>
      <c r="X396" t="str">
        <f t="shared" si="44"/>
        <v xml:space="preserve">          </v>
      </c>
      <c r="Y396" s="227" t="str">
        <f t="shared" si="45"/>
        <v/>
      </c>
      <c r="Z396" t="str">
        <f t="shared" si="46"/>
        <v/>
      </c>
      <c r="AL396" t="str">
        <f t="shared" si="47"/>
        <v/>
      </c>
      <c r="AM396" t="str">
        <f t="shared" si="48"/>
        <v/>
      </c>
    </row>
    <row r="397" spans="1:39">
      <c r="A397" t="str">
        <f>IF(ISBLANK(Record!A398),"",Record!A398)</f>
        <v/>
      </c>
      <c r="B397" t="str">
        <f>IF(ISBLANK(Record!B398),"",Record!B398)</f>
        <v/>
      </c>
      <c r="C397" s="227" t="str">
        <f>IF(ISBLANK(Record!C398),"",Record!C398)</f>
        <v/>
      </c>
      <c r="D397" t="str">
        <f>IF(ISBLANK(Record!D398),"",Record!D398)</f>
        <v/>
      </c>
      <c r="E397" t="str">
        <f>IF(ISBLANK(Record!E398),"",Record!E398)</f>
        <v/>
      </c>
      <c r="M397" t="str">
        <f t="shared" si="42"/>
        <v xml:space="preserve">          </v>
      </c>
      <c r="N397" s="227" t="str">
        <f t="shared" si="43"/>
        <v/>
      </c>
      <c r="X397" t="str">
        <f t="shared" si="44"/>
        <v xml:space="preserve">          </v>
      </c>
      <c r="Y397" s="227" t="str">
        <f t="shared" si="45"/>
        <v/>
      </c>
      <c r="Z397" t="str">
        <f t="shared" si="46"/>
        <v/>
      </c>
      <c r="AL397" t="str">
        <f t="shared" si="47"/>
        <v/>
      </c>
      <c r="AM397" t="str">
        <f t="shared" si="48"/>
        <v/>
      </c>
    </row>
    <row r="398" spans="1:39">
      <c r="A398" t="str">
        <f>IF(ISBLANK(Record!A399),"",Record!A399)</f>
        <v/>
      </c>
      <c r="B398" t="str">
        <f>IF(ISBLANK(Record!B399),"",Record!B399)</f>
        <v/>
      </c>
      <c r="C398" s="227" t="str">
        <f>IF(ISBLANK(Record!C399),"",Record!C399)</f>
        <v/>
      </c>
      <c r="D398" t="str">
        <f>IF(ISBLANK(Record!D399),"",Record!D399)</f>
        <v/>
      </c>
      <c r="E398" t="str">
        <f>IF(ISBLANK(Record!E399),"",Record!E399)</f>
        <v/>
      </c>
      <c r="M398" t="str">
        <f t="shared" si="42"/>
        <v xml:space="preserve">          </v>
      </c>
      <c r="N398" s="227" t="str">
        <f t="shared" si="43"/>
        <v/>
      </c>
      <c r="X398" t="str">
        <f t="shared" si="44"/>
        <v xml:space="preserve">          </v>
      </c>
      <c r="Y398" s="227" t="str">
        <f t="shared" si="45"/>
        <v/>
      </c>
      <c r="Z398" t="str">
        <f t="shared" si="46"/>
        <v/>
      </c>
      <c r="AL398" t="str">
        <f t="shared" si="47"/>
        <v/>
      </c>
      <c r="AM398" t="str">
        <f t="shared" si="48"/>
        <v/>
      </c>
    </row>
    <row r="399" spans="1:39">
      <c r="A399" t="str">
        <f>IF(ISBLANK(Record!A400),"",Record!A400)</f>
        <v/>
      </c>
      <c r="B399" t="str">
        <f>IF(ISBLANK(Record!B400),"",Record!B400)</f>
        <v/>
      </c>
      <c r="C399" s="227" t="str">
        <f>IF(ISBLANK(Record!C400),"",Record!C400)</f>
        <v/>
      </c>
      <c r="D399" t="str">
        <f>IF(ISBLANK(Record!D400),"",Record!D400)</f>
        <v/>
      </c>
      <c r="E399" t="str">
        <f>IF(ISBLANK(Record!E400),"",Record!E400)</f>
        <v/>
      </c>
      <c r="M399" t="str">
        <f t="shared" si="42"/>
        <v xml:space="preserve">          </v>
      </c>
      <c r="N399" s="227" t="str">
        <f t="shared" si="43"/>
        <v/>
      </c>
      <c r="X399" t="str">
        <f t="shared" si="44"/>
        <v xml:space="preserve">          </v>
      </c>
      <c r="Y399" s="227" t="str">
        <f t="shared" si="45"/>
        <v/>
      </c>
      <c r="Z399" t="str">
        <f t="shared" si="46"/>
        <v/>
      </c>
      <c r="AL399" t="str">
        <f t="shared" si="47"/>
        <v/>
      </c>
      <c r="AM399" t="str">
        <f t="shared" si="48"/>
        <v/>
      </c>
    </row>
    <row r="400" spans="1:39">
      <c r="A400" t="str">
        <f>IF(ISBLANK(Record!A401),"",Record!A401)</f>
        <v/>
      </c>
      <c r="B400" t="str">
        <f>IF(ISBLANK(Record!B401),"",Record!B401)</f>
        <v/>
      </c>
      <c r="C400" s="227" t="str">
        <f>IF(ISBLANK(Record!C401),"",Record!C401)</f>
        <v/>
      </c>
      <c r="D400" t="str">
        <f>IF(ISBLANK(Record!D401),"",Record!D401)</f>
        <v/>
      </c>
      <c r="E400" t="str">
        <f>IF(ISBLANK(Record!E401),"",Record!E401)</f>
        <v/>
      </c>
      <c r="M400" t="str">
        <f t="shared" si="42"/>
        <v xml:space="preserve">          </v>
      </c>
      <c r="N400" s="227" t="str">
        <f t="shared" si="43"/>
        <v/>
      </c>
      <c r="X400" t="str">
        <f t="shared" si="44"/>
        <v xml:space="preserve">          </v>
      </c>
      <c r="Y400" s="227" t="str">
        <f t="shared" si="45"/>
        <v/>
      </c>
      <c r="Z400" t="str">
        <f t="shared" si="46"/>
        <v/>
      </c>
      <c r="AL400" t="str">
        <f t="shared" si="47"/>
        <v/>
      </c>
      <c r="AM400" t="str">
        <f t="shared" si="48"/>
        <v/>
      </c>
    </row>
    <row r="401" spans="1:39">
      <c r="A401" t="str">
        <f>IF(ISBLANK(Record!A402),"",Record!A402)</f>
        <v/>
      </c>
      <c r="B401" t="str">
        <f>IF(ISBLANK(Record!B402),"",Record!B402)</f>
        <v/>
      </c>
      <c r="C401" s="227" t="str">
        <f>IF(ISBLANK(Record!C402),"",Record!C402)</f>
        <v/>
      </c>
      <c r="D401" t="str">
        <f>IF(ISBLANK(Record!D402),"",Record!D402)</f>
        <v/>
      </c>
      <c r="E401" t="str">
        <f>IF(ISBLANK(Record!E402),"",Record!E402)</f>
        <v/>
      </c>
      <c r="M401" t="str">
        <f t="shared" si="42"/>
        <v xml:space="preserve">          </v>
      </c>
      <c r="N401" s="227" t="str">
        <f t="shared" si="43"/>
        <v/>
      </c>
      <c r="X401" t="str">
        <f t="shared" si="44"/>
        <v xml:space="preserve">          </v>
      </c>
      <c r="Y401" s="227" t="str">
        <f t="shared" si="45"/>
        <v/>
      </c>
      <c r="Z401" t="str">
        <f t="shared" si="46"/>
        <v/>
      </c>
      <c r="AL401" t="str">
        <f t="shared" si="47"/>
        <v/>
      </c>
      <c r="AM401" t="str">
        <f t="shared" si="48"/>
        <v/>
      </c>
    </row>
    <row r="402" spans="1:39">
      <c r="A402" t="str">
        <f>IF(ISBLANK(Record!A403),"",Record!A403)</f>
        <v/>
      </c>
      <c r="B402" t="str">
        <f>IF(ISBLANK(Record!B403),"",Record!B403)</f>
        <v/>
      </c>
      <c r="C402" s="227" t="str">
        <f>IF(ISBLANK(Record!C403),"",Record!C403)</f>
        <v/>
      </c>
      <c r="D402" t="str">
        <f>IF(ISBLANK(Record!D403),"",Record!D403)</f>
        <v/>
      </c>
      <c r="E402" t="str">
        <f>IF(ISBLANK(Record!E403),"",Record!E403)</f>
        <v/>
      </c>
      <c r="M402" t="str">
        <f t="shared" si="42"/>
        <v xml:space="preserve">          </v>
      </c>
      <c r="N402" s="227" t="str">
        <f t="shared" si="43"/>
        <v/>
      </c>
      <c r="X402" t="str">
        <f t="shared" si="44"/>
        <v xml:space="preserve">          </v>
      </c>
      <c r="Y402" s="227" t="str">
        <f t="shared" si="45"/>
        <v/>
      </c>
      <c r="Z402" t="str">
        <f t="shared" si="46"/>
        <v/>
      </c>
      <c r="AL402" t="str">
        <f t="shared" si="47"/>
        <v/>
      </c>
      <c r="AM402" t="str">
        <f t="shared" si="48"/>
        <v/>
      </c>
    </row>
    <row r="403" spans="1:39">
      <c r="A403" t="str">
        <f>IF(ISBLANK(Record!A404),"",Record!A404)</f>
        <v/>
      </c>
      <c r="B403" t="str">
        <f>IF(ISBLANK(Record!B404),"",Record!B404)</f>
        <v/>
      </c>
      <c r="C403" s="227" t="str">
        <f>IF(ISBLANK(Record!C404),"",Record!C404)</f>
        <v/>
      </c>
      <c r="D403" t="str">
        <f>IF(ISBLANK(Record!D404),"",Record!D404)</f>
        <v/>
      </c>
      <c r="E403" t="str">
        <f>IF(ISBLANK(Record!E404),"",Record!E404)</f>
        <v/>
      </c>
      <c r="M403" t="str">
        <f t="shared" si="42"/>
        <v xml:space="preserve">          </v>
      </c>
      <c r="N403" s="227" t="str">
        <f t="shared" si="43"/>
        <v/>
      </c>
      <c r="X403" t="str">
        <f t="shared" si="44"/>
        <v xml:space="preserve">          </v>
      </c>
      <c r="Y403" s="227" t="str">
        <f t="shared" si="45"/>
        <v/>
      </c>
      <c r="Z403" t="str">
        <f t="shared" si="46"/>
        <v/>
      </c>
      <c r="AL403" t="str">
        <f t="shared" si="47"/>
        <v/>
      </c>
      <c r="AM403" t="str">
        <f t="shared" si="48"/>
        <v/>
      </c>
    </row>
    <row r="404" spans="1:39">
      <c r="A404" t="str">
        <f>IF(ISBLANK(Record!A405),"",Record!A405)</f>
        <v/>
      </c>
      <c r="B404" t="str">
        <f>IF(ISBLANK(Record!B405),"",Record!B405)</f>
        <v/>
      </c>
      <c r="C404" s="227" t="str">
        <f>IF(ISBLANK(Record!C405),"",Record!C405)</f>
        <v/>
      </c>
      <c r="D404" t="str">
        <f>IF(ISBLANK(Record!D405),"",Record!D405)</f>
        <v/>
      </c>
      <c r="E404" t="str">
        <f>IF(ISBLANK(Record!E405),"",Record!E405)</f>
        <v/>
      </c>
      <c r="M404" t="str">
        <f t="shared" si="42"/>
        <v xml:space="preserve">          </v>
      </c>
      <c r="N404" s="227" t="str">
        <f t="shared" si="43"/>
        <v/>
      </c>
      <c r="X404" t="str">
        <f t="shared" si="44"/>
        <v xml:space="preserve">          </v>
      </c>
      <c r="Y404" s="227" t="str">
        <f t="shared" si="45"/>
        <v/>
      </c>
      <c r="Z404" t="str">
        <f t="shared" si="46"/>
        <v/>
      </c>
      <c r="AL404" t="str">
        <f t="shared" si="47"/>
        <v/>
      </c>
      <c r="AM404" t="str">
        <f t="shared" si="48"/>
        <v/>
      </c>
    </row>
    <row r="405" spans="1:39">
      <c r="A405" t="str">
        <f>IF(ISBLANK(Record!A406),"",Record!A406)</f>
        <v/>
      </c>
      <c r="B405" t="str">
        <f>IF(ISBLANK(Record!B406),"",Record!B406)</f>
        <v/>
      </c>
      <c r="C405" s="227" t="str">
        <f>IF(ISBLANK(Record!C406),"",Record!C406)</f>
        <v/>
      </c>
      <c r="D405" t="str">
        <f>IF(ISBLANK(Record!D406),"",Record!D406)</f>
        <v/>
      </c>
      <c r="E405" t="str">
        <f>IF(ISBLANK(Record!E406),"",Record!E406)</f>
        <v/>
      </c>
      <c r="M405" t="str">
        <f t="shared" si="42"/>
        <v xml:space="preserve">          </v>
      </c>
      <c r="N405" s="227" t="str">
        <f t="shared" si="43"/>
        <v/>
      </c>
      <c r="X405" t="str">
        <f t="shared" si="44"/>
        <v xml:space="preserve">          </v>
      </c>
      <c r="Y405" s="227" t="str">
        <f t="shared" si="45"/>
        <v/>
      </c>
      <c r="Z405" t="str">
        <f t="shared" si="46"/>
        <v/>
      </c>
      <c r="AL405" t="str">
        <f t="shared" si="47"/>
        <v/>
      </c>
      <c r="AM405" t="str">
        <f t="shared" si="48"/>
        <v/>
      </c>
    </row>
    <row r="406" spans="1:39">
      <c r="A406" t="str">
        <f>IF(ISBLANK(Record!A407),"",Record!A407)</f>
        <v/>
      </c>
      <c r="B406" t="str">
        <f>IF(ISBLANK(Record!B407),"",Record!B407)</f>
        <v/>
      </c>
      <c r="C406" s="227" t="str">
        <f>IF(ISBLANK(Record!C407),"",Record!C407)</f>
        <v/>
      </c>
      <c r="D406" t="str">
        <f>IF(ISBLANK(Record!D407),"",Record!D407)</f>
        <v/>
      </c>
      <c r="E406" t="str">
        <f>IF(ISBLANK(Record!E407),"",Record!E407)</f>
        <v/>
      </c>
      <c r="M406" t="str">
        <f t="shared" si="42"/>
        <v xml:space="preserve">          </v>
      </c>
      <c r="N406" s="227" t="str">
        <f t="shared" si="43"/>
        <v/>
      </c>
      <c r="X406" t="str">
        <f t="shared" si="44"/>
        <v xml:space="preserve">          </v>
      </c>
      <c r="Y406" s="227" t="str">
        <f t="shared" si="45"/>
        <v/>
      </c>
      <c r="Z406" t="str">
        <f t="shared" si="46"/>
        <v/>
      </c>
      <c r="AL406" t="str">
        <f t="shared" si="47"/>
        <v/>
      </c>
      <c r="AM406" t="str">
        <f t="shared" si="48"/>
        <v/>
      </c>
    </row>
    <row r="407" spans="1:39">
      <c r="A407" t="str">
        <f>IF(ISBLANK(Record!A408),"",Record!A408)</f>
        <v/>
      </c>
      <c r="B407" t="str">
        <f>IF(ISBLANK(Record!B408),"",Record!B408)</f>
        <v/>
      </c>
      <c r="C407" s="227" t="str">
        <f>IF(ISBLANK(Record!C408),"",Record!C408)</f>
        <v/>
      </c>
      <c r="D407" t="str">
        <f>IF(ISBLANK(Record!D408),"",Record!D408)</f>
        <v/>
      </c>
      <c r="E407" t="str">
        <f>IF(ISBLANK(Record!E408),"",Record!E408)</f>
        <v/>
      </c>
      <c r="M407" t="str">
        <f t="shared" si="42"/>
        <v xml:space="preserve">          </v>
      </c>
      <c r="N407" s="227" t="str">
        <f t="shared" si="43"/>
        <v/>
      </c>
      <c r="X407" t="str">
        <f t="shared" si="44"/>
        <v xml:space="preserve">          </v>
      </c>
      <c r="Y407" s="227" t="str">
        <f t="shared" si="45"/>
        <v/>
      </c>
      <c r="Z407" t="str">
        <f t="shared" si="46"/>
        <v/>
      </c>
      <c r="AL407" t="str">
        <f t="shared" si="47"/>
        <v/>
      </c>
      <c r="AM407" t="str">
        <f t="shared" si="48"/>
        <v/>
      </c>
    </row>
    <row r="408" spans="1:39">
      <c r="A408" t="str">
        <f>IF(ISBLANK(Record!A409),"",Record!A409)</f>
        <v/>
      </c>
      <c r="B408" t="str">
        <f>IF(ISBLANK(Record!B409),"",Record!B409)</f>
        <v/>
      </c>
      <c r="C408" s="227" t="str">
        <f>IF(ISBLANK(Record!C409),"",Record!C409)</f>
        <v/>
      </c>
      <c r="D408" t="str">
        <f>IF(ISBLANK(Record!D409),"",Record!D409)</f>
        <v/>
      </c>
      <c r="E408" t="str">
        <f>IF(ISBLANK(Record!E409),"",Record!E409)</f>
        <v/>
      </c>
      <c r="M408" t="str">
        <f t="shared" si="42"/>
        <v xml:space="preserve">          </v>
      </c>
      <c r="N408" s="227" t="str">
        <f t="shared" si="43"/>
        <v/>
      </c>
      <c r="X408" t="str">
        <f t="shared" si="44"/>
        <v xml:space="preserve">          </v>
      </c>
      <c r="Y408" s="227" t="str">
        <f t="shared" si="45"/>
        <v/>
      </c>
      <c r="Z408" t="str">
        <f t="shared" si="46"/>
        <v/>
      </c>
      <c r="AL408" t="str">
        <f t="shared" si="47"/>
        <v/>
      </c>
      <c r="AM408" t="str">
        <f t="shared" si="48"/>
        <v/>
      </c>
    </row>
    <row r="409" spans="1:39">
      <c r="A409" t="str">
        <f>IF(ISBLANK(Record!A410),"",Record!A410)</f>
        <v/>
      </c>
      <c r="B409" t="str">
        <f>IF(ISBLANK(Record!B410),"",Record!B410)</f>
        <v/>
      </c>
      <c r="C409" s="227" t="str">
        <f>IF(ISBLANK(Record!C410),"",Record!C410)</f>
        <v/>
      </c>
      <c r="D409" t="str">
        <f>IF(ISBLANK(Record!D410),"",Record!D410)</f>
        <v/>
      </c>
      <c r="E409" t="str">
        <f>IF(ISBLANK(Record!E410),"",Record!E410)</f>
        <v/>
      </c>
      <c r="M409" t="str">
        <f t="shared" si="42"/>
        <v xml:space="preserve">          </v>
      </c>
      <c r="N409" s="227" t="str">
        <f t="shared" si="43"/>
        <v/>
      </c>
      <c r="X409" t="str">
        <f t="shared" si="44"/>
        <v xml:space="preserve">          </v>
      </c>
      <c r="Y409" s="227" t="str">
        <f t="shared" si="45"/>
        <v/>
      </c>
      <c r="Z409" t="str">
        <f t="shared" si="46"/>
        <v/>
      </c>
      <c r="AL409" t="str">
        <f t="shared" si="47"/>
        <v/>
      </c>
      <c r="AM409" t="str">
        <f t="shared" si="48"/>
        <v/>
      </c>
    </row>
    <row r="410" spans="1:39">
      <c r="A410" t="str">
        <f>IF(ISBLANK(Record!A411),"",Record!A411)</f>
        <v/>
      </c>
      <c r="B410" t="str">
        <f>IF(ISBLANK(Record!B411),"",Record!B411)</f>
        <v/>
      </c>
      <c r="C410" s="227" t="str">
        <f>IF(ISBLANK(Record!C411),"",Record!C411)</f>
        <v/>
      </c>
      <c r="D410" t="str">
        <f>IF(ISBLANK(Record!D411),"",Record!D411)</f>
        <v/>
      </c>
      <c r="E410" t="str">
        <f>IF(ISBLANK(Record!E411),"",Record!E411)</f>
        <v/>
      </c>
      <c r="M410" t="str">
        <f t="shared" si="42"/>
        <v xml:space="preserve">          </v>
      </c>
      <c r="N410" s="227" t="str">
        <f t="shared" si="43"/>
        <v/>
      </c>
      <c r="X410" t="str">
        <f t="shared" si="44"/>
        <v xml:space="preserve">          </v>
      </c>
      <c r="Y410" s="227" t="str">
        <f t="shared" si="45"/>
        <v/>
      </c>
      <c r="Z410" t="str">
        <f t="shared" si="46"/>
        <v/>
      </c>
      <c r="AL410" t="str">
        <f t="shared" si="47"/>
        <v/>
      </c>
      <c r="AM410" t="str">
        <f t="shared" si="48"/>
        <v/>
      </c>
    </row>
    <row r="411" spans="1:39">
      <c r="A411" t="str">
        <f>IF(ISBLANK(Record!A412),"",Record!A412)</f>
        <v/>
      </c>
      <c r="B411" t="str">
        <f>IF(ISBLANK(Record!B412),"",Record!B412)</f>
        <v/>
      </c>
      <c r="C411" s="227" t="str">
        <f>IF(ISBLANK(Record!C412),"",Record!C412)</f>
        <v/>
      </c>
      <c r="D411" t="str">
        <f>IF(ISBLANK(Record!D412),"",Record!D412)</f>
        <v/>
      </c>
      <c r="E411" t="str">
        <f>IF(ISBLANK(Record!E412),"",Record!E412)</f>
        <v/>
      </c>
      <c r="M411" t="str">
        <f t="shared" si="42"/>
        <v xml:space="preserve">          </v>
      </c>
      <c r="N411" s="227" t="str">
        <f t="shared" si="43"/>
        <v/>
      </c>
      <c r="X411" t="str">
        <f t="shared" si="44"/>
        <v xml:space="preserve">          </v>
      </c>
      <c r="Y411" s="227" t="str">
        <f t="shared" si="45"/>
        <v/>
      </c>
      <c r="Z411" t="str">
        <f t="shared" si="46"/>
        <v/>
      </c>
      <c r="AL411" t="str">
        <f t="shared" si="47"/>
        <v/>
      </c>
      <c r="AM411" t="str">
        <f t="shared" si="48"/>
        <v/>
      </c>
    </row>
    <row r="412" spans="1:39">
      <c r="A412" t="str">
        <f>IF(ISBLANK(Record!A413),"",Record!A413)</f>
        <v/>
      </c>
      <c r="B412" t="str">
        <f>IF(ISBLANK(Record!B413),"",Record!B413)</f>
        <v/>
      </c>
      <c r="C412" s="227" t="str">
        <f>IF(ISBLANK(Record!C413),"",Record!C413)</f>
        <v/>
      </c>
      <c r="D412" t="str">
        <f>IF(ISBLANK(Record!D413),"",Record!D413)</f>
        <v/>
      </c>
      <c r="E412" t="str">
        <f>IF(ISBLANK(Record!E413),"",Record!E413)</f>
        <v/>
      </c>
      <c r="M412" t="str">
        <f t="shared" si="42"/>
        <v xml:space="preserve">          </v>
      </c>
      <c r="N412" s="227" t="str">
        <f t="shared" si="43"/>
        <v/>
      </c>
      <c r="X412" t="str">
        <f t="shared" si="44"/>
        <v xml:space="preserve">          </v>
      </c>
      <c r="Y412" s="227" t="str">
        <f t="shared" si="45"/>
        <v/>
      </c>
      <c r="Z412" t="str">
        <f t="shared" si="46"/>
        <v/>
      </c>
      <c r="AL412" t="str">
        <f t="shared" si="47"/>
        <v/>
      </c>
      <c r="AM412" t="str">
        <f t="shared" si="48"/>
        <v/>
      </c>
    </row>
    <row r="413" spans="1:39">
      <c r="A413" t="str">
        <f>IF(ISBLANK(Record!A414),"",Record!A414)</f>
        <v/>
      </c>
      <c r="B413" t="str">
        <f>IF(ISBLANK(Record!B414),"",Record!B414)</f>
        <v/>
      </c>
      <c r="C413" s="227" t="str">
        <f>IF(ISBLANK(Record!C414),"",Record!C414)</f>
        <v/>
      </c>
      <c r="D413" t="str">
        <f>IF(ISBLANK(Record!D414),"",Record!D414)</f>
        <v/>
      </c>
      <c r="E413" t="str">
        <f>IF(ISBLANK(Record!E414),"",Record!E414)</f>
        <v/>
      </c>
      <c r="M413" t="str">
        <f t="shared" si="42"/>
        <v xml:space="preserve">          </v>
      </c>
      <c r="N413" s="227" t="str">
        <f t="shared" si="43"/>
        <v/>
      </c>
      <c r="X413" t="str">
        <f t="shared" si="44"/>
        <v xml:space="preserve">          </v>
      </c>
      <c r="Y413" s="227" t="str">
        <f t="shared" si="45"/>
        <v/>
      </c>
      <c r="Z413" t="str">
        <f t="shared" si="46"/>
        <v/>
      </c>
      <c r="AL413" t="str">
        <f t="shared" si="47"/>
        <v/>
      </c>
      <c r="AM413" t="str">
        <f t="shared" si="48"/>
        <v/>
      </c>
    </row>
    <row r="414" spans="1:39">
      <c r="A414" t="str">
        <f>IF(ISBLANK(Record!A415),"",Record!A415)</f>
        <v/>
      </c>
      <c r="B414" t="str">
        <f>IF(ISBLANK(Record!B415),"",Record!B415)</f>
        <v/>
      </c>
      <c r="C414" s="227" t="str">
        <f>IF(ISBLANK(Record!C415),"",Record!C415)</f>
        <v/>
      </c>
      <c r="D414" t="str">
        <f>IF(ISBLANK(Record!D415),"",Record!D415)</f>
        <v/>
      </c>
      <c r="E414" t="str">
        <f>IF(ISBLANK(Record!E415),"",Record!E415)</f>
        <v/>
      </c>
      <c r="M414" t="str">
        <f t="shared" si="42"/>
        <v xml:space="preserve">          </v>
      </c>
      <c r="N414" s="227" t="str">
        <f t="shared" si="43"/>
        <v/>
      </c>
      <c r="X414" t="str">
        <f t="shared" si="44"/>
        <v xml:space="preserve">          </v>
      </c>
      <c r="Y414" s="227" t="str">
        <f t="shared" si="45"/>
        <v/>
      </c>
      <c r="Z414" t="str">
        <f t="shared" si="46"/>
        <v/>
      </c>
      <c r="AL414" t="str">
        <f t="shared" si="47"/>
        <v/>
      </c>
      <c r="AM414" t="str">
        <f t="shared" si="48"/>
        <v/>
      </c>
    </row>
    <row r="415" spans="1:39">
      <c r="A415" t="str">
        <f>IF(ISBLANK(Record!A416),"",Record!A416)</f>
        <v/>
      </c>
      <c r="B415" t="str">
        <f>IF(ISBLANK(Record!B416),"",Record!B416)</f>
        <v/>
      </c>
      <c r="C415" s="227" t="str">
        <f>IF(ISBLANK(Record!C416),"",Record!C416)</f>
        <v/>
      </c>
      <c r="D415" t="str">
        <f>IF(ISBLANK(Record!D416),"",Record!D416)</f>
        <v/>
      </c>
      <c r="E415" t="str">
        <f>IF(ISBLANK(Record!E416),"",Record!E416)</f>
        <v/>
      </c>
      <c r="M415" t="str">
        <f t="shared" si="42"/>
        <v xml:space="preserve">          </v>
      </c>
      <c r="N415" s="227" t="str">
        <f t="shared" si="43"/>
        <v/>
      </c>
      <c r="X415" t="str">
        <f t="shared" si="44"/>
        <v xml:space="preserve">          </v>
      </c>
      <c r="Y415" s="227" t="str">
        <f t="shared" si="45"/>
        <v/>
      </c>
      <c r="Z415" t="str">
        <f t="shared" si="46"/>
        <v/>
      </c>
      <c r="AL415" t="str">
        <f t="shared" si="47"/>
        <v/>
      </c>
      <c r="AM415" t="str">
        <f t="shared" si="48"/>
        <v/>
      </c>
    </row>
    <row r="416" spans="1:39">
      <c r="A416" t="str">
        <f>IF(ISBLANK(Record!A417),"",Record!A417)</f>
        <v/>
      </c>
      <c r="B416" t="str">
        <f>IF(ISBLANK(Record!B417),"",Record!B417)</f>
        <v/>
      </c>
      <c r="C416" s="227" t="str">
        <f>IF(ISBLANK(Record!C417),"",Record!C417)</f>
        <v/>
      </c>
      <c r="D416" t="str">
        <f>IF(ISBLANK(Record!D417),"",Record!D417)</f>
        <v/>
      </c>
      <c r="E416" t="str">
        <f>IF(ISBLANK(Record!E417),"",Record!E417)</f>
        <v/>
      </c>
      <c r="M416" t="str">
        <f t="shared" si="42"/>
        <v xml:space="preserve">          </v>
      </c>
      <c r="N416" s="227" t="str">
        <f t="shared" si="43"/>
        <v/>
      </c>
      <c r="X416" t="str">
        <f t="shared" si="44"/>
        <v xml:space="preserve">          </v>
      </c>
      <c r="Y416" s="227" t="str">
        <f t="shared" si="45"/>
        <v/>
      </c>
      <c r="Z416" t="str">
        <f t="shared" si="46"/>
        <v/>
      </c>
      <c r="AL416" t="str">
        <f t="shared" si="47"/>
        <v/>
      </c>
      <c r="AM416" t="str">
        <f t="shared" si="48"/>
        <v/>
      </c>
    </row>
    <row r="417" spans="1:39">
      <c r="A417" t="str">
        <f>IF(ISBLANK(Record!A418),"",Record!A418)</f>
        <v/>
      </c>
      <c r="B417" t="str">
        <f>IF(ISBLANK(Record!B418),"",Record!B418)</f>
        <v/>
      </c>
      <c r="C417" s="227" t="str">
        <f>IF(ISBLANK(Record!C418),"",Record!C418)</f>
        <v/>
      </c>
      <c r="D417" t="str">
        <f>IF(ISBLANK(Record!D418),"",Record!D418)</f>
        <v/>
      </c>
      <c r="E417" t="str">
        <f>IF(ISBLANK(Record!E418),"",Record!E418)</f>
        <v/>
      </c>
      <c r="M417" t="str">
        <f t="shared" si="42"/>
        <v xml:space="preserve">          </v>
      </c>
      <c r="N417" s="227" t="str">
        <f t="shared" si="43"/>
        <v/>
      </c>
      <c r="X417" t="str">
        <f t="shared" si="44"/>
        <v xml:space="preserve">          </v>
      </c>
      <c r="Y417" s="227" t="str">
        <f t="shared" si="45"/>
        <v/>
      </c>
      <c r="Z417" t="str">
        <f t="shared" si="46"/>
        <v/>
      </c>
      <c r="AL417" t="str">
        <f t="shared" si="47"/>
        <v/>
      </c>
      <c r="AM417" t="str">
        <f t="shared" si="48"/>
        <v/>
      </c>
    </row>
    <row r="418" spans="1:39">
      <c r="A418" t="str">
        <f>IF(ISBLANK(Record!A419),"",Record!A419)</f>
        <v/>
      </c>
      <c r="B418" t="str">
        <f>IF(ISBLANK(Record!B419),"",Record!B419)</f>
        <v/>
      </c>
      <c r="C418" s="227" t="str">
        <f>IF(ISBLANK(Record!C419),"",Record!C419)</f>
        <v/>
      </c>
      <c r="D418" t="str">
        <f>IF(ISBLANK(Record!D419),"",Record!D419)</f>
        <v/>
      </c>
      <c r="E418" t="str">
        <f>IF(ISBLANK(Record!E419),"",Record!E419)</f>
        <v/>
      </c>
      <c r="M418" t="str">
        <f t="shared" si="42"/>
        <v xml:space="preserve">          </v>
      </c>
      <c r="N418" s="227" t="str">
        <f t="shared" si="43"/>
        <v/>
      </c>
      <c r="X418" t="str">
        <f t="shared" si="44"/>
        <v xml:space="preserve">          </v>
      </c>
      <c r="Y418" s="227" t="str">
        <f t="shared" si="45"/>
        <v/>
      </c>
      <c r="Z418" t="str">
        <f t="shared" si="46"/>
        <v/>
      </c>
      <c r="AL418" t="str">
        <f t="shared" si="47"/>
        <v/>
      </c>
      <c r="AM418" t="str">
        <f t="shared" si="48"/>
        <v/>
      </c>
    </row>
    <row r="419" spans="1:39">
      <c r="A419" t="str">
        <f>IF(ISBLANK(Record!A420),"",Record!A420)</f>
        <v/>
      </c>
      <c r="B419" t="str">
        <f>IF(ISBLANK(Record!B420),"",Record!B420)</f>
        <v/>
      </c>
      <c r="C419" s="227" t="str">
        <f>IF(ISBLANK(Record!C420),"",Record!C420)</f>
        <v/>
      </c>
      <c r="D419" t="str">
        <f>IF(ISBLANK(Record!D420),"",Record!D420)</f>
        <v/>
      </c>
      <c r="E419" t="str">
        <f>IF(ISBLANK(Record!E420),"",Record!E420)</f>
        <v/>
      </c>
      <c r="M419" t="str">
        <f t="shared" si="42"/>
        <v xml:space="preserve">          </v>
      </c>
      <c r="N419" s="227" t="str">
        <f t="shared" si="43"/>
        <v/>
      </c>
      <c r="X419" t="str">
        <f t="shared" si="44"/>
        <v xml:space="preserve">          </v>
      </c>
      <c r="Y419" s="227" t="str">
        <f t="shared" si="45"/>
        <v/>
      </c>
      <c r="Z419" t="str">
        <f t="shared" si="46"/>
        <v/>
      </c>
      <c r="AL419" t="str">
        <f t="shared" si="47"/>
        <v/>
      </c>
      <c r="AM419" t="str">
        <f t="shared" si="48"/>
        <v/>
      </c>
    </row>
    <row r="420" spans="1:39">
      <c r="A420" t="str">
        <f>IF(ISBLANK(Record!A421),"",Record!A421)</f>
        <v/>
      </c>
      <c r="B420" t="str">
        <f>IF(ISBLANK(Record!B421),"",Record!B421)</f>
        <v/>
      </c>
      <c r="C420" s="227" t="str">
        <f>IF(ISBLANK(Record!C421),"",Record!C421)</f>
        <v/>
      </c>
      <c r="D420" t="str">
        <f>IF(ISBLANK(Record!D421),"",Record!D421)</f>
        <v/>
      </c>
      <c r="E420" t="str">
        <f>IF(ISBLANK(Record!E421),"",Record!E421)</f>
        <v/>
      </c>
      <c r="M420" t="str">
        <f t="shared" si="42"/>
        <v xml:space="preserve">          </v>
      </c>
      <c r="N420" s="227" t="str">
        <f t="shared" si="43"/>
        <v/>
      </c>
      <c r="X420" t="str">
        <f t="shared" si="44"/>
        <v xml:space="preserve">          </v>
      </c>
      <c r="Y420" s="227" t="str">
        <f t="shared" si="45"/>
        <v/>
      </c>
      <c r="Z420" t="str">
        <f t="shared" si="46"/>
        <v/>
      </c>
      <c r="AL420" t="str">
        <f t="shared" si="47"/>
        <v/>
      </c>
      <c r="AM420" t="str">
        <f t="shared" si="48"/>
        <v/>
      </c>
    </row>
    <row r="421" spans="1:39">
      <c r="A421" t="str">
        <f>IF(ISBLANK(Record!A422),"",Record!A422)</f>
        <v/>
      </c>
      <c r="B421" t="str">
        <f>IF(ISBLANK(Record!B422),"",Record!B422)</f>
        <v/>
      </c>
      <c r="C421" s="227" t="str">
        <f>IF(ISBLANK(Record!C422),"",Record!C422)</f>
        <v/>
      </c>
      <c r="D421" t="str">
        <f>IF(ISBLANK(Record!D422),"",Record!D422)</f>
        <v/>
      </c>
      <c r="E421" t="str">
        <f>IF(ISBLANK(Record!E422),"",Record!E422)</f>
        <v/>
      </c>
      <c r="M421" t="str">
        <f t="shared" si="42"/>
        <v xml:space="preserve">          </v>
      </c>
      <c r="N421" s="227" t="str">
        <f t="shared" si="43"/>
        <v/>
      </c>
      <c r="X421" t="str">
        <f t="shared" si="44"/>
        <v xml:space="preserve">          </v>
      </c>
      <c r="Y421" s="227" t="str">
        <f t="shared" si="45"/>
        <v/>
      </c>
      <c r="Z421" t="str">
        <f t="shared" si="46"/>
        <v/>
      </c>
      <c r="AL421" t="str">
        <f t="shared" si="47"/>
        <v/>
      </c>
      <c r="AM421" t="str">
        <f t="shared" si="48"/>
        <v/>
      </c>
    </row>
    <row r="422" spans="1:39">
      <c r="A422" t="str">
        <f>IF(ISBLANK(Record!A423),"",Record!A423)</f>
        <v/>
      </c>
      <c r="B422" t="str">
        <f>IF(ISBLANK(Record!B423),"",Record!B423)</f>
        <v/>
      </c>
      <c r="C422" s="227" t="str">
        <f>IF(ISBLANK(Record!C423),"",Record!C423)</f>
        <v/>
      </c>
      <c r="D422" t="str">
        <f>IF(ISBLANK(Record!D423),"",Record!D423)</f>
        <v/>
      </c>
      <c r="E422" t="str">
        <f>IF(ISBLANK(Record!E423),"",Record!E423)</f>
        <v/>
      </c>
      <c r="M422" t="str">
        <f t="shared" si="42"/>
        <v xml:space="preserve">          </v>
      </c>
      <c r="N422" s="227" t="str">
        <f t="shared" si="43"/>
        <v/>
      </c>
      <c r="X422" t="str">
        <f t="shared" si="44"/>
        <v xml:space="preserve">          </v>
      </c>
      <c r="Y422" s="227" t="str">
        <f t="shared" si="45"/>
        <v/>
      </c>
      <c r="Z422" t="str">
        <f t="shared" si="46"/>
        <v/>
      </c>
      <c r="AL422" t="str">
        <f t="shared" si="47"/>
        <v/>
      </c>
      <c r="AM422" t="str">
        <f t="shared" si="48"/>
        <v/>
      </c>
    </row>
    <row r="423" spans="1:39">
      <c r="A423" t="str">
        <f>IF(ISBLANK(Record!A424),"",Record!A424)</f>
        <v/>
      </c>
      <c r="B423" t="str">
        <f>IF(ISBLANK(Record!B424),"",Record!B424)</f>
        <v/>
      </c>
      <c r="C423" s="227" t="str">
        <f>IF(ISBLANK(Record!C424),"",Record!C424)</f>
        <v/>
      </c>
      <c r="D423" t="str">
        <f>IF(ISBLANK(Record!D424),"",Record!D424)</f>
        <v/>
      </c>
      <c r="E423" t="str">
        <f>IF(ISBLANK(Record!E424),"",Record!E424)</f>
        <v/>
      </c>
      <c r="M423" t="str">
        <f t="shared" si="42"/>
        <v xml:space="preserve">          </v>
      </c>
      <c r="N423" s="227" t="str">
        <f t="shared" si="43"/>
        <v/>
      </c>
      <c r="X423" t="str">
        <f t="shared" si="44"/>
        <v xml:space="preserve">          </v>
      </c>
      <c r="Y423" s="227" t="str">
        <f t="shared" si="45"/>
        <v/>
      </c>
      <c r="Z423" t="str">
        <f t="shared" si="46"/>
        <v/>
      </c>
      <c r="AL423" t="str">
        <f t="shared" si="47"/>
        <v/>
      </c>
      <c r="AM423" t="str">
        <f t="shared" si="48"/>
        <v/>
      </c>
    </row>
    <row r="424" spans="1:39">
      <c r="A424" t="str">
        <f>IF(ISBLANK(Record!A425),"",Record!A425)</f>
        <v/>
      </c>
      <c r="B424" t="str">
        <f>IF(ISBLANK(Record!B425),"",Record!B425)</f>
        <v/>
      </c>
      <c r="C424" s="227" t="str">
        <f>IF(ISBLANK(Record!C425),"",Record!C425)</f>
        <v/>
      </c>
      <c r="D424" t="str">
        <f>IF(ISBLANK(Record!D425),"",Record!D425)</f>
        <v/>
      </c>
      <c r="E424" t="str">
        <f>IF(ISBLANK(Record!E425),"",Record!E425)</f>
        <v/>
      </c>
      <c r="M424" t="str">
        <f t="shared" si="42"/>
        <v xml:space="preserve">          </v>
      </c>
      <c r="N424" s="227" t="str">
        <f t="shared" si="43"/>
        <v/>
      </c>
      <c r="X424" t="str">
        <f t="shared" si="44"/>
        <v xml:space="preserve">          </v>
      </c>
      <c r="Y424" s="227" t="str">
        <f t="shared" si="45"/>
        <v/>
      </c>
      <c r="Z424" t="str">
        <f t="shared" si="46"/>
        <v/>
      </c>
      <c r="AL424" t="str">
        <f t="shared" si="47"/>
        <v/>
      </c>
      <c r="AM424" t="str">
        <f t="shared" si="48"/>
        <v/>
      </c>
    </row>
    <row r="425" spans="1:39">
      <c r="A425" t="str">
        <f>IF(ISBLANK(Record!A426),"",Record!A426)</f>
        <v/>
      </c>
      <c r="B425" t="str">
        <f>IF(ISBLANK(Record!B426),"",Record!B426)</f>
        <v/>
      </c>
      <c r="C425" s="227" t="str">
        <f>IF(ISBLANK(Record!C426),"",Record!C426)</f>
        <v/>
      </c>
      <c r="D425" t="str">
        <f>IF(ISBLANK(Record!D426),"",Record!D426)</f>
        <v/>
      </c>
      <c r="E425" t="str">
        <f>IF(ISBLANK(Record!E426),"",Record!E426)</f>
        <v/>
      </c>
      <c r="M425" t="str">
        <f t="shared" si="42"/>
        <v xml:space="preserve">          </v>
      </c>
      <c r="N425" s="227" t="str">
        <f t="shared" si="43"/>
        <v/>
      </c>
      <c r="X425" t="str">
        <f t="shared" si="44"/>
        <v xml:space="preserve">          </v>
      </c>
      <c r="Y425" s="227" t="str">
        <f t="shared" si="45"/>
        <v/>
      </c>
      <c r="Z425" t="str">
        <f t="shared" si="46"/>
        <v/>
      </c>
      <c r="AL425" t="str">
        <f t="shared" si="47"/>
        <v/>
      </c>
      <c r="AM425" t="str">
        <f t="shared" si="48"/>
        <v/>
      </c>
    </row>
    <row r="426" spans="1:39">
      <c r="A426" t="str">
        <f>IF(ISBLANK(Record!A427),"",Record!A427)</f>
        <v/>
      </c>
      <c r="B426" t="str">
        <f>IF(ISBLANK(Record!B427),"",Record!B427)</f>
        <v/>
      </c>
      <c r="C426" s="227" t="str">
        <f>IF(ISBLANK(Record!C427),"",Record!C427)</f>
        <v/>
      </c>
      <c r="D426" t="str">
        <f>IF(ISBLANK(Record!D427),"",Record!D427)</f>
        <v/>
      </c>
      <c r="E426" t="str">
        <f>IF(ISBLANK(Record!E427),"",Record!E427)</f>
        <v/>
      </c>
      <c r="M426" t="str">
        <f t="shared" si="42"/>
        <v xml:space="preserve">          </v>
      </c>
      <c r="N426" s="227" t="str">
        <f t="shared" si="43"/>
        <v/>
      </c>
      <c r="X426" t="str">
        <f t="shared" si="44"/>
        <v xml:space="preserve">          </v>
      </c>
      <c r="Y426" s="227" t="str">
        <f t="shared" si="45"/>
        <v/>
      </c>
      <c r="Z426" t="str">
        <f t="shared" si="46"/>
        <v/>
      </c>
      <c r="AL426" t="str">
        <f t="shared" si="47"/>
        <v/>
      </c>
      <c r="AM426" t="str">
        <f t="shared" si="48"/>
        <v/>
      </c>
    </row>
    <row r="427" spans="1:39">
      <c r="A427" t="str">
        <f>IF(ISBLANK(Record!A428),"",Record!A428)</f>
        <v/>
      </c>
      <c r="B427" t="str">
        <f>IF(ISBLANK(Record!B428),"",Record!B428)</f>
        <v/>
      </c>
      <c r="C427" s="227" t="str">
        <f>IF(ISBLANK(Record!C428),"",Record!C428)</f>
        <v/>
      </c>
      <c r="D427" t="str">
        <f>IF(ISBLANK(Record!D428),"",Record!D428)</f>
        <v/>
      </c>
      <c r="E427" t="str">
        <f>IF(ISBLANK(Record!E428),"",Record!E428)</f>
        <v/>
      </c>
      <c r="M427" t="str">
        <f t="shared" si="42"/>
        <v xml:space="preserve">          </v>
      </c>
      <c r="N427" s="227" t="str">
        <f t="shared" si="43"/>
        <v/>
      </c>
      <c r="X427" t="str">
        <f t="shared" si="44"/>
        <v xml:space="preserve">          </v>
      </c>
      <c r="Y427" s="227" t="str">
        <f t="shared" si="45"/>
        <v/>
      </c>
      <c r="Z427" t="str">
        <f t="shared" si="46"/>
        <v/>
      </c>
      <c r="AL427" t="str">
        <f t="shared" si="47"/>
        <v/>
      </c>
      <c r="AM427" t="str">
        <f t="shared" si="48"/>
        <v/>
      </c>
    </row>
    <row r="428" spans="1:39">
      <c r="A428" t="str">
        <f>IF(ISBLANK(Record!A429),"",Record!A429)</f>
        <v/>
      </c>
      <c r="B428" t="str">
        <f>IF(ISBLANK(Record!B429),"",Record!B429)</f>
        <v/>
      </c>
      <c r="C428" s="227" t="str">
        <f>IF(ISBLANK(Record!C429),"",Record!C429)</f>
        <v/>
      </c>
      <c r="D428" t="str">
        <f>IF(ISBLANK(Record!D429),"",Record!D429)</f>
        <v/>
      </c>
      <c r="E428" t="str">
        <f>IF(ISBLANK(Record!E429),"",Record!E429)</f>
        <v/>
      </c>
      <c r="M428" t="str">
        <f t="shared" si="42"/>
        <v xml:space="preserve">          </v>
      </c>
      <c r="N428" s="227" t="str">
        <f t="shared" si="43"/>
        <v/>
      </c>
      <c r="X428" t="str">
        <f t="shared" si="44"/>
        <v xml:space="preserve">          </v>
      </c>
      <c r="Y428" s="227" t="str">
        <f t="shared" si="45"/>
        <v/>
      </c>
      <c r="Z428" t="str">
        <f t="shared" si="46"/>
        <v/>
      </c>
      <c r="AL428" t="str">
        <f t="shared" si="47"/>
        <v/>
      </c>
      <c r="AM428" t="str">
        <f t="shared" si="48"/>
        <v/>
      </c>
    </row>
    <row r="429" spans="1:39">
      <c r="A429" t="str">
        <f>IF(ISBLANK(Record!A430),"",Record!A430)</f>
        <v/>
      </c>
      <c r="B429" t="str">
        <f>IF(ISBLANK(Record!B430),"",Record!B430)</f>
        <v/>
      </c>
      <c r="C429" s="227" t="str">
        <f>IF(ISBLANK(Record!C430),"",Record!C430)</f>
        <v/>
      </c>
      <c r="D429" t="str">
        <f>IF(ISBLANK(Record!D430),"",Record!D430)</f>
        <v/>
      </c>
      <c r="E429" t="str">
        <f>IF(ISBLANK(Record!E430),"",Record!E430)</f>
        <v/>
      </c>
      <c r="M429" t="str">
        <f t="shared" si="42"/>
        <v xml:space="preserve">          </v>
      </c>
      <c r="N429" s="227" t="str">
        <f t="shared" si="43"/>
        <v/>
      </c>
      <c r="X429" t="str">
        <f t="shared" si="44"/>
        <v xml:space="preserve">          </v>
      </c>
      <c r="Y429" s="227" t="str">
        <f t="shared" si="45"/>
        <v/>
      </c>
      <c r="Z429" t="str">
        <f t="shared" si="46"/>
        <v/>
      </c>
      <c r="AL429" t="str">
        <f t="shared" si="47"/>
        <v/>
      </c>
      <c r="AM429" t="str">
        <f t="shared" si="48"/>
        <v/>
      </c>
    </row>
    <row r="430" spans="1:39">
      <c r="A430" t="str">
        <f>IF(ISBLANK(Record!A431),"",Record!A431)</f>
        <v/>
      </c>
      <c r="B430" t="str">
        <f>IF(ISBLANK(Record!B431),"",Record!B431)</f>
        <v/>
      </c>
      <c r="C430" s="227" t="str">
        <f>IF(ISBLANK(Record!C431),"",Record!C431)</f>
        <v/>
      </c>
      <c r="D430" t="str">
        <f>IF(ISBLANK(Record!D431),"",Record!D431)</f>
        <v/>
      </c>
      <c r="E430" t="str">
        <f>IF(ISBLANK(Record!E431),"",Record!E431)</f>
        <v/>
      </c>
      <c r="M430" t="str">
        <f t="shared" si="42"/>
        <v xml:space="preserve">          </v>
      </c>
      <c r="N430" s="227" t="str">
        <f t="shared" si="43"/>
        <v/>
      </c>
      <c r="X430" t="str">
        <f t="shared" si="44"/>
        <v xml:space="preserve">          </v>
      </c>
      <c r="Y430" s="227" t="str">
        <f t="shared" si="45"/>
        <v/>
      </c>
      <c r="Z430" t="str">
        <f t="shared" si="46"/>
        <v/>
      </c>
      <c r="AL430" t="str">
        <f t="shared" si="47"/>
        <v/>
      </c>
      <c r="AM430" t="str">
        <f t="shared" si="48"/>
        <v/>
      </c>
    </row>
    <row r="431" spans="1:39">
      <c r="A431" t="str">
        <f>IF(ISBLANK(Record!A432),"",Record!A432)</f>
        <v/>
      </c>
      <c r="B431" t="str">
        <f>IF(ISBLANK(Record!B432),"",Record!B432)</f>
        <v/>
      </c>
      <c r="C431" s="227" t="str">
        <f>IF(ISBLANK(Record!C432),"",Record!C432)</f>
        <v/>
      </c>
      <c r="D431" t="str">
        <f>IF(ISBLANK(Record!D432),"",Record!D432)</f>
        <v/>
      </c>
      <c r="E431" t="str">
        <f>IF(ISBLANK(Record!E432),"",Record!E432)</f>
        <v/>
      </c>
      <c r="M431" t="str">
        <f t="shared" si="42"/>
        <v xml:space="preserve">          </v>
      </c>
      <c r="N431" s="227" t="str">
        <f t="shared" si="43"/>
        <v/>
      </c>
      <c r="X431" t="str">
        <f t="shared" si="44"/>
        <v xml:space="preserve">          </v>
      </c>
      <c r="Y431" s="227" t="str">
        <f t="shared" si="45"/>
        <v/>
      </c>
      <c r="Z431" t="str">
        <f t="shared" si="46"/>
        <v/>
      </c>
      <c r="AL431" t="str">
        <f t="shared" si="47"/>
        <v/>
      </c>
      <c r="AM431" t="str">
        <f t="shared" si="48"/>
        <v/>
      </c>
    </row>
    <row r="432" spans="1:39">
      <c r="A432" t="str">
        <f>IF(ISBLANK(Record!A433),"",Record!A433)</f>
        <v/>
      </c>
      <c r="B432" t="str">
        <f>IF(ISBLANK(Record!B433),"",Record!B433)</f>
        <v/>
      </c>
      <c r="C432" s="227" t="str">
        <f>IF(ISBLANK(Record!C433),"",Record!C433)</f>
        <v/>
      </c>
      <c r="D432" t="str">
        <f>IF(ISBLANK(Record!D433),"",Record!D433)</f>
        <v/>
      </c>
      <c r="E432" t="str">
        <f>IF(ISBLANK(Record!E433),"",Record!E433)</f>
        <v/>
      </c>
      <c r="M432" t="str">
        <f t="shared" si="42"/>
        <v xml:space="preserve">          </v>
      </c>
      <c r="N432" s="227" t="str">
        <f t="shared" si="43"/>
        <v/>
      </c>
      <c r="X432" t="str">
        <f t="shared" si="44"/>
        <v xml:space="preserve">          </v>
      </c>
      <c r="Y432" s="227" t="str">
        <f t="shared" si="45"/>
        <v/>
      </c>
      <c r="Z432" t="str">
        <f t="shared" si="46"/>
        <v/>
      </c>
      <c r="AL432" t="str">
        <f t="shared" si="47"/>
        <v/>
      </c>
      <c r="AM432" t="str">
        <f t="shared" si="48"/>
        <v/>
      </c>
    </row>
    <row r="433" spans="1:39">
      <c r="A433" t="str">
        <f>IF(ISBLANK(Record!A434),"",Record!A434)</f>
        <v/>
      </c>
      <c r="B433" t="str">
        <f>IF(ISBLANK(Record!B434),"",Record!B434)</f>
        <v/>
      </c>
      <c r="C433" s="227" t="str">
        <f>IF(ISBLANK(Record!C434),"",Record!C434)</f>
        <v/>
      </c>
      <c r="D433" t="str">
        <f>IF(ISBLANK(Record!D434),"",Record!D434)</f>
        <v/>
      </c>
      <c r="E433" t="str">
        <f>IF(ISBLANK(Record!E434),"",Record!E434)</f>
        <v/>
      </c>
      <c r="M433" t="str">
        <f t="shared" si="42"/>
        <v xml:space="preserve">          </v>
      </c>
      <c r="N433" s="227" t="str">
        <f t="shared" si="43"/>
        <v/>
      </c>
      <c r="X433" t="str">
        <f t="shared" si="44"/>
        <v xml:space="preserve">          </v>
      </c>
      <c r="Y433" s="227" t="str">
        <f t="shared" si="45"/>
        <v/>
      </c>
      <c r="Z433" t="str">
        <f t="shared" si="46"/>
        <v/>
      </c>
      <c r="AL433" t="str">
        <f t="shared" si="47"/>
        <v/>
      </c>
      <c r="AM433" t="str">
        <f t="shared" si="48"/>
        <v/>
      </c>
    </row>
    <row r="434" spans="1:39">
      <c r="A434" t="str">
        <f>IF(ISBLANK(Record!A435),"",Record!A435)</f>
        <v/>
      </c>
      <c r="B434" t="str">
        <f>IF(ISBLANK(Record!B435),"",Record!B435)</f>
        <v/>
      </c>
      <c r="C434" s="227" t="str">
        <f>IF(ISBLANK(Record!C435),"",Record!C435)</f>
        <v/>
      </c>
      <c r="D434" t="str">
        <f>IF(ISBLANK(Record!D435),"",Record!D435)</f>
        <v/>
      </c>
      <c r="E434" t="str">
        <f>IF(ISBLANK(Record!E435),"",Record!E435)</f>
        <v/>
      </c>
      <c r="M434" t="str">
        <f t="shared" si="42"/>
        <v xml:space="preserve">          </v>
      </c>
      <c r="N434" s="227" t="str">
        <f t="shared" si="43"/>
        <v/>
      </c>
      <c r="X434" t="str">
        <f t="shared" si="44"/>
        <v xml:space="preserve">          </v>
      </c>
      <c r="Y434" s="227" t="str">
        <f t="shared" si="45"/>
        <v/>
      </c>
      <c r="Z434" t="str">
        <f t="shared" si="46"/>
        <v/>
      </c>
      <c r="AL434" t="str">
        <f t="shared" si="47"/>
        <v/>
      </c>
      <c r="AM434" t="str">
        <f t="shared" si="48"/>
        <v/>
      </c>
    </row>
    <row r="435" spans="1:39">
      <c r="A435" t="str">
        <f>IF(ISBLANK(Record!A436),"",Record!A436)</f>
        <v/>
      </c>
      <c r="B435" t="str">
        <f>IF(ISBLANK(Record!B436),"",Record!B436)</f>
        <v/>
      </c>
      <c r="C435" s="227" t="str">
        <f>IF(ISBLANK(Record!C436),"",Record!C436)</f>
        <v/>
      </c>
      <c r="D435" t="str">
        <f>IF(ISBLANK(Record!D436),"",Record!D436)</f>
        <v/>
      </c>
      <c r="E435" t="str">
        <f>IF(ISBLANK(Record!E436),"",Record!E436)</f>
        <v/>
      </c>
      <c r="M435" t="str">
        <f t="shared" si="42"/>
        <v xml:space="preserve">          </v>
      </c>
      <c r="N435" s="227" t="str">
        <f t="shared" si="43"/>
        <v/>
      </c>
      <c r="X435" t="str">
        <f t="shared" si="44"/>
        <v xml:space="preserve">          </v>
      </c>
      <c r="Y435" s="227" t="str">
        <f t="shared" si="45"/>
        <v/>
      </c>
      <c r="Z435" t="str">
        <f t="shared" si="46"/>
        <v/>
      </c>
      <c r="AL435" t="str">
        <f t="shared" si="47"/>
        <v/>
      </c>
      <c r="AM435" t="str">
        <f t="shared" si="48"/>
        <v/>
      </c>
    </row>
    <row r="436" spans="1:39">
      <c r="A436" t="str">
        <f>IF(ISBLANK(Record!A437),"",Record!A437)</f>
        <v/>
      </c>
      <c r="B436" t="str">
        <f>IF(ISBLANK(Record!B437),"",Record!B437)</f>
        <v/>
      </c>
      <c r="C436" s="227" t="str">
        <f>IF(ISBLANK(Record!C437),"",Record!C437)</f>
        <v/>
      </c>
      <c r="D436" t="str">
        <f>IF(ISBLANK(Record!D437),"",Record!D437)</f>
        <v/>
      </c>
      <c r="E436" t="str">
        <f>IF(ISBLANK(Record!E437),"",Record!E437)</f>
        <v/>
      </c>
      <c r="M436" t="str">
        <f t="shared" si="42"/>
        <v xml:space="preserve">          </v>
      </c>
      <c r="N436" s="227" t="str">
        <f t="shared" si="43"/>
        <v/>
      </c>
      <c r="X436" t="str">
        <f t="shared" si="44"/>
        <v xml:space="preserve">          </v>
      </c>
      <c r="Y436" s="227" t="str">
        <f t="shared" si="45"/>
        <v/>
      </c>
      <c r="Z436" t="str">
        <f t="shared" si="46"/>
        <v/>
      </c>
      <c r="AL436" t="str">
        <f t="shared" si="47"/>
        <v/>
      </c>
      <c r="AM436" t="str">
        <f t="shared" si="48"/>
        <v/>
      </c>
    </row>
    <row r="437" spans="1:39">
      <c r="A437" t="str">
        <f>IF(ISBLANK(Record!A438),"",Record!A438)</f>
        <v/>
      </c>
      <c r="B437" t="str">
        <f>IF(ISBLANK(Record!B438),"",Record!B438)</f>
        <v/>
      </c>
      <c r="C437" s="227" t="str">
        <f>IF(ISBLANK(Record!C438),"",Record!C438)</f>
        <v/>
      </c>
      <c r="D437" t="str">
        <f>IF(ISBLANK(Record!D438),"",Record!D438)</f>
        <v/>
      </c>
      <c r="E437" t="str">
        <f>IF(ISBLANK(Record!E438),"",Record!E438)</f>
        <v/>
      </c>
      <c r="M437" t="str">
        <f t="shared" si="42"/>
        <v xml:space="preserve">          </v>
      </c>
      <c r="N437" s="227" t="str">
        <f t="shared" si="43"/>
        <v/>
      </c>
      <c r="X437" t="str">
        <f t="shared" si="44"/>
        <v xml:space="preserve">          </v>
      </c>
      <c r="Y437" s="227" t="str">
        <f t="shared" si="45"/>
        <v/>
      </c>
      <c r="Z437" t="str">
        <f t="shared" si="46"/>
        <v/>
      </c>
      <c r="AL437" t="str">
        <f t="shared" si="47"/>
        <v/>
      </c>
      <c r="AM437" t="str">
        <f t="shared" si="48"/>
        <v/>
      </c>
    </row>
    <row r="438" spans="1:39">
      <c r="A438" t="str">
        <f>IF(ISBLANK(Record!A439),"",Record!A439)</f>
        <v/>
      </c>
      <c r="B438" t="str">
        <f>IF(ISBLANK(Record!B439),"",Record!B439)</f>
        <v/>
      </c>
      <c r="C438" s="227" t="str">
        <f>IF(ISBLANK(Record!C439),"",Record!C439)</f>
        <v/>
      </c>
      <c r="D438" t="str">
        <f>IF(ISBLANK(Record!D439),"",Record!D439)</f>
        <v/>
      </c>
      <c r="E438" t="str">
        <f>IF(ISBLANK(Record!E439),"",Record!E439)</f>
        <v/>
      </c>
      <c r="M438" t="str">
        <f t="shared" si="42"/>
        <v xml:space="preserve">          </v>
      </c>
      <c r="N438" s="227" t="str">
        <f t="shared" si="43"/>
        <v/>
      </c>
      <c r="X438" t="str">
        <f t="shared" si="44"/>
        <v xml:space="preserve">          </v>
      </c>
      <c r="Y438" s="227" t="str">
        <f t="shared" si="45"/>
        <v/>
      </c>
      <c r="Z438" t="str">
        <f t="shared" si="46"/>
        <v/>
      </c>
      <c r="AL438" t="str">
        <f t="shared" si="47"/>
        <v/>
      </c>
      <c r="AM438" t="str">
        <f t="shared" si="48"/>
        <v/>
      </c>
    </row>
    <row r="439" spans="1:39">
      <c r="A439" t="str">
        <f>IF(ISBLANK(Record!A440),"",Record!A440)</f>
        <v/>
      </c>
      <c r="B439" t="str">
        <f>IF(ISBLANK(Record!B440),"",Record!B440)</f>
        <v/>
      </c>
      <c r="C439" s="227" t="str">
        <f>IF(ISBLANK(Record!C440),"",Record!C440)</f>
        <v/>
      </c>
      <c r="D439" t="str">
        <f>IF(ISBLANK(Record!D440),"",Record!D440)</f>
        <v/>
      </c>
      <c r="E439" t="str">
        <f>IF(ISBLANK(Record!E440),"",Record!E440)</f>
        <v/>
      </c>
      <c r="M439" t="str">
        <f t="shared" si="42"/>
        <v xml:space="preserve">          </v>
      </c>
      <c r="N439" s="227" t="str">
        <f t="shared" si="43"/>
        <v/>
      </c>
      <c r="X439" t="str">
        <f t="shared" si="44"/>
        <v xml:space="preserve">          </v>
      </c>
      <c r="Y439" s="227" t="str">
        <f t="shared" si="45"/>
        <v/>
      </c>
      <c r="Z439" t="str">
        <f t="shared" si="46"/>
        <v/>
      </c>
      <c r="AL439" t="str">
        <f t="shared" si="47"/>
        <v/>
      </c>
      <c r="AM439" t="str">
        <f t="shared" si="48"/>
        <v/>
      </c>
    </row>
    <row r="440" spans="1:39">
      <c r="A440" t="str">
        <f>IF(ISBLANK(Record!A441),"",Record!A441)</f>
        <v/>
      </c>
      <c r="B440" t="str">
        <f>IF(ISBLANK(Record!B441),"",Record!B441)</f>
        <v/>
      </c>
      <c r="C440" s="227" t="str">
        <f>IF(ISBLANK(Record!C441),"",Record!C441)</f>
        <v/>
      </c>
      <c r="D440" t="str">
        <f>IF(ISBLANK(Record!D441),"",Record!D441)</f>
        <v/>
      </c>
      <c r="E440" t="str">
        <f>IF(ISBLANK(Record!E441),"",Record!E441)</f>
        <v/>
      </c>
      <c r="M440" t="str">
        <f t="shared" si="42"/>
        <v xml:space="preserve">          </v>
      </c>
      <c r="N440" s="227" t="str">
        <f t="shared" si="43"/>
        <v/>
      </c>
      <c r="X440" t="str">
        <f t="shared" si="44"/>
        <v xml:space="preserve">          </v>
      </c>
      <c r="Y440" s="227" t="str">
        <f t="shared" si="45"/>
        <v/>
      </c>
      <c r="Z440" t="str">
        <f t="shared" si="46"/>
        <v/>
      </c>
      <c r="AL440" t="str">
        <f t="shared" si="47"/>
        <v/>
      </c>
      <c r="AM440" t="str">
        <f t="shared" si="48"/>
        <v/>
      </c>
    </row>
    <row r="441" spans="1:39">
      <c r="A441" t="str">
        <f>IF(ISBLANK(Record!A442),"",Record!A442)</f>
        <v/>
      </c>
      <c r="B441" t="str">
        <f>IF(ISBLANK(Record!B442),"",Record!B442)</f>
        <v/>
      </c>
      <c r="C441" s="227" t="str">
        <f>IF(ISBLANK(Record!C442),"",Record!C442)</f>
        <v/>
      </c>
      <c r="D441" t="str">
        <f>IF(ISBLANK(Record!D442),"",Record!D442)</f>
        <v/>
      </c>
      <c r="E441" t="str">
        <f>IF(ISBLANK(Record!E442),"",Record!E442)</f>
        <v/>
      </c>
      <c r="M441" t="str">
        <f t="shared" si="42"/>
        <v xml:space="preserve">          </v>
      </c>
      <c r="N441" s="227" t="str">
        <f t="shared" si="43"/>
        <v/>
      </c>
      <c r="X441" t="str">
        <f t="shared" si="44"/>
        <v xml:space="preserve">          </v>
      </c>
      <c r="Y441" s="227" t="str">
        <f t="shared" si="45"/>
        <v/>
      </c>
      <c r="Z441" t="str">
        <f t="shared" si="46"/>
        <v/>
      </c>
      <c r="AL441" t="str">
        <f t="shared" si="47"/>
        <v/>
      </c>
      <c r="AM441" t="str">
        <f t="shared" si="48"/>
        <v/>
      </c>
    </row>
    <row r="442" spans="1:39">
      <c r="A442" t="str">
        <f>IF(ISBLANK(Record!A443),"",Record!A443)</f>
        <v/>
      </c>
      <c r="B442" t="str">
        <f>IF(ISBLANK(Record!B443),"",Record!B443)</f>
        <v/>
      </c>
      <c r="C442" s="227" t="str">
        <f>IF(ISBLANK(Record!C443),"",Record!C443)</f>
        <v/>
      </c>
      <c r="D442" t="str">
        <f>IF(ISBLANK(Record!D443),"",Record!D443)</f>
        <v/>
      </c>
      <c r="E442" t="str">
        <f>IF(ISBLANK(Record!E443),"",Record!E443)</f>
        <v/>
      </c>
      <c r="M442" t="str">
        <f t="shared" si="42"/>
        <v xml:space="preserve">          </v>
      </c>
      <c r="N442" s="227" t="str">
        <f t="shared" si="43"/>
        <v/>
      </c>
      <c r="X442" t="str">
        <f t="shared" si="44"/>
        <v xml:space="preserve">          </v>
      </c>
      <c r="Y442" s="227" t="str">
        <f t="shared" si="45"/>
        <v/>
      </c>
      <c r="Z442" t="str">
        <f t="shared" si="46"/>
        <v/>
      </c>
      <c r="AL442" t="str">
        <f t="shared" si="47"/>
        <v/>
      </c>
      <c r="AM442" t="str">
        <f t="shared" si="48"/>
        <v/>
      </c>
    </row>
    <row r="443" spans="1:39">
      <c r="A443" t="str">
        <f>IF(ISBLANK(Record!A444),"",Record!A444)</f>
        <v/>
      </c>
      <c r="B443" t="str">
        <f>IF(ISBLANK(Record!B444),"",Record!B444)</f>
        <v/>
      </c>
      <c r="C443" s="227" t="str">
        <f>IF(ISBLANK(Record!C444),"",Record!C444)</f>
        <v/>
      </c>
      <c r="D443" t="str">
        <f>IF(ISBLANK(Record!D444),"",Record!D444)</f>
        <v/>
      </c>
      <c r="E443" t="str">
        <f>IF(ISBLANK(Record!E444),"",Record!E444)</f>
        <v/>
      </c>
      <c r="M443" t="str">
        <f t="shared" si="42"/>
        <v xml:space="preserve">          </v>
      </c>
      <c r="N443" s="227" t="str">
        <f t="shared" si="43"/>
        <v/>
      </c>
      <c r="X443" t="str">
        <f t="shared" si="44"/>
        <v xml:space="preserve">          </v>
      </c>
      <c r="Y443" s="227" t="str">
        <f t="shared" si="45"/>
        <v/>
      </c>
      <c r="Z443" t="str">
        <f t="shared" si="46"/>
        <v/>
      </c>
      <c r="AL443" t="str">
        <f t="shared" si="47"/>
        <v/>
      </c>
      <c r="AM443" t="str">
        <f t="shared" si="48"/>
        <v/>
      </c>
    </row>
    <row r="444" spans="1:39">
      <c r="A444" t="str">
        <f>IF(ISBLANK(Record!A445),"",Record!A445)</f>
        <v/>
      </c>
      <c r="B444" t="str">
        <f>IF(ISBLANK(Record!B445),"",Record!B445)</f>
        <v/>
      </c>
      <c r="C444" s="227" t="str">
        <f>IF(ISBLANK(Record!C445),"",Record!C445)</f>
        <v/>
      </c>
      <c r="D444" t="str">
        <f>IF(ISBLANK(Record!D445),"",Record!D445)</f>
        <v/>
      </c>
      <c r="E444" t="str">
        <f>IF(ISBLANK(Record!E445),"",Record!E445)</f>
        <v/>
      </c>
      <c r="M444" t="str">
        <f t="shared" si="42"/>
        <v xml:space="preserve">          </v>
      </c>
      <c r="N444" s="227" t="str">
        <f t="shared" si="43"/>
        <v/>
      </c>
      <c r="X444" t="str">
        <f t="shared" si="44"/>
        <v xml:space="preserve">          </v>
      </c>
      <c r="Y444" s="227" t="str">
        <f t="shared" si="45"/>
        <v/>
      </c>
      <c r="Z444" t="str">
        <f t="shared" si="46"/>
        <v/>
      </c>
      <c r="AL444" t="str">
        <f t="shared" si="47"/>
        <v/>
      </c>
      <c r="AM444" t="str">
        <f t="shared" si="48"/>
        <v/>
      </c>
    </row>
    <row r="445" spans="1:39">
      <c r="A445" t="str">
        <f>IF(ISBLANK(Record!A446),"",Record!A446)</f>
        <v/>
      </c>
      <c r="B445" t="str">
        <f>IF(ISBLANK(Record!B446),"",Record!B446)</f>
        <v/>
      </c>
      <c r="C445" s="227" t="str">
        <f>IF(ISBLANK(Record!C446),"",Record!C446)</f>
        <v/>
      </c>
      <c r="D445" t="str">
        <f>IF(ISBLANK(Record!D446),"",Record!D446)</f>
        <v/>
      </c>
      <c r="E445" t="str">
        <f>IF(ISBLANK(Record!E446),"",Record!E446)</f>
        <v/>
      </c>
      <c r="M445" t="str">
        <f t="shared" si="42"/>
        <v xml:space="preserve">          </v>
      </c>
      <c r="N445" s="227" t="str">
        <f t="shared" si="43"/>
        <v/>
      </c>
      <c r="X445" t="str">
        <f t="shared" si="44"/>
        <v xml:space="preserve">          </v>
      </c>
      <c r="Y445" s="227" t="str">
        <f t="shared" si="45"/>
        <v/>
      </c>
      <c r="Z445" t="str">
        <f t="shared" si="46"/>
        <v/>
      </c>
      <c r="AL445" t="str">
        <f t="shared" si="47"/>
        <v/>
      </c>
      <c r="AM445" t="str">
        <f t="shared" si="48"/>
        <v/>
      </c>
    </row>
    <row r="446" spans="1:39">
      <c r="A446" t="str">
        <f>IF(ISBLANK(Record!A447),"",Record!A447)</f>
        <v/>
      </c>
      <c r="B446" t="str">
        <f>IF(ISBLANK(Record!B447),"",Record!B447)</f>
        <v/>
      </c>
      <c r="C446" s="227" t="str">
        <f>IF(ISBLANK(Record!C447),"",Record!C447)</f>
        <v/>
      </c>
      <c r="D446" t="str">
        <f>IF(ISBLANK(Record!D447),"",Record!D447)</f>
        <v/>
      </c>
      <c r="E446" t="str">
        <f>IF(ISBLANK(Record!E447),"",Record!E447)</f>
        <v/>
      </c>
      <c r="M446" t="str">
        <f t="shared" si="42"/>
        <v xml:space="preserve">          </v>
      </c>
      <c r="N446" s="227" t="str">
        <f t="shared" si="43"/>
        <v/>
      </c>
      <c r="X446" t="str">
        <f t="shared" si="44"/>
        <v xml:space="preserve">          </v>
      </c>
      <c r="Y446" s="227" t="str">
        <f t="shared" si="45"/>
        <v/>
      </c>
      <c r="Z446" t="str">
        <f t="shared" si="46"/>
        <v/>
      </c>
      <c r="AL446" t="str">
        <f t="shared" si="47"/>
        <v/>
      </c>
      <c r="AM446" t="str">
        <f t="shared" si="48"/>
        <v/>
      </c>
    </row>
    <row r="447" spans="1:39">
      <c r="A447" t="str">
        <f>IF(ISBLANK(Record!A448),"",Record!A448)</f>
        <v/>
      </c>
      <c r="B447" t="str">
        <f>IF(ISBLANK(Record!B448),"",Record!B448)</f>
        <v/>
      </c>
      <c r="C447" s="227" t="str">
        <f>IF(ISBLANK(Record!C448),"",Record!C448)</f>
        <v/>
      </c>
      <c r="D447" t="str">
        <f>IF(ISBLANK(Record!D448),"",Record!D448)</f>
        <v/>
      </c>
      <c r="E447" t="str">
        <f>IF(ISBLANK(Record!E448),"",Record!E448)</f>
        <v/>
      </c>
      <c r="M447" t="str">
        <f t="shared" si="42"/>
        <v xml:space="preserve">          </v>
      </c>
      <c r="N447" s="227" t="str">
        <f t="shared" si="43"/>
        <v/>
      </c>
      <c r="X447" t="str">
        <f t="shared" si="44"/>
        <v xml:space="preserve">          </v>
      </c>
      <c r="Y447" s="227" t="str">
        <f t="shared" si="45"/>
        <v/>
      </c>
      <c r="Z447" t="str">
        <f t="shared" si="46"/>
        <v/>
      </c>
      <c r="AL447" t="str">
        <f t="shared" si="47"/>
        <v/>
      </c>
      <c r="AM447" t="str">
        <f t="shared" si="48"/>
        <v/>
      </c>
    </row>
    <row r="448" spans="1:39">
      <c r="A448" t="str">
        <f>IF(ISBLANK(Record!A449),"",Record!A449)</f>
        <v/>
      </c>
      <c r="B448" t="str">
        <f>IF(ISBLANK(Record!B449),"",Record!B449)</f>
        <v/>
      </c>
      <c r="C448" s="227" t="str">
        <f>IF(ISBLANK(Record!C449),"",Record!C449)</f>
        <v/>
      </c>
      <c r="D448" t="str">
        <f>IF(ISBLANK(Record!D449),"",Record!D449)</f>
        <v/>
      </c>
      <c r="E448" t="str">
        <f>IF(ISBLANK(Record!E449),"",Record!E449)</f>
        <v/>
      </c>
      <c r="M448" t="str">
        <f t="shared" si="42"/>
        <v xml:space="preserve">          </v>
      </c>
      <c r="N448" s="227" t="str">
        <f t="shared" si="43"/>
        <v/>
      </c>
      <c r="X448" t="str">
        <f t="shared" si="44"/>
        <v xml:space="preserve">          </v>
      </c>
      <c r="Y448" s="227" t="str">
        <f t="shared" si="45"/>
        <v/>
      </c>
      <c r="Z448" t="str">
        <f t="shared" si="46"/>
        <v/>
      </c>
      <c r="AL448" t="str">
        <f t="shared" si="47"/>
        <v/>
      </c>
      <c r="AM448" t="str">
        <f t="shared" si="48"/>
        <v/>
      </c>
    </row>
    <row r="449" spans="1:39">
      <c r="A449" t="str">
        <f>IF(ISBLANK(Record!A450),"",Record!A450)</f>
        <v/>
      </c>
      <c r="B449" t="str">
        <f>IF(ISBLANK(Record!B450),"",Record!B450)</f>
        <v/>
      </c>
      <c r="C449" s="227" t="str">
        <f>IF(ISBLANK(Record!C450),"",Record!C450)</f>
        <v/>
      </c>
      <c r="D449" t="str">
        <f>IF(ISBLANK(Record!D450),"",Record!D450)</f>
        <v/>
      </c>
      <c r="E449" t="str">
        <f>IF(ISBLANK(Record!E450),"",Record!E450)</f>
        <v/>
      </c>
      <c r="M449" t="str">
        <f t="shared" si="42"/>
        <v xml:space="preserve">          </v>
      </c>
      <c r="N449" s="227" t="str">
        <f t="shared" si="43"/>
        <v/>
      </c>
      <c r="X449" t="str">
        <f t="shared" si="44"/>
        <v xml:space="preserve">          </v>
      </c>
      <c r="Y449" s="227" t="str">
        <f t="shared" si="45"/>
        <v/>
      </c>
      <c r="Z449" t="str">
        <f t="shared" si="46"/>
        <v/>
      </c>
      <c r="AL449" t="str">
        <f t="shared" si="47"/>
        <v/>
      </c>
      <c r="AM449" t="str">
        <f t="shared" si="48"/>
        <v/>
      </c>
    </row>
    <row r="450" spans="1:39">
      <c r="A450" t="str">
        <f>IF(ISBLANK(Record!A451),"",Record!A451)</f>
        <v/>
      </c>
      <c r="B450" t="str">
        <f>IF(ISBLANK(Record!B451),"",Record!B451)</f>
        <v/>
      </c>
      <c r="C450" s="227" t="str">
        <f>IF(ISBLANK(Record!C451),"",Record!C451)</f>
        <v/>
      </c>
      <c r="D450" t="str">
        <f>IF(ISBLANK(Record!D451),"",Record!D451)</f>
        <v/>
      </c>
      <c r="E450" t="str">
        <f>IF(ISBLANK(Record!E451),"",Record!E451)</f>
        <v/>
      </c>
      <c r="M450" t="str">
        <f t="shared" si="42"/>
        <v xml:space="preserve">          </v>
      </c>
      <c r="N450" s="227" t="str">
        <f t="shared" si="43"/>
        <v/>
      </c>
      <c r="X450" t="str">
        <f t="shared" si="44"/>
        <v xml:space="preserve">          </v>
      </c>
      <c r="Y450" s="227" t="str">
        <f t="shared" si="45"/>
        <v/>
      </c>
      <c r="Z450" t="str">
        <f t="shared" si="46"/>
        <v/>
      </c>
      <c r="AL450" t="str">
        <f t="shared" si="47"/>
        <v/>
      </c>
      <c r="AM450" t="str">
        <f t="shared" si="48"/>
        <v/>
      </c>
    </row>
    <row r="451" spans="1:39">
      <c r="A451" t="str">
        <f>IF(ISBLANK(Record!A452),"",Record!A452)</f>
        <v/>
      </c>
      <c r="B451" t="str">
        <f>IF(ISBLANK(Record!B452),"",Record!B452)</f>
        <v/>
      </c>
      <c r="C451" s="227" t="str">
        <f>IF(ISBLANK(Record!C452),"",Record!C452)</f>
        <v/>
      </c>
      <c r="D451" t="str">
        <f>IF(ISBLANK(Record!D452),"",Record!D452)</f>
        <v/>
      </c>
      <c r="E451" t="str">
        <f>IF(ISBLANK(Record!E452),"",Record!E452)</f>
        <v/>
      </c>
      <c r="M451" t="str">
        <f t="shared" ref="M451:M514" si="49">RIGHT("                                   " &amp; A451,10)</f>
        <v xml:space="preserve">          </v>
      </c>
      <c r="N451" s="227" t="str">
        <f t="shared" ref="N451:N514" si="50">RIGHT(C451,16)</f>
        <v/>
      </c>
      <c r="X451" t="str">
        <f t="shared" ref="X451:X514" si="51">RIGHT("                                   " &amp; A451,10)</f>
        <v xml:space="preserve">          </v>
      </c>
      <c r="Y451" s="227" t="str">
        <f t="shared" ref="Y451:Y514" si="52">RIGHT(C451,16)</f>
        <v/>
      </c>
      <c r="Z451" t="str">
        <f t="shared" ref="Z451:Z514" si="53">RIGHT(D451,8)</f>
        <v/>
      </c>
      <c r="AL451" t="str">
        <f t="shared" ref="AL451:AL514" si="54">D451</f>
        <v/>
      </c>
      <c r="AM451" t="str">
        <f t="shared" ref="AM451:AM514" si="55">IF(E451&lt;&gt;AL451,E451,E451)</f>
        <v/>
      </c>
    </row>
    <row r="452" spans="1:39">
      <c r="A452" t="str">
        <f>IF(ISBLANK(Record!A453),"",Record!A453)</f>
        <v/>
      </c>
      <c r="B452" t="str">
        <f>IF(ISBLANK(Record!B453),"",Record!B453)</f>
        <v/>
      </c>
      <c r="C452" s="227" t="str">
        <f>IF(ISBLANK(Record!C453),"",Record!C453)</f>
        <v/>
      </c>
      <c r="D452" t="str">
        <f>IF(ISBLANK(Record!D453),"",Record!D453)</f>
        <v/>
      </c>
      <c r="E452" t="str">
        <f>IF(ISBLANK(Record!E453),"",Record!E453)</f>
        <v/>
      </c>
      <c r="M452" t="str">
        <f t="shared" si="49"/>
        <v xml:space="preserve">          </v>
      </c>
      <c r="N452" s="227" t="str">
        <f t="shared" si="50"/>
        <v/>
      </c>
      <c r="X452" t="str">
        <f t="shared" si="51"/>
        <v xml:space="preserve">          </v>
      </c>
      <c r="Y452" s="227" t="str">
        <f t="shared" si="52"/>
        <v/>
      </c>
      <c r="Z452" t="str">
        <f t="shared" si="53"/>
        <v/>
      </c>
      <c r="AL452" t="str">
        <f t="shared" si="54"/>
        <v/>
      </c>
      <c r="AM452" t="str">
        <f t="shared" si="55"/>
        <v/>
      </c>
    </row>
    <row r="453" spans="1:39">
      <c r="A453" t="str">
        <f>IF(ISBLANK(Record!A454),"",Record!A454)</f>
        <v/>
      </c>
      <c r="B453" t="str">
        <f>IF(ISBLANK(Record!B454),"",Record!B454)</f>
        <v/>
      </c>
      <c r="C453" s="227" t="str">
        <f>IF(ISBLANK(Record!C454),"",Record!C454)</f>
        <v/>
      </c>
      <c r="D453" t="str">
        <f>IF(ISBLANK(Record!D454),"",Record!D454)</f>
        <v/>
      </c>
      <c r="E453" t="str">
        <f>IF(ISBLANK(Record!E454),"",Record!E454)</f>
        <v/>
      </c>
      <c r="M453" t="str">
        <f t="shared" si="49"/>
        <v xml:space="preserve">          </v>
      </c>
      <c r="N453" s="227" t="str">
        <f t="shared" si="50"/>
        <v/>
      </c>
      <c r="X453" t="str">
        <f t="shared" si="51"/>
        <v xml:space="preserve">          </v>
      </c>
      <c r="Y453" s="227" t="str">
        <f t="shared" si="52"/>
        <v/>
      </c>
      <c r="Z453" t="str">
        <f t="shared" si="53"/>
        <v/>
      </c>
      <c r="AL453" t="str">
        <f t="shared" si="54"/>
        <v/>
      </c>
      <c r="AM453" t="str">
        <f t="shared" si="55"/>
        <v/>
      </c>
    </row>
    <row r="454" spans="1:39">
      <c r="A454" t="str">
        <f>IF(ISBLANK(Record!A455),"",Record!A455)</f>
        <v/>
      </c>
      <c r="B454" t="str">
        <f>IF(ISBLANK(Record!B455),"",Record!B455)</f>
        <v/>
      </c>
      <c r="C454" s="227" t="str">
        <f>IF(ISBLANK(Record!C455),"",Record!C455)</f>
        <v/>
      </c>
      <c r="D454" t="str">
        <f>IF(ISBLANK(Record!D455),"",Record!D455)</f>
        <v/>
      </c>
      <c r="E454" t="str">
        <f>IF(ISBLANK(Record!E455),"",Record!E455)</f>
        <v/>
      </c>
      <c r="M454" t="str">
        <f t="shared" si="49"/>
        <v xml:space="preserve">          </v>
      </c>
      <c r="N454" s="227" t="str">
        <f t="shared" si="50"/>
        <v/>
      </c>
      <c r="X454" t="str">
        <f t="shared" si="51"/>
        <v xml:space="preserve">          </v>
      </c>
      <c r="Y454" s="227" t="str">
        <f t="shared" si="52"/>
        <v/>
      </c>
      <c r="Z454" t="str">
        <f t="shared" si="53"/>
        <v/>
      </c>
      <c r="AL454" t="str">
        <f t="shared" si="54"/>
        <v/>
      </c>
      <c r="AM454" t="str">
        <f t="shared" si="55"/>
        <v/>
      </c>
    </row>
    <row r="455" spans="1:39">
      <c r="A455" t="str">
        <f>IF(ISBLANK(Record!A456),"",Record!A456)</f>
        <v/>
      </c>
      <c r="B455" t="str">
        <f>IF(ISBLANK(Record!B456),"",Record!B456)</f>
        <v/>
      </c>
      <c r="C455" s="227" t="str">
        <f>IF(ISBLANK(Record!C456),"",Record!C456)</f>
        <v/>
      </c>
      <c r="D455" t="str">
        <f>IF(ISBLANK(Record!D456),"",Record!D456)</f>
        <v/>
      </c>
      <c r="E455" t="str">
        <f>IF(ISBLANK(Record!E456),"",Record!E456)</f>
        <v/>
      </c>
      <c r="M455" t="str">
        <f t="shared" si="49"/>
        <v xml:space="preserve">          </v>
      </c>
      <c r="N455" s="227" t="str">
        <f t="shared" si="50"/>
        <v/>
      </c>
      <c r="X455" t="str">
        <f t="shared" si="51"/>
        <v xml:space="preserve">          </v>
      </c>
      <c r="Y455" s="227" t="str">
        <f t="shared" si="52"/>
        <v/>
      </c>
      <c r="Z455" t="str">
        <f t="shared" si="53"/>
        <v/>
      </c>
      <c r="AL455" t="str">
        <f t="shared" si="54"/>
        <v/>
      </c>
      <c r="AM455" t="str">
        <f t="shared" si="55"/>
        <v/>
      </c>
    </row>
    <row r="456" spans="1:39">
      <c r="A456" t="str">
        <f>IF(ISBLANK(Record!A457),"",Record!A457)</f>
        <v/>
      </c>
      <c r="B456" t="str">
        <f>IF(ISBLANK(Record!B457),"",Record!B457)</f>
        <v/>
      </c>
      <c r="C456" s="227" t="str">
        <f>IF(ISBLANK(Record!C457),"",Record!C457)</f>
        <v/>
      </c>
      <c r="D456" t="str">
        <f>IF(ISBLANK(Record!D457),"",Record!D457)</f>
        <v/>
      </c>
      <c r="E456" t="str">
        <f>IF(ISBLANK(Record!E457),"",Record!E457)</f>
        <v/>
      </c>
      <c r="M456" t="str">
        <f t="shared" si="49"/>
        <v xml:space="preserve">          </v>
      </c>
      <c r="N456" s="227" t="str">
        <f t="shared" si="50"/>
        <v/>
      </c>
      <c r="X456" t="str">
        <f t="shared" si="51"/>
        <v xml:space="preserve">          </v>
      </c>
      <c r="Y456" s="227" t="str">
        <f t="shared" si="52"/>
        <v/>
      </c>
      <c r="Z456" t="str">
        <f t="shared" si="53"/>
        <v/>
      </c>
      <c r="AL456" t="str">
        <f t="shared" si="54"/>
        <v/>
      </c>
      <c r="AM456" t="str">
        <f t="shared" si="55"/>
        <v/>
      </c>
    </row>
    <row r="457" spans="1:39">
      <c r="A457" t="str">
        <f>IF(ISBLANK(Record!A458),"",Record!A458)</f>
        <v/>
      </c>
      <c r="B457" t="str">
        <f>IF(ISBLANK(Record!B458),"",Record!B458)</f>
        <v/>
      </c>
      <c r="C457" s="227" t="str">
        <f>IF(ISBLANK(Record!C458),"",Record!C458)</f>
        <v/>
      </c>
      <c r="D457" t="str">
        <f>IF(ISBLANK(Record!D458),"",Record!D458)</f>
        <v/>
      </c>
      <c r="E457" t="str">
        <f>IF(ISBLANK(Record!E458),"",Record!E458)</f>
        <v/>
      </c>
      <c r="M457" t="str">
        <f t="shared" si="49"/>
        <v xml:space="preserve">          </v>
      </c>
      <c r="N457" s="227" t="str">
        <f t="shared" si="50"/>
        <v/>
      </c>
      <c r="X457" t="str">
        <f t="shared" si="51"/>
        <v xml:space="preserve">          </v>
      </c>
      <c r="Y457" s="227" t="str">
        <f t="shared" si="52"/>
        <v/>
      </c>
      <c r="Z457" t="str">
        <f t="shared" si="53"/>
        <v/>
      </c>
      <c r="AL457" t="str">
        <f t="shared" si="54"/>
        <v/>
      </c>
      <c r="AM457" t="str">
        <f t="shared" si="55"/>
        <v/>
      </c>
    </row>
    <row r="458" spans="1:39">
      <c r="A458" t="str">
        <f>IF(ISBLANK(Record!A459),"",Record!A459)</f>
        <v/>
      </c>
      <c r="B458" t="str">
        <f>IF(ISBLANK(Record!B459),"",Record!B459)</f>
        <v/>
      </c>
      <c r="C458" s="227" t="str">
        <f>IF(ISBLANK(Record!C459),"",Record!C459)</f>
        <v/>
      </c>
      <c r="D458" t="str">
        <f>IF(ISBLANK(Record!D459),"",Record!D459)</f>
        <v/>
      </c>
      <c r="E458" t="str">
        <f>IF(ISBLANK(Record!E459),"",Record!E459)</f>
        <v/>
      </c>
      <c r="M458" t="str">
        <f t="shared" si="49"/>
        <v xml:space="preserve">          </v>
      </c>
      <c r="N458" s="227" t="str">
        <f t="shared" si="50"/>
        <v/>
      </c>
      <c r="X458" t="str">
        <f t="shared" si="51"/>
        <v xml:space="preserve">          </v>
      </c>
      <c r="Y458" s="227" t="str">
        <f t="shared" si="52"/>
        <v/>
      </c>
      <c r="Z458" t="str">
        <f t="shared" si="53"/>
        <v/>
      </c>
      <c r="AL458" t="str">
        <f t="shared" si="54"/>
        <v/>
      </c>
      <c r="AM458" t="str">
        <f t="shared" si="55"/>
        <v/>
      </c>
    </row>
    <row r="459" spans="1:39">
      <c r="A459" t="str">
        <f>IF(ISBLANK(Record!A460),"",Record!A460)</f>
        <v/>
      </c>
      <c r="B459" t="str">
        <f>IF(ISBLANK(Record!B460),"",Record!B460)</f>
        <v/>
      </c>
      <c r="C459" s="227" t="str">
        <f>IF(ISBLANK(Record!C460),"",Record!C460)</f>
        <v/>
      </c>
      <c r="D459" t="str">
        <f>IF(ISBLANK(Record!D460),"",Record!D460)</f>
        <v/>
      </c>
      <c r="E459" t="str">
        <f>IF(ISBLANK(Record!E460),"",Record!E460)</f>
        <v/>
      </c>
      <c r="M459" t="str">
        <f t="shared" si="49"/>
        <v xml:space="preserve">          </v>
      </c>
      <c r="N459" s="227" t="str">
        <f t="shared" si="50"/>
        <v/>
      </c>
      <c r="X459" t="str">
        <f t="shared" si="51"/>
        <v xml:space="preserve">          </v>
      </c>
      <c r="Y459" s="227" t="str">
        <f t="shared" si="52"/>
        <v/>
      </c>
      <c r="Z459" t="str">
        <f t="shared" si="53"/>
        <v/>
      </c>
      <c r="AL459" t="str">
        <f t="shared" si="54"/>
        <v/>
      </c>
      <c r="AM459" t="str">
        <f t="shared" si="55"/>
        <v/>
      </c>
    </row>
    <row r="460" spans="1:39">
      <c r="A460" t="str">
        <f>IF(ISBLANK(Record!A461),"",Record!A461)</f>
        <v/>
      </c>
      <c r="B460" t="str">
        <f>IF(ISBLANK(Record!B461),"",Record!B461)</f>
        <v/>
      </c>
      <c r="C460" s="227" t="str">
        <f>IF(ISBLANK(Record!C461),"",Record!C461)</f>
        <v/>
      </c>
      <c r="D460" t="str">
        <f>IF(ISBLANK(Record!D461),"",Record!D461)</f>
        <v/>
      </c>
      <c r="E460" t="str">
        <f>IF(ISBLANK(Record!E461),"",Record!E461)</f>
        <v/>
      </c>
      <c r="M460" t="str">
        <f t="shared" si="49"/>
        <v xml:space="preserve">          </v>
      </c>
      <c r="N460" s="227" t="str">
        <f t="shared" si="50"/>
        <v/>
      </c>
      <c r="X460" t="str">
        <f t="shared" si="51"/>
        <v xml:space="preserve">          </v>
      </c>
      <c r="Y460" s="227" t="str">
        <f t="shared" si="52"/>
        <v/>
      </c>
      <c r="Z460" t="str">
        <f t="shared" si="53"/>
        <v/>
      </c>
      <c r="AL460" t="str">
        <f t="shared" si="54"/>
        <v/>
      </c>
      <c r="AM460" t="str">
        <f t="shared" si="55"/>
        <v/>
      </c>
    </row>
    <row r="461" spans="1:39">
      <c r="A461" t="str">
        <f>IF(ISBLANK(Record!A462),"",Record!A462)</f>
        <v/>
      </c>
      <c r="B461" t="str">
        <f>IF(ISBLANK(Record!B462),"",Record!B462)</f>
        <v/>
      </c>
      <c r="C461" s="227" t="str">
        <f>IF(ISBLANK(Record!C462),"",Record!C462)</f>
        <v/>
      </c>
      <c r="D461" t="str">
        <f>IF(ISBLANK(Record!D462),"",Record!D462)</f>
        <v/>
      </c>
      <c r="E461" t="str">
        <f>IF(ISBLANK(Record!E462),"",Record!E462)</f>
        <v/>
      </c>
      <c r="M461" t="str">
        <f t="shared" si="49"/>
        <v xml:space="preserve">          </v>
      </c>
      <c r="N461" s="227" t="str">
        <f t="shared" si="50"/>
        <v/>
      </c>
      <c r="X461" t="str">
        <f t="shared" si="51"/>
        <v xml:space="preserve">          </v>
      </c>
      <c r="Y461" s="227" t="str">
        <f t="shared" si="52"/>
        <v/>
      </c>
      <c r="Z461" t="str">
        <f t="shared" si="53"/>
        <v/>
      </c>
      <c r="AL461" t="str">
        <f t="shared" si="54"/>
        <v/>
      </c>
      <c r="AM461" t="str">
        <f t="shared" si="55"/>
        <v/>
      </c>
    </row>
    <row r="462" spans="1:39">
      <c r="A462" t="str">
        <f>IF(ISBLANK(Record!A463),"",Record!A463)</f>
        <v/>
      </c>
      <c r="B462" t="str">
        <f>IF(ISBLANK(Record!B463),"",Record!B463)</f>
        <v/>
      </c>
      <c r="C462" s="227" t="str">
        <f>IF(ISBLANK(Record!C463),"",Record!C463)</f>
        <v/>
      </c>
      <c r="D462" t="str">
        <f>IF(ISBLANK(Record!D463),"",Record!D463)</f>
        <v/>
      </c>
      <c r="E462" t="str">
        <f>IF(ISBLANK(Record!E463),"",Record!E463)</f>
        <v/>
      </c>
      <c r="M462" t="str">
        <f t="shared" si="49"/>
        <v xml:space="preserve">          </v>
      </c>
      <c r="N462" s="227" t="str">
        <f t="shared" si="50"/>
        <v/>
      </c>
      <c r="X462" t="str">
        <f t="shared" si="51"/>
        <v xml:space="preserve">          </v>
      </c>
      <c r="Y462" s="227" t="str">
        <f t="shared" si="52"/>
        <v/>
      </c>
      <c r="Z462" t="str">
        <f t="shared" si="53"/>
        <v/>
      </c>
      <c r="AL462" t="str">
        <f t="shared" si="54"/>
        <v/>
      </c>
      <c r="AM462" t="str">
        <f t="shared" si="55"/>
        <v/>
      </c>
    </row>
    <row r="463" spans="1:39">
      <c r="A463" t="str">
        <f>IF(ISBLANK(Record!A464),"",Record!A464)</f>
        <v/>
      </c>
      <c r="B463" t="str">
        <f>IF(ISBLANK(Record!B464),"",Record!B464)</f>
        <v/>
      </c>
      <c r="C463" s="227" t="str">
        <f>IF(ISBLANK(Record!C464),"",Record!C464)</f>
        <v/>
      </c>
      <c r="D463" t="str">
        <f>IF(ISBLANK(Record!D464),"",Record!D464)</f>
        <v/>
      </c>
      <c r="E463" t="str">
        <f>IF(ISBLANK(Record!E464),"",Record!E464)</f>
        <v/>
      </c>
      <c r="M463" t="str">
        <f t="shared" si="49"/>
        <v xml:space="preserve">          </v>
      </c>
      <c r="N463" s="227" t="str">
        <f t="shared" si="50"/>
        <v/>
      </c>
      <c r="X463" t="str">
        <f t="shared" si="51"/>
        <v xml:space="preserve">          </v>
      </c>
      <c r="Y463" s="227" t="str">
        <f t="shared" si="52"/>
        <v/>
      </c>
      <c r="Z463" t="str">
        <f t="shared" si="53"/>
        <v/>
      </c>
      <c r="AL463" t="str">
        <f t="shared" si="54"/>
        <v/>
      </c>
      <c r="AM463" t="str">
        <f t="shared" si="55"/>
        <v/>
      </c>
    </row>
    <row r="464" spans="1:39">
      <c r="A464" t="str">
        <f>IF(ISBLANK(Record!A465),"",Record!A465)</f>
        <v/>
      </c>
      <c r="B464" t="str">
        <f>IF(ISBLANK(Record!B465),"",Record!B465)</f>
        <v/>
      </c>
      <c r="C464" s="227" t="str">
        <f>IF(ISBLANK(Record!C465),"",Record!C465)</f>
        <v/>
      </c>
      <c r="D464" t="str">
        <f>IF(ISBLANK(Record!D465),"",Record!D465)</f>
        <v/>
      </c>
      <c r="E464" t="str">
        <f>IF(ISBLANK(Record!E465),"",Record!E465)</f>
        <v/>
      </c>
      <c r="M464" t="str">
        <f t="shared" si="49"/>
        <v xml:space="preserve">          </v>
      </c>
      <c r="N464" s="227" t="str">
        <f t="shared" si="50"/>
        <v/>
      </c>
      <c r="X464" t="str">
        <f t="shared" si="51"/>
        <v xml:space="preserve">          </v>
      </c>
      <c r="Y464" s="227" t="str">
        <f t="shared" si="52"/>
        <v/>
      </c>
      <c r="Z464" t="str">
        <f t="shared" si="53"/>
        <v/>
      </c>
      <c r="AL464" t="str">
        <f t="shared" si="54"/>
        <v/>
      </c>
      <c r="AM464" t="str">
        <f t="shared" si="55"/>
        <v/>
      </c>
    </row>
    <row r="465" spans="1:39">
      <c r="A465" t="str">
        <f>IF(ISBLANK(Record!A466),"",Record!A466)</f>
        <v/>
      </c>
      <c r="B465" t="str">
        <f>IF(ISBLANK(Record!B466),"",Record!B466)</f>
        <v/>
      </c>
      <c r="C465" s="227" t="str">
        <f>IF(ISBLANK(Record!C466),"",Record!C466)</f>
        <v/>
      </c>
      <c r="D465" t="str">
        <f>IF(ISBLANK(Record!D466),"",Record!D466)</f>
        <v/>
      </c>
      <c r="E465" t="str">
        <f>IF(ISBLANK(Record!E466),"",Record!E466)</f>
        <v/>
      </c>
      <c r="M465" t="str">
        <f t="shared" si="49"/>
        <v xml:space="preserve">          </v>
      </c>
      <c r="N465" s="227" t="str">
        <f t="shared" si="50"/>
        <v/>
      </c>
      <c r="X465" t="str">
        <f t="shared" si="51"/>
        <v xml:space="preserve">          </v>
      </c>
      <c r="Y465" s="227" t="str">
        <f t="shared" si="52"/>
        <v/>
      </c>
      <c r="Z465" t="str">
        <f t="shared" si="53"/>
        <v/>
      </c>
      <c r="AL465" t="str">
        <f t="shared" si="54"/>
        <v/>
      </c>
      <c r="AM465" t="str">
        <f t="shared" si="55"/>
        <v/>
      </c>
    </row>
    <row r="466" spans="1:39">
      <c r="A466" t="str">
        <f>IF(ISBLANK(Record!A467),"",Record!A467)</f>
        <v/>
      </c>
      <c r="B466" t="str">
        <f>IF(ISBLANK(Record!B467),"",Record!B467)</f>
        <v/>
      </c>
      <c r="C466" s="227" t="str">
        <f>IF(ISBLANK(Record!C467),"",Record!C467)</f>
        <v/>
      </c>
      <c r="D466" t="str">
        <f>IF(ISBLANK(Record!D467),"",Record!D467)</f>
        <v/>
      </c>
      <c r="E466" t="str">
        <f>IF(ISBLANK(Record!E467),"",Record!E467)</f>
        <v/>
      </c>
      <c r="M466" t="str">
        <f t="shared" si="49"/>
        <v xml:space="preserve">          </v>
      </c>
      <c r="N466" s="227" t="str">
        <f t="shared" si="50"/>
        <v/>
      </c>
      <c r="X466" t="str">
        <f t="shared" si="51"/>
        <v xml:space="preserve">          </v>
      </c>
      <c r="Y466" s="227" t="str">
        <f t="shared" si="52"/>
        <v/>
      </c>
      <c r="Z466" t="str">
        <f t="shared" si="53"/>
        <v/>
      </c>
      <c r="AL466" t="str">
        <f t="shared" si="54"/>
        <v/>
      </c>
      <c r="AM466" t="str">
        <f t="shared" si="55"/>
        <v/>
      </c>
    </row>
    <row r="467" spans="1:39">
      <c r="A467" t="str">
        <f>IF(ISBLANK(Record!A468),"",Record!A468)</f>
        <v/>
      </c>
      <c r="B467" t="str">
        <f>IF(ISBLANK(Record!B468),"",Record!B468)</f>
        <v/>
      </c>
      <c r="C467" s="227" t="str">
        <f>IF(ISBLANK(Record!C468),"",Record!C468)</f>
        <v/>
      </c>
      <c r="D467" t="str">
        <f>IF(ISBLANK(Record!D468),"",Record!D468)</f>
        <v/>
      </c>
      <c r="E467" t="str">
        <f>IF(ISBLANK(Record!E468),"",Record!E468)</f>
        <v/>
      </c>
      <c r="M467" t="str">
        <f t="shared" si="49"/>
        <v xml:space="preserve">          </v>
      </c>
      <c r="N467" s="227" t="str">
        <f t="shared" si="50"/>
        <v/>
      </c>
      <c r="X467" t="str">
        <f t="shared" si="51"/>
        <v xml:space="preserve">          </v>
      </c>
      <c r="Y467" s="227" t="str">
        <f t="shared" si="52"/>
        <v/>
      </c>
      <c r="Z467" t="str">
        <f t="shared" si="53"/>
        <v/>
      </c>
      <c r="AL467" t="str">
        <f t="shared" si="54"/>
        <v/>
      </c>
      <c r="AM467" t="str">
        <f t="shared" si="55"/>
        <v/>
      </c>
    </row>
    <row r="468" spans="1:39">
      <c r="A468" t="str">
        <f>IF(ISBLANK(Record!A469),"",Record!A469)</f>
        <v/>
      </c>
      <c r="B468" t="str">
        <f>IF(ISBLANK(Record!B469),"",Record!B469)</f>
        <v/>
      </c>
      <c r="C468" s="227" t="str">
        <f>IF(ISBLANK(Record!C469),"",Record!C469)</f>
        <v/>
      </c>
      <c r="D468" t="str">
        <f>IF(ISBLANK(Record!D469),"",Record!D469)</f>
        <v/>
      </c>
      <c r="E468" t="str">
        <f>IF(ISBLANK(Record!E469),"",Record!E469)</f>
        <v/>
      </c>
      <c r="M468" t="str">
        <f t="shared" si="49"/>
        <v xml:space="preserve">          </v>
      </c>
      <c r="N468" s="227" t="str">
        <f t="shared" si="50"/>
        <v/>
      </c>
      <c r="X468" t="str">
        <f t="shared" si="51"/>
        <v xml:space="preserve">          </v>
      </c>
      <c r="Y468" s="227" t="str">
        <f t="shared" si="52"/>
        <v/>
      </c>
      <c r="Z468" t="str">
        <f t="shared" si="53"/>
        <v/>
      </c>
      <c r="AL468" t="str">
        <f t="shared" si="54"/>
        <v/>
      </c>
      <c r="AM468" t="str">
        <f t="shared" si="55"/>
        <v/>
      </c>
    </row>
    <row r="469" spans="1:39">
      <c r="A469" t="str">
        <f>IF(ISBLANK(Record!A470),"",Record!A470)</f>
        <v/>
      </c>
      <c r="B469" t="str">
        <f>IF(ISBLANK(Record!B470),"",Record!B470)</f>
        <v/>
      </c>
      <c r="C469" s="227" t="str">
        <f>IF(ISBLANK(Record!C470),"",Record!C470)</f>
        <v/>
      </c>
      <c r="D469" t="str">
        <f>IF(ISBLANK(Record!D470),"",Record!D470)</f>
        <v/>
      </c>
      <c r="E469" t="str">
        <f>IF(ISBLANK(Record!E470),"",Record!E470)</f>
        <v/>
      </c>
      <c r="M469" t="str">
        <f t="shared" si="49"/>
        <v xml:space="preserve">          </v>
      </c>
      <c r="N469" s="227" t="str">
        <f t="shared" si="50"/>
        <v/>
      </c>
      <c r="X469" t="str">
        <f t="shared" si="51"/>
        <v xml:space="preserve">          </v>
      </c>
      <c r="Y469" s="227" t="str">
        <f t="shared" si="52"/>
        <v/>
      </c>
      <c r="Z469" t="str">
        <f t="shared" si="53"/>
        <v/>
      </c>
      <c r="AL469" t="str">
        <f t="shared" si="54"/>
        <v/>
      </c>
      <c r="AM469" t="str">
        <f t="shared" si="55"/>
        <v/>
      </c>
    </row>
    <row r="470" spans="1:39">
      <c r="A470" t="str">
        <f>IF(ISBLANK(Record!A471),"",Record!A471)</f>
        <v/>
      </c>
      <c r="B470" t="str">
        <f>IF(ISBLANK(Record!B471),"",Record!B471)</f>
        <v/>
      </c>
      <c r="C470" s="227" t="str">
        <f>IF(ISBLANK(Record!C471),"",Record!C471)</f>
        <v/>
      </c>
      <c r="D470" t="str">
        <f>IF(ISBLANK(Record!D471),"",Record!D471)</f>
        <v/>
      </c>
      <c r="E470" t="str">
        <f>IF(ISBLANK(Record!E471),"",Record!E471)</f>
        <v/>
      </c>
      <c r="M470" t="str">
        <f t="shared" si="49"/>
        <v xml:space="preserve">          </v>
      </c>
      <c r="N470" s="227" t="str">
        <f t="shared" si="50"/>
        <v/>
      </c>
      <c r="X470" t="str">
        <f t="shared" si="51"/>
        <v xml:space="preserve">          </v>
      </c>
      <c r="Y470" s="227" t="str">
        <f t="shared" si="52"/>
        <v/>
      </c>
      <c r="Z470" t="str">
        <f t="shared" si="53"/>
        <v/>
      </c>
      <c r="AL470" t="str">
        <f t="shared" si="54"/>
        <v/>
      </c>
      <c r="AM470" t="str">
        <f t="shared" si="55"/>
        <v/>
      </c>
    </row>
    <row r="471" spans="1:39">
      <c r="A471" t="str">
        <f>IF(ISBLANK(Record!A472),"",Record!A472)</f>
        <v/>
      </c>
      <c r="B471" t="str">
        <f>IF(ISBLANK(Record!B472),"",Record!B472)</f>
        <v/>
      </c>
      <c r="C471" s="227" t="str">
        <f>IF(ISBLANK(Record!C472),"",Record!C472)</f>
        <v/>
      </c>
      <c r="D471" t="str">
        <f>IF(ISBLANK(Record!D472),"",Record!D472)</f>
        <v/>
      </c>
      <c r="E471" t="str">
        <f>IF(ISBLANK(Record!E472),"",Record!E472)</f>
        <v/>
      </c>
      <c r="M471" t="str">
        <f t="shared" si="49"/>
        <v xml:space="preserve">          </v>
      </c>
      <c r="N471" s="227" t="str">
        <f t="shared" si="50"/>
        <v/>
      </c>
      <c r="X471" t="str">
        <f t="shared" si="51"/>
        <v xml:space="preserve">          </v>
      </c>
      <c r="Y471" s="227" t="str">
        <f t="shared" si="52"/>
        <v/>
      </c>
      <c r="Z471" t="str">
        <f t="shared" si="53"/>
        <v/>
      </c>
      <c r="AL471" t="str">
        <f t="shared" si="54"/>
        <v/>
      </c>
      <c r="AM471" t="str">
        <f t="shared" si="55"/>
        <v/>
      </c>
    </row>
    <row r="472" spans="1:39">
      <c r="A472" t="str">
        <f>IF(ISBLANK(Record!A473),"",Record!A473)</f>
        <v/>
      </c>
      <c r="B472" t="str">
        <f>IF(ISBLANK(Record!B473),"",Record!B473)</f>
        <v/>
      </c>
      <c r="C472" s="227" t="str">
        <f>IF(ISBLANK(Record!C473),"",Record!C473)</f>
        <v/>
      </c>
      <c r="D472" t="str">
        <f>IF(ISBLANK(Record!D473),"",Record!D473)</f>
        <v/>
      </c>
      <c r="E472" t="str">
        <f>IF(ISBLANK(Record!E473),"",Record!E473)</f>
        <v/>
      </c>
      <c r="M472" t="str">
        <f t="shared" si="49"/>
        <v xml:space="preserve">          </v>
      </c>
      <c r="N472" s="227" t="str">
        <f t="shared" si="50"/>
        <v/>
      </c>
      <c r="X472" t="str">
        <f t="shared" si="51"/>
        <v xml:space="preserve">          </v>
      </c>
      <c r="Y472" s="227" t="str">
        <f t="shared" si="52"/>
        <v/>
      </c>
      <c r="Z472" t="str">
        <f t="shared" si="53"/>
        <v/>
      </c>
      <c r="AL472" t="str">
        <f t="shared" si="54"/>
        <v/>
      </c>
      <c r="AM472" t="str">
        <f t="shared" si="55"/>
        <v/>
      </c>
    </row>
    <row r="473" spans="1:39">
      <c r="A473" t="str">
        <f>IF(ISBLANK(Record!A474),"",Record!A474)</f>
        <v/>
      </c>
      <c r="B473" t="str">
        <f>IF(ISBLANK(Record!B474),"",Record!B474)</f>
        <v/>
      </c>
      <c r="C473" s="227" t="str">
        <f>IF(ISBLANK(Record!C474),"",Record!C474)</f>
        <v/>
      </c>
      <c r="D473" t="str">
        <f>IF(ISBLANK(Record!D474),"",Record!D474)</f>
        <v/>
      </c>
      <c r="E473" t="str">
        <f>IF(ISBLANK(Record!E474),"",Record!E474)</f>
        <v/>
      </c>
      <c r="M473" t="str">
        <f t="shared" si="49"/>
        <v xml:space="preserve">          </v>
      </c>
      <c r="N473" s="227" t="str">
        <f t="shared" si="50"/>
        <v/>
      </c>
      <c r="X473" t="str">
        <f t="shared" si="51"/>
        <v xml:space="preserve">          </v>
      </c>
      <c r="Y473" s="227" t="str">
        <f t="shared" si="52"/>
        <v/>
      </c>
      <c r="Z473" t="str">
        <f t="shared" si="53"/>
        <v/>
      </c>
      <c r="AL473" t="str">
        <f t="shared" si="54"/>
        <v/>
      </c>
      <c r="AM473" t="str">
        <f t="shared" si="55"/>
        <v/>
      </c>
    </row>
    <row r="474" spans="1:39">
      <c r="A474" t="str">
        <f>IF(ISBLANK(Record!A475),"",Record!A475)</f>
        <v/>
      </c>
      <c r="B474" t="str">
        <f>IF(ISBLANK(Record!B475),"",Record!B475)</f>
        <v/>
      </c>
      <c r="C474" s="227" t="str">
        <f>IF(ISBLANK(Record!C475),"",Record!C475)</f>
        <v/>
      </c>
      <c r="D474" t="str">
        <f>IF(ISBLANK(Record!D475),"",Record!D475)</f>
        <v/>
      </c>
      <c r="E474" t="str">
        <f>IF(ISBLANK(Record!E475),"",Record!E475)</f>
        <v/>
      </c>
      <c r="M474" t="str">
        <f t="shared" si="49"/>
        <v xml:space="preserve">          </v>
      </c>
      <c r="N474" s="227" t="str">
        <f t="shared" si="50"/>
        <v/>
      </c>
      <c r="X474" t="str">
        <f t="shared" si="51"/>
        <v xml:space="preserve">          </v>
      </c>
      <c r="Y474" s="227" t="str">
        <f t="shared" si="52"/>
        <v/>
      </c>
      <c r="Z474" t="str">
        <f t="shared" si="53"/>
        <v/>
      </c>
      <c r="AL474" t="str">
        <f t="shared" si="54"/>
        <v/>
      </c>
      <c r="AM474" t="str">
        <f t="shared" si="55"/>
        <v/>
      </c>
    </row>
    <row r="475" spans="1:39">
      <c r="A475" t="str">
        <f>IF(ISBLANK(Record!A476),"",Record!A476)</f>
        <v/>
      </c>
      <c r="B475" t="str">
        <f>IF(ISBLANK(Record!B476),"",Record!B476)</f>
        <v/>
      </c>
      <c r="C475" s="227" t="str">
        <f>IF(ISBLANK(Record!C476),"",Record!C476)</f>
        <v/>
      </c>
      <c r="D475" t="str">
        <f>IF(ISBLANK(Record!D476),"",Record!D476)</f>
        <v/>
      </c>
      <c r="E475" t="str">
        <f>IF(ISBLANK(Record!E476),"",Record!E476)</f>
        <v/>
      </c>
      <c r="M475" t="str">
        <f t="shared" si="49"/>
        <v xml:space="preserve">          </v>
      </c>
      <c r="N475" s="227" t="str">
        <f t="shared" si="50"/>
        <v/>
      </c>
      <c r="X475" t="str">
        <f t="shared" si="51"/>
        <v xml:space="preserve">          </v>
      </c>
      <c r="Y475" s="227" t="str">
        <f t="shared" si="52"/>
        <v/>
      </c>
      <c r="Z475" t="str">
        <f t="shared" si="53"/>
        <v/>
      </c>
      <c r="AL475" t="str">
        <f t="shared" si="54"/>
        <v/>
      </c>
      <c r="AM475" t="str">
        <f t="shared" si="55"/>
        <v/>
      </c>
    </row>
    <row r="476" spans="1:39">
      <c r="A476" t="str">
        <f>IF(ISBLANK(Record!A477),"",Record!A477)</f>
        <v/>
      </c>
      <c r="B476" t="str">
        <f>IF(ISBLANK(Record!B477),"",Record!B477)</f>
        <v/>
      </c>
      <c r="C476" s="227" t="str">
        <f>IF(ISBLANK(Record!C477),"",Record!C477)</f>
        <v/>
      </c>
      <c r="D476" t="str">
        <f>IF(ISBLANK(Record!D477),"",Record!D477)</f>
        <v/>
      </c>
      <c r="E476" t="str">
        <f>IF(ISBLANK(Record!E477),"",Record!E477)</f>
        <v/>
      </c>
      <c r="M476" t="str">
        <f t="shared" si="49"/>
        <v xml:space="preserve">          </v>
      </c>
      <c r="N476" s="227" t="str">
        <f t="shared" si="50"/>
        <v/>
      </c>
      <c r="X476" t="str">
        <f t="shared" si="51"/>
        <v xml:space="preserve">          </v>
      </c>
      <c r="Y476" s="227" t="str">
        <f t="shared" si="52"/>
        <v/>
      </c>
      <c r="Z476" t="str">
        <f t="shared" si="53"/>
        <v/>
      </c>
      <c r="AL476" t="str">
        <f t="shared" si="54"/>
        <v/>
      </c>
      <c r="AM476" t="str">
        <f t="shared" si="55"/>
        <v/>
      </c>
    </row>
    <row r="477" spans="1:39">
      <c r="A477" t="str">
        <f>IF(ISBLANK(Record!A478),"",Record!A478)</f>
        <v/>
      </c>
      <c r="B477" t="str">
        <f>IF(ISBLANK(Record!B478),"",Record!B478)</f>
        <v/>
      </c>
      <c r="C477" s="227" t="str">
        <f>IF(ISBLANK(Record!C478),"",Record!C478)</f>
        <v/>
      </c>
      <c r="D477" t="str">
        <f>IF(ISBLANK(Record!D478),"",Record!D478)</f>
        <v/>
      </c>
      <c r="E477" t="str">
        <f>IF(ISBLANK(Record!E478),"",Record!E478)</f>
        <v/>
      </c>
      <c r="M477" t="str">
        <f t="shared" si="49"/>
        <v xml:space="preserve">          </v>
      </c>
      <c r="N477" s="227" t="str">
        <f t="shared" si="50"/>
        <v/>
      </c>
      <c r="X477" t="str">
        <f t="shared" si="51"/>
        <v xml:space="preserve">          </v>
      </c>
      <c r="Y477" s="227" t="str">
        <f t="shared" si="52"/>
        <v/>
      </c>
      <c r="Z477" t="str">
        <f t="shared" si="53"/>
        <v/>
      </c>
      <c r="AL477" t="str">
        <f t="shared" si="54"/>
        <v/>
      </c>
      <c r="AM477" t="str">
        <f t="shared" si="55"/>
        <v/>
      </c>
    </row>
    <row r="478" spans="1:39">
      <c r="A478" t="str">
        <f>IF(ISBLANK(Record!A479),"",Record!A479)</f>
        <v/>
      </c>
      <c r="B478" t="str">
        <f>IF(ISBLANK(Record!B479),"",Record!B479)</f>
        <v/>
      </c>
      <c r="C478" s="227" t="str">
        <f>IF(ISBLANK(Record!C479),"",Record!C479)</f>
        <v/>
      </c>
      <c r="D478" t="str">
        <f>IF(ISBLANK(Record!D479),"",Record!D479)</f>
        <v/>
      </c>
      <c r="E478" t="str">
        <f>IF(ISBLANK(Record!E479),"",Record!E479)</f>
        <v/>
      </c>
      <c r="M478" t="str">
        <f t="shared" si="49"/>
        <v xml:space="preserve">          </v>
      </c>
      <c r="N478" s="227" t="str">
        <f t="shared" si="50"/>
        <v/>
      </c>
      <c r="X478" t="str">
        <f t="shared" si="51"/>
        <v xml:space="preserve">          </v>
      </c>
      <c r="Y478" s="227" t="str">
        <f t="shared" si="52"/>
        <v/>
      </c>
      <c r="Z478" t="str">
        <f t="shared" si="53"/>
        <v/>
      </c>
      <c r="AL478" t="str">
        <f t="shared" si="54"/>
        <v/>
      </c>
      <c r="AM478" t="str">
        <f t="shared" si="55"/>
        <v/>
      </c>
    </row>
    <row r="479" spans="1:39">
      <c r="A479" t="str">
        <f>IF(ISBLANK(Record!A480),"",Record!A480)</f>
        <v/>
      </c>
      <c r="B479" t="str">
        <f>IF(ISBLANK(Record!B480),"",Record!B480)</f>
        <v/>
      </c>
      <c r="C479" s="227" t="str">
        <f>IF(ISBLANK(Record!C480),"",Record!C480)</f>
        <v/>
      </c>
      <c r="D479" t="str">
        <f>IF(ISBLANK(Record!D480),"",Record!D480)</f>
        <v/>
      </c>
      <c r="E479" t="str">
        <f>IF(ISBLANK(Record!E480),"",Record!E480)</f>
        <v/>
      </c>
      <c r="M479" t="str">
        <f t="shared" si="49"/>
        <v xml:space="preserve">          </v>
      </c>
      <c r="N479" s="227" t="str">
        <f t="shared" si="50"/>
        <v/>
      </c>
      <c r="X479" t="str">
        <f t="shared" si="51"/>
        <v xml:space="preserve">          </v>
      </c>
      <c r="Y479" s="227" t="str">
        <f t="shared" si="52"/>
        <v/>
      </c>
      <c r="Z479" t="str">
        <f t="shared" si="53"/>
        <v/>
      </c>
      <c r="AL479" t="str">
        <f t="shared" si="54"/>
        <v/>
      </c>
      <c r="AM479" t="str">
        <f t="shared" si="55"/>
        <v/>
      </c>
    </row>
    <row r="480" spans="1:39">
      <c r="A480" t="str">
        <f>IF(ISBLANK(Record!A481),"",Record!A481)</f>
        <v/>
      </c>
      <c r="B480" t="str">
        <f>IF(ISBLANK(Record!B481),"",Record!B481)</f>
        <v/>
      </c>
      <c r="C480" s="227" t="str">
        <f>IF(ISBLANK(Record!C481),"",Record!C481)</f>
        <v/>
      </c>
      <c r="D480" t="str">
        <f>IF(ISBLANK(Record!D481),"",Record!D481)</f>
        <v/>
      </c>
      <c r="E480" t="str">
        <f>IF(ISBLANK(Record!E481),"",Record!E481)</f>
        <v/>
      </c>
      <c r="M480" t="str">
        <f t="shared" si="49"/>
        <v xml:space="preserve">          </v>
      </c>
      <c r="N480" s="227" t="str">
        <f t="shared" si="50"/>
        <v/>
      </c>
      <c r="X480" t="str">
        <f t="shared" si="51"/>
        <v xml:space="preserve">          </v>
      </c>
      <c r="Y480" s="227" t="str">
        <f t="shared" si="52"/>
        <v/>
      </c>
      <c r="Z480" t="str">
        <f t="shared" si="53"/>
        <v/>
      </c>
      <c r="AL480" t="str">
        <f t="shared" si="54"/>
        <v/>
      </c>
      <c r="AM480" t="str">
        <f t="shared" si="55"/>
        <v/>
      </c>
    </row>
    <row r="481" spans="1:39">
      <c r="A481" t="str">
        <f>IF(ISBLANK(Record!A482),"",Record!A482)</f>
        <v/>
      </c>
      <c r="B481" t="str">
        <f>IF(ISBLANK(Record!B482),"",Record!B482)</f>
        <v/>
      </c>
      <c r="C481" s="227" t="str">
        <f>IF(ISBLANK(Record!C482),"",Record!C482)</f>
        <v/>
      </c>
      <c r="D481" t="str">
        <f>IF(ISBLANK(Record!D482),"",Record!D482)</f>
        <v/>
      </c>
      <c r="E481" t="str">
        <f>IF(ISBLANK(Record!E482),"",Record!E482)</f>
        <v/>
      </c>
      <c r="M481" t="str">
        <f t="shared" si="49"/>
        <v xml:space="preserve">          </v>
      </c>
      <c r="N481" s="227" t="str">
        <f t="shared" si="50"/>
        <v/>
      </c>
      <c r="X481" t="str">
        <f t="shared" si="51"/>
        <v xml:space="preserve">          </v>
      </c>
      <c r="Y481" s="227" t="str">
        <f t="shared" si="52"/>
        <v/>
      </c>
      <c r="Z481" t="str">
        <f t="shared" si="53"/>
        <v/>
      </c>
      <c r="AL481" t="str">
        <f t="shared" si="54"/>
        <v/>
      </c>
      <c r="AM481" t="str">
        <f t="shared" si="55"/>
        <v/>
      </c>
    </row>
    <row r="482" spans="1:39">
      <c r="A482" t="str">
        <f>IF(ISBLANK(Record!A483),"",Record!A483)</f>
        <v/>
      </c>
      <c r="B482" t="str">
        <f>IF(ISBLANK(Record!B483),"",Record!B483)</f>
        <v/>
      </c>
      <c r="C482" s="227" t="str">
        <f>IF(ISBLANK(Record!C483),"",Record!C483)</f>
        <v/>
      </c>
      <c r="D482" t="str">
        <f>IF(ISBLANK(Record!D483),"",Record!D483)</f>
        <v/>
      </c>
      <c r="E482" t="str">
        <f>IF(ISBLANK(Record!E483),"",Record!E483)</f>
        <v/>
      </c>
      <c r="M482" t="str">
        <f t="shared" si="49"/>
        <v xml:space="preserve">          </v>
      </c>
      <c r="N482" s="227" t="str">
        <f t="shared" si="50"/>
        <v/>
      </c>
      <c r="X482" t="str">
        <f t="shared" si="51"/>
        <v xml:space="preserve">          </v>
      </c>
      <c r="Y482" s="227" t="str">
        <f t="shared" si="52"/>
        <v/>
      </c>
      <c r="Z482" t="str">
        <f t="shared" si="53"/>
        <v/>
      </c>
      <c r="AL482" t="str">
        <f t="shared" si="54"/>
        <v/>
      </c>
      <c r="AM482" t="str">
        <f t="shared" si="55"/>
        <v/>
      </c>
    </row>
    <row r="483" spans="1:39">
      <c r="A483" t="str">
        <f>IF(ISBLANK(Record!A484),"",Record!A484)</f>
        <v/>
      </c>
      <c r="B483" t="str">
        <f>IF(ISBLANK(Record!B484),"",Record!B484)</f>
        <v/>
      </c>
      <c r="C483" s="227" t="str">
        <f>IF(ISBLANK(Record!C484),"",Record!C484)</f>
        <v/>
      </c>
      <c r="D483" t="str">
        <f>IF(ISBLANK(Record!D484),"",Record!D484)</f>
        <v/>
      </c>
      <c r="E483" t="str">
        <f>IF(ISBLANK(Record!E484),"",Record!E484)</f>
        <v/>
      </c>
      <c r="M483" t="str">
        <f t="shared" si="49"/>
        <v xml:space="preserve">          </v>
      </c>
      <c r="N483" s="227" t="str">
        <f t="shared" si="50"/>
        <v/>
      </c>
      <c r="X483" t="str">
        <f t="shared" si="51"/>
        <v xml:space="preserve">          </v>
      </c>
      <c r="Y483" s="227" t="str">
        <f t="shared" si="52"/>
        <v/>
      </c>
      <c r="Z483" t="str">
        <f t="shared" si="53"/>
        <v/>
      </c>
      <c r="AL483" t="str">
        <f t="shared" si="54"/>
        <v/>
      </c>
      <c r="AM483" t="str">
        <f t="shared" si="55"/>
        <v/>
      </c>
    </row>
    <row r="484" spans="1:39">
      <c r="A484" t="str">
        <f>IF(ISBLANK(Record!A485),"",Record!A485)</f>
        <v/>
      </c>
      <c r="B484" t="str">
        <f>IF(ISBLANK(Record!B485),"",Record!B485)</f>
        <v/>
      </c>
      <c r="C484" s="227" t="str">
        <f>IF(ISBLANK(Record!C485),"",Record!C485)</f>
        <v/>
      </c>
      <c r="D484" t="str">
        <f>IF(ISBLANK(Record!D485),"",Record!D485)</f>
        <v/>
      </c>
      <c r="E484" t="str">
        <f>IF(ISBLANK(Record!E485),"",Record!E485)</f>
        <v/>
      </c>
      <c r="M484" t="str">
        <f t="shared" si="49"/>
        <v xml:space="preserve">          </v>
      </c>
      <c r="N484" s="227" t="str">
        <f t="shared" si="50"/>
        <v/>
      </c>
      <c r="X484" t="str">
        <f t="shared" si="51"/>
        <v xml:space="preserve">          </v>
      </c>
      <c r="Y484" s="227" t="str">
        <f t="shared" si="52"/>
        <v/>
      </c>
      <c r="Z484" t="str">
        <f t="shared" si="53"/>
        <v/>
      </c>
      <c r="AL484" t="str">
        <f t="shared" si="54"/>
        <v/>
      </c>
      <c r="AM484" t="str">
        <f t="shared" si="55"/>
        <v/>
      </c>
    </row>
    <row r="485" spans="1:39">
      <c r="A485" t="str">
        <f>IF(ISBLANK(Record!A486),"",Record!A486)</f>
        <v/>
      </c>
      <c r="B485" t="str">
        <f>IF(ISBLANK(Record!B486),"",Record!B486)</f>
        <v/>
      </c>
      <c r="C485" s="227" t="str">
        <f>IF(ISBLANK(Record!C486),"",Record!C486)</f>
        <v/>
      </c>
      <c r="D485" t="str">
        <f>IF(ISBLANK(Record!D486),"",Record!D486)</f>
        <v/>
      </c>
      <c r="E485" t="str">
        <f>IF(ISBLANK(Record!E486),"",Record!E486)</f>
        <v/>
      </c>
      <c r="M485" t="str">
        <f t="shared" si="49"/>
        <v xml:space="preserve">          </v>
      </c>
      <c r="N485" s="227" t="str">
        <f t="shared" si="50"/>
        <v/>
      </c>
      <c r="X485" t="str">
        <f t="shared" si="51"/>
        <v xml:space="preserve">          </v>
      </c>
      <c r="Y485" s="227" t="str">
        <f t="shared" si="52"/>
        <v/>
      </c>
      <c r="Z485" t="str">
        <f t="shared" si="53"/>
        <v/>
      </c>
      <c r="AL485" t="str">
        <f t="shared" si="54"/>
        <v/>
      </c>
      <c r="AM485" t="str">
        <f t="shared" si="55"/>
        <v/>
      </c>
    </row>
    <row r="486" spans="1:39">
      <c r="A486" t="str">
        <f>IF(ISBLANK(Record!A487),"",Record!A487)</f>
        <v/>
      </c>
      <c r="B486" t="str">
        <f>IF(ISBLANK(Record!B487),"",Record!B487)</f>
        <v/>
      </c>
      <c r="C486" s="227" t="str">
        <f>IF(ISBLANK(Record!C487),"",Record!C487)</f>
        <v/>
      </c>
      <c r="D486" t="str">
        <f>IF(ISBLANK(Record!D487),"",Record!D487)</f>
        <v/>
      </c>
      <c r="E486" t="str">
        <f>IF(ISBLANK(Record!E487),"",Record!E487)</f>
        <v/>
      </c>
      <c r="M486" t="str">
        <f t="shared" si="49"/>
        <v xml:space="preserve">          </v>
      </c>
      <c r="N486" s="227" t="str">
        <f t="shared" si="50"/>
        <v/>
      </c>
      <c r="X486" t="str">
        <f t="shared" si="51"/>
        <v xml:space="preserve">          </v>
      </c>
      <c r="Y486" s="227" t="str">
        <f t="shared" si="52"/>
        <v/>
      </c>
      <c r="Z486" t="str">
        <f t="shared" si="53"/>
        <v/>
      </c>
      <c r="AL486" t="str">
        <f t="shared" si="54"/>
        <v/>
      </c>
      <c r="AM486" t="str">
        <f t="shared" si="55"/>
        <v/>
      </c>
    </row>
    <row r="487" spans="1:39">
      <c r="A487" t="str">
        <f>IF(ISBLANK(Record!A488),"",Record!A488)</f>
        <v/>
      </c>
      <c r="B487" t="str">
        <f>IF(ISBLANK(Record!B488),"",Record!B488)</f>
        <v/>
      </c>
      <c r="C487" s="227" t="str">
        <f>IF(ISBLANK(Record!C488),"",Record!C488)</f>
        <v/>
      </c>
      <c r="D487" t="str">
        <f>IF(ISBLANK(Record!D488),"",Record!D488)</f>
        <v/>
      </c>
      <c r="E487" t="str">
        <f>IF(ISBLANK(Record!E488),"",Record!E488)</f>
        <v/>
      </c>
      <c r="M487" t="str">
        <f t="shared" si="49"/>
        <v xml:space="preserve">          </v>
      </c>
      <c r="N487" s="227" t="str">
        <f t="shared" si="50"/>
        <v/>
      </c>
      <c r="X487" t="str">
        <f t="shared" si="51"/>
        <v xml:space="preserve">          </v>
      </c>
      <c r="Y487" s="227" t="str">
        <f t="shared" si="52"/>
        <v/>
      </c>
      <c r="Z487" t="str">
        <f t="shared" si="53"/>
        <v/>
      </c>
      <c r="AL487" t="str">
        <f t="shared" si="54"/>
        <v/>
      </c>
      <c r="AM487" t="str">
        <f t="shared" si="55"/>
        <v/>
      </c>
    </row>
    <row r="488" spans="1:39">
      <c r="A488" t="str">
        <f>IF(ISBLANK(Record!A489),"",Record!A489)</f>
        <v/>
      </c>
      <c r="B488" t="str">
        <f>IF(ISBLANK(Record!B489),"",Record!B489)</f>
        <v/>
      </c>
      <c r="C488" s="227" t="str">
        <f>IF(ISBLANK(Record!C489),"",Record!C489)</f>
        <v/>
      </c>
      <c r="D488" t="str">
        <f>IF(ISBLANK(Record!D489),"",Record!D489)</f>
        <v/>
      </c>
      <c r="E488" t="str">
        <f>IF(ISBLANK(Record!E489),"",Record!E489)</f>
        <v/>
      </c>
      <c r="M488" t="str">
        <f t="shared" si="49"/>
        <v xml:space="preserve">          </v>
      </c>
      <c r="N488" s="227" t="str">
        <f t="shared" si="50"/>
        <v/>
      </c>
      <c r="X488" t="str">
        <f t="shared" si="51"/>
        <v xml:space="preserve">          </v>
      </c>
      <c r="Y488" s="227" t="str">
        <f t="shared" si="52"/>
        <v/>
      </c>
      <c r="Z488" t="str">
        <f t="shared" si="53"/>
        <v/>
      </c>
      <c r="AL488" t="str">
        <f t="shared" si="54"/>
        <v/>
      </c>
      <c r="AM488" t="str">
        <f t="shared" si="55"/>
        <v/>
      </c>
    </row>
    <row r="489" spans="1:39">
      <c r="A489" t="str">
        <f>IF(ISBLANK(Record!A490),"",Record!A490)</f>
        <v/>
      </c>
      <c r="B489" t="str">
        <f>IF(ISBLANK(Record!B490),"",Record!B490)</f>
        <v/>
      </c>
      <c r="C489" s="227" t="str">
        <f>IF(ISBLANK(Record!C490),"",Record!C490)</f>
        <v/>
      </c>
      <c r="D489" t="str">
        <f>IF(ISBLANK(Record!D490),"",Record!D490)</f>
        <v/>
      </c>
      <c r="E489" t="str">
        <f>IF(ISBLANK(Record!E490),"",Record!E490)</f>
        <v/>
      </c>
      <c r="M489" t="str">
        <f t="shared" si="49"/>
        <v xml:space="preserve">          </v>
      </c>
      <c r="N489" s="227" t="str">
        <f t="shared" si="50"/>
        <v/>
      </c>
      <c r="X489" t="str">
        <f t="shared" si="51"/>
        <v xml:space="preserve">          </v>
      </c>
      <c r="Y489" s="227" t="str">
        <f t="shared" si="52"/>
        <v/>
      </c>
      <c r="Z489" t="str">
        <f t="shared" si="53"/>
        <v/>
      </c>
      <c r="AL489" t="str">
        <f t="shared" si="54"/>
        <v/>
      </c>
      <c r="AM489" t="str">
        <f t="shared" si="55"/>
        <v/>
      </c>
    </row>
    <row r="490" spans="1:39">
      <c r="A490" t="str">
        <f>IF(ISBLANK(Record!A491),"",Record!A491)</f>
        <v/>
      </c>
      <c r="B490" t="str">
        <f>IF(ISBLANK(Record!B491),"",Record!B491)</f>
        <v/>
      </c>
      <c r="C490" s="227" t="str">
        <f>IF(ISBLANK(Record!C491),"",Record!C491)</f>
        <v/>
      </c>
      <c r="D490" t="str">
        <f>IF(ISBLANK(Record!D491),"",Record!D491)</f>
        <v/>
      </c>
      <c r="E490" t="str">
        <f>IF(ISBLANK(Record!E491),"",Record!E491)</f>
        <v/>
      </c>
      <c r="M490" t="str">
        <f t="shared" si="49"/>
        <v xml:space="preserve">          </v>
      </c>
      <c r="N490" s="227" t="str">
        <f t="shared" si="50"/>
        <v/>
      </c>
      <c r="X490" t="str">
        <f t="shared" si="51"/>
        <v xml:space="preserve">          </v>
      </c>
      <c r="Y490" s="227" t="str">
        <f t="shared" si="52"/>
        <v/>
      </c>
      <c r="Z490" t="str">
        <f t="shared" si="53"/>
        <v/>
      </c>
      <c r="AL490" t="str">
        <f t="shared" si="54"/>
        <v/>
      </c>
      <c r="AM490" t="str">
        <f t="shared" si="55"/>
        <v/>
      </c>
    </row>
    <row r="491" spans="1:39">
      <c r="A491" t="str">
        <f>IF(ISBLANK(Record!A492),"",Record!A492)</f>
        <v/>
      </c>
      <c r="B491" t="str">
        <f>IF(ISBLANK(Record!B492),"",Record!B492)</f>
        <v/>
      </c>
      <c r="C491" s="227" t="str">
        <f>IF(ISBLANK(Record!C492),"",Record!C492)</f>
        <v/>
      </c>
      <c r="D491" t="str">
        <f>IF(ISBLANK(Record!D492),"",Record!D492)</f>
        <v/>
      </c>
      <c r="E491" t="str">
        <f>IF(ISBLANK(Record!E492),"",Record!E492)</f>
        <v/>
      </c>
      <c r="M491" t="str">
        <f t="shared" si="49"/>
        <v xml:space="preserve">          </v>
      </c>
      <c r="N491" s="227" t="str">
        <f t="shared" si="50"/>
        <v/>
      </c>
      <c r="X491" t="str">
        <f t="shared" si="51"/>
        <v xml:space="preserve">          </v>
      </c>
      <c r="Y491" s="227" t="str">
        <f t="shared" si="52"/>
        <v/>
      </c>
      <c r="Z491" t="str">
        <f t="shared" si="53"/>
        <v/>
      </c>
      <c r="AL491" t="str">
        <f t="shared" si="54"/>
        <v/>
      </c>
      <c r="AM491" t="str">
        <f t="shared" si="55"/>
        <v/>
      </c>
    </row>
    <row r="492" spans="1:39">
      <c r="A492" t="str">
        <f>IF(ISBLANK(Record!A493),"",Record!A493)</f>
        <v/>
      </c>
      <c r="B492" t="str">
        <f>IF(ISBLANK(Record!B493),"",Record!B493)</f>
        <v/>
      </c>
      <c r="C492" s="227" t="str">
        <f>IF(ISBLANK(Record!C493),"",Record!C493)</f>
        <v/>
      </c>
      <c r="D492" t="str">
        <f>IF(ISBLANK(Record!D493),"",Record!D493)</f>
        <v/>
      </c>
      <c r="E492" t="str">
        <f>IF(ISBLANK(Record!E493),"",Record!E493)</f>
        <v/>
      </c>
      <c r="M492" t="str">
        <f t="shared" si="49"/>
        <v xml:space="preserve">          </v>
      </c>
      <c r="N492" s="227" t="str">
        <f t="shared" si="50"/>
        <v/>
      </c>
      <c r="X492" t="str">
        <f t="shared" si="51"/>
        <v xml:space="preserve">          </v>
      </c>
      <c r="Y492" s="227" t="str">
        <f t="shared" si="52"/>
        <v/>
      </c>
      <c r="Z492" t="str">
        <f t="shared" si="53"/>
        <v/>
      </c>
      <c r="AL492" t="str">
        <f t="shared" si="54"/>
        <v/>
      </c>
      <c r="AM492" t="str">
        <f t="shared" si="55"/>
        <v/>
      </c>
    </row>
    <row r="493" spans="1:39">
      <c r="A493" t="str">
        <f>IF(ISBLANK(Record!A494),"",Record!A494)</f>
        <v/>
      </c>
      <c r="B493" t="str">
        <f>IF(ISBLANK(Record!B494),"",Record!B494)</f>
        <v/>
      </c>
      <c r="C493" s="227" t="str">
        <f>IF(ISBLANK(Record!C494),"",Record!C494)</f>
        <v/>
      </c>
      <c r="D493" t="str">
        <f>IF(ISBLANK(Record!D494),"",Record!D494)</f>
        <v/>
      </c>
      <c r="E493" t="str">
        <f>IF(ISBLANK(Record!E494),"",Record!E494)</f>
        <v/>
      </c>
      <c r="M493" t="str">
        <f t="shared" si="49"/>
        <v xml:space="preserve">          </v>
      </c>
      <c r="N493" s="227" t="str">
        <f t="shared" si="50"/>
        <v/>
      </c>
      <c r="X493" t="str">
        <f t="shared" si="51"/>
        <v xml:space="preserve">          </v>
      </c>
      <c r="Y493" s="227" t="str">
        <f t="shared" si="52"/>
        <v/>
      </c>
      <c r="Z493" t="str">
        <f t="shared" si="53"/>
        <v/>
      </c>
      <c r="AL493" t="str">
        <f t="shared" si="54"/>
        <v/>
      </c>
      <c r="AM493" t="str">
        <f t="shared" si="55"/>
        <v/>
      </c>
    </row>
    <row r="494" spans="1:39">
      <c r="A494" t="str">
        <f>IF(ISBLANK(Record!A495),"",Record!A495)</f>
        <v/>
      </c>
      <c r="B494" t="str">
        <f>IF(ISBLANK(Record!B495),"",Record!B495)</f>
        <v/>
      </c>
      <c r="C494" s="227" t="str">
        <f>IF(ISBLANK(Record!C495),"",Record!C495)</f>
        <v/>
      </c>
      <c r="D494" t="str">
        <f>IF(ISBLANK(Record!D495),"",Record!D495)</f>
        <v/>
      </c>
      <c r="E494" t="str">
        <f>IF(ISBLANK(Record!E495),"",Record!E495)</f>
        <v/>
      </c>
      <c r="M494" t="str">
        <f t="shared" si="49"/>
        <v xml:space="preserve">          </v>
      </c>
      <c r="N494" s="227" t="str">
        <f t="shared" si="50"/>
        <v/>
      </c>
      <c r="X494" t="str">
        <f t="shared" si="51"/>
        <v xml:space="preserve">          </v>
      </c>
      <c r="Y494" s="227" t="str">
        <f t="shared" si="52"/>
        <v/>
      </c>
      <c r="Z494" t="str">
        <f t="shared" si="53"/>
        <v/>
      </c>
      <c r="AL494" t="str">
        <f t="shared" si="54"/>
        <v/>
      </c>
      <c r="AM494" t="str">
        <f t="shared" si="55"/>
        <v/>
      </c>
    </row>
    <row r="495" spans="1:39">
      <c r="A495" t="str">
        <f>IF(ISBLANK(Record!A496),"",Record!A496)</f>
        <v/>
      </c>
      <c r="B495" t="str">
        <f>IF(ISBLANK(Record!B496),"",Record!B496)</f>
        <v/>
      </c>
      <c r="C495" s="227" t="str">
        <f>IF(ISBLANK(Record!C496),"",Record!C496)</f>
        <v/>
      </c>
      <c r="D495" t="str">
        <f>IF(ISBLANK(Record!D496),"",Record!D496)</f>
        <v/>
      </c>
      <c r="E495" t="str">
        <f>IF(ISBLANK(Record!E496),"",Record!E496)</f>
        <v/>
      </c>
      <c r="M495" t="str">
        <f t="shared" si="49"/>
        <v xml:space="preserve">          </v>
      </c>
      <c r="N495" s="227" t="str">
        <f t="shared" si="50"/>
        <v/>
      </c>
      <c r="X495" t="str">
        <f t="shared" si="51"/>
        <v xml:space="preserve">          </v>
      </c>
      <c r="Y495" s="227" t="str">
        <f t="shared" si="52"/>
        <v/>
      </c>
      <c r="Z495" t="str">
        <f t="shared" si="53"/>
        <v/>
      </c>
      <c r="AL495" t="str">
        <f t="shared" si="54"/>
        <v/>
      </c>
      <c r="AM495" t="str">
        <f t="shared" si="55"/>
        <v/>
      </c>
    </row>
    <row r="496" spans="1:39">
      <c r="A496" t="str">
        <f>IF(ISBLANK(Record!A497),"",Record!A497)</f>
        <v/>
      </c>
      <c r="B496" t="str">
        <f>IF(ISBLANK(Record!B497),"",Record!B497)</f>
        <v/>
      </c>
      <c r="C496" s="227" t="str">
        <f>IF(ISBLANK(Record!C497),"",Record!C497)</f>
        <v/>
      </c>
      <c r="D496" t="str">
        <f>IF(ISBLANK(Record!D497),"",Record!D497)</f>
        <v/>
      </c>
      <c r="E496" t="str">
        <f>IF(ISBLANK(Record!E497),"",Record!E497)</f>
        <v/>
      </c>
      <c r="M496" t="str">
        <f t="shared" si="49"/>
        <v xml:space="preserve">          </v>
      </c>
      <c r="N496" s="227" t="str">
        <f t="shared" si="50"/>
        <v/>
      </c>
      <c r="X496" t="str">
        <f t="shared" si="51"/>
        <v xml:space="preserve">          </v>
      </c>
      <c r="Y496" s="227" t="str">
        <f t="shared" si="52"/>
        <v/>
      </c>
      <c r="Z496" t="str">
        <f t="shared" si="53"/>
        <v/>
      </c>
      <c r="AL496" t="str">
        <f t="shared" si="54"/>
        <v/>
      </c>
      <c r="AM496" t="str">
        <f t="shared" si="55"/>
        <v/>
      </c>
    </row>
    <row r="497" spans="1:39">
      <c r="A497" t="str">
        <f>IF(ISBLANK(Record!A498),"",Record!A498)</f>
        <v/>
      </c>
      <c r="B497" t="str">
        <f>IF(ISBLANK(Record!B498),"",Record!B498)</f>
        <v/>
      </c>
      <c r="C497" s="227" t="str">
        <f>IF(ISBLANK(Record!C498),"",Record!C498)</f>
        <v/>
      </c>
      <c r="D497" t="str">
        <f>IF(ISBLANK(Record!D498),"",Record!D498)</f>
        <v/>
      </c>
      <c r="E497" t="str">
        <f>IF(ISBLANK(Record!E498),"",Record!E498)</f>
        <v/>
      </c>
      <c r="M497" t="str">
        <f t="shared" si="49"/>
        <v xml:space="preserve">          </v>
      </c>
      <c r="N497" s="227" t="str">
        <f t="shared" si="50"/>
        <v/>
      </c>
      <c r="X497" t="str">
        <f t="shared" si="51"/>
        <v xml:space="preserve">          </v>
      </c>
      <c r="Y497" s="227" t="str">
        <f t="shared" si="52"/>
        <v/>
      </c>
      <c r="Z497" t="str">
        <f t="shared" si="53"/>
        <v/>
      </c>
      <c r="AL497" t="str">
        <f t="shared" si="54"/>
        <v/>
      </c>
      <c r="AM497" t="str">
        <f t="shared" si="55"/>
        <v/>
      </c>
    </row>
    <row r="498" spans="1:39">
      <c r="A498" t="str">
        <f>IF(ISBLANK(Record!A499),"",Record!A499)</f>
        <v/>
      </c>
      <c r="B498" t="str">
        <f>IF(ISBLANK(Record!B499),"",Record!B499)</f>
        <v/>
      </c>
      <c r="C498" s="227" t="str">
        <f>IF(ISBLANK(Record!C499),"",Record!C499)</f>
        <v/>
      </c>
      <c r="D498" t="str">
        <f>IF(ISBLANK(Record!D499),"",Record!D499)</f>
        <v/>
      </c>
      <c r="E498" t="str">
        <f>IF(ISBLANK(Record!E499),"",Record!E499)</f>
        <v/>
      </c>
      <c r="M498" t="str">
        <f t="shared" si="49"/>
        <v xml:space="preserve">          </v>
      </c>
      <c r="N498" s="227" t="str">
        <f t="shared" si="50"/>
        <v/>
      </c>
      <c r="X498" t="str">
        <f t="shared" si="51"/>
        <v xml:space="preserve">          </v>
      </c>
      <c r="Y498" s="227" t="str">
        <f t="shared" si="52"/>
        <v/>
      </c>
      <c r="Z498" t="str">
        <f t="shared" si="53"/>
        <v/>
      </c>
      <c r="AL498" t="str">
        <f t="shared" si="54"/>
        <v/>
      </c>
      <c r="AM498" t="str">
        <f t="shared" si="55"/>
        <v/>
      </c>
    </row>
    <row r="499" spans="1:39">
      <c r="A499" t="str">
        <f>IF(ISBLANK(Record!A500),"",Record!A500)</f>
        <v/>
      </c>
      <c r="B499" t="str">
        <f>IF(ISBLANK(Record!B500),"",Record!B500)</f>
        <v/>
      </c>
      <c r="C499" s="227" t="str">
        <f>IF(ISBLANK(Record!C500),"",Record!C500)</f>
        <v/>
      </c>
      <c r="D499" t="str">
        <f>IF(ISBLANK(Record!D500),"",Record!D500)</f>
        <v/>
      </c>
      <c r="E499" t="str">
        <f>IF(ISBLANK(Record!E500),"",Record!E500)</f>
        <v/>
      </c>
      <c r="M499" t="str">
        <f t="shared" si="49"/>
        <v xml:space="preserve">          </v>
      </c>
      <c r="N499" s="227" t="str">
        <f t="shared" si="50"/>
        <v/>
      </c>
      <c r="X499" t="str">
        <f t="shared" si="51"/>
        <v xml:space="preserve">          </v>
      </c>
      <c r="Y499" s="227" t="str">
        <f t="shared" si="52"/>
        <v/>
      </c>
      <c r="Z499" t="str">
        <f t="shared" si="53"/>
        <v/>
      </c>
      <c r="AL499" t="str">
        <f t="shared" si="54"/>
        <v/>
      </c>
      <c r="AM499" t="str">
        <f t="shared" si="55"/>
        <v/>
      </c>
    </row>
    <row r="500" spans="1:39">
      <c r="A500" t="str">
        <f>IF(ISBLANK(Record!A501),"",Record!A501)</f>
        <v/>
      </c>
      <c r="B500" t="str">
        <f>IF(ISBLANK(Record!B501),"",Record!B501)</f>
        <v/>
      </c>
      <c r="C500" s="227" t="str">
        <f>IF(ISBLANK(Record!C501),"",Record!C501)</f>
        <v/>
      </c>
      <c r="D500" t="str">
        <f>IF(ISBLANK(Record!D501),"",Record!D501)</f>
        <v/>
      </c>
      <c r="E500" t="str">
        <f>IF(ISBLANK(Record!E501),"",Record!E501)</f>
        <v/>
      </c>
      <c r="M500" t="str">
        <f t="shared" si="49"/>
        <v xml:space="preserve">          </v>
      </c>
      <c r="N500" s="227" t="str">
        <f t="shared" si="50"/>
        <v/>
      </c>
      <c r="X500" t="str">
        <f t="shared" si="51"/>
        <v xml:space="preserve">          </v>
      </c>
      <c r="Y500" s="227" t="str">
        <f t="shared" si="52"/>
        <v/>
      </c>
      <c r="Z500" t="str">
        <f t="shared" si="53"/>
        <v/>
      </c>
      <c r="AL500" t="str">
        <f t="shared" si="54"/>
        <v/>
      </c>
      <c r="AM500" t="str">
        <f t="shared" si="55"/>
        <v/>
      </c>
    </row>
    <row r="501" spans="1:39">
      <c r="A501" t="str">
        <f>IF(ISBLANK(Record!A502),"",Record!A502)</f>
        <v/>
      </c>
      <c r="B501" t="str">
        <f>IF(ISBLANK(Record!B502),"",Record!B502)</f>
        <v/>
      </c>
      <c r="C501" s="227" t="str">
        <f>IF(ISBLANK(Record!C502),"",Record!C502)</f>
        <v/>
      </c>
      <c r="D501" t="str">
        <f>IF(ISBLANK(Record!D502),"",Record!D502)</f>
        <v/>
      </c>
      <c r="E501" t="str">
        <f>IF(ISBLANK(Record!E502),"",Record!E502)</f>
        <v/>
      </c>
      <c r="M501" t="str">
        <f t="shared" si="49"/>
        <v xml:space="preserve">          </v>
      </c>
      <c r="N501" s="227" t="str">
        <f t="shared" si="50"/>
        <v/>
      </c>
      <c r="X501" t="str">
        <f t="shared" si="51"/>
        <v xml:space="preserve">          </v>
      </c>
      <c r="Y501" s="227" t="str">
        <f t="shared" si="52"/>
        <v/>
      </c>
      <c r="Z501" t="str">
        <f t="shared" si="53"/>
        <v/>
      </c>
      <c r="AL501" t="str">
        <f t="shared" si="54"/>
        <v/>
      </c>
      <c r="AM501" t="str">
        <f t="shared" si="55"/>
        <v/>
      </c>
    </row>
    <row r="502" spans="1:39">
      <c r="A502" t="str">
        <f>IF(ISBLANK(Record!A503),"",Record!A503)</f>
        <v/>
      </c>
      <c r="B502" t="str">
        <f>IF(ISBLANK(Record!B503),"",Record!B503)</f>
        <v/>
      </c>
      <c r="C502" s="227" t="str">
        <f>IF(ISBLANK(Record!C503),"",Record!C503)</f>
        <v/>
      </c>
      <c r="D502" t="str">
        <f>IF(ISBLANK(Record!D503),"",Record!D503)</f>
        <v/>
      </c>
      <c r="E502" t="str">
        <f>IF(ISBLANK(Record!E503),"",Record!E503)</f>
        <v/>
      </c>
      <c r="M502" t="str">
        <f t="shared" si="49"/>
        <v xml:space="preserve">          </v>
      </c>
      <c r="N502" s="227" t="str">
        <f t="shared" si="50"/>
        <v/>
      </c>
      <c r="X502" t="str">
        <f t="shared" si="51"/>
        <v xml:space="preserve">          </v>
      </c>
      <c r="Y502" s="227" t="str">
        <f t="shared" si="52"/>
        <v/>
      </c>
      <c r="Z502" t="str">
        <f t="shared" si="53"/>
        <v/>
      </c>
      <c r="AL502" t="str">
        <f t="shared" si="54"/>
        <v/>
      </c>
      <c r="AM502" t="str">
        <f t="shared" si="55"/>
        <v/>
      </c>
    </row>
    <row r="503" spans="1:39">
      <c r="A503" t="str">
        <f>IF(ISBLANK(Record!A504),"",Record!A504)</f>
        <v/>
      </c>
      <c r="B503" t="str">
        <f>IF(ISBLANK(Record!B504),"",Record!B504)</f>
        <v/>
      </c>
      <c r="C503" s="227" t="str">
        <f>IF(ISBLANK(Record!C504),"",Record!C504)</f>
        <v/>
      </c>
      <c r="D503" t="str">
        <f>IF(ISBLANK(Record!D504),"",Record!D504)</f>
        <v/>
      </c>
      <c r="E503" t="str">
        <f>IF(ISBLANK(Record!E504),"",Record!E504)</f>
        <v/>
      </c>
      <c r="M503" t="str">
        <f t="shared" si="49"/>
        <v xml:space="preserve">          </v>
      </c>
      <c r="N503" s="227" t="str">
        <f t="shared" si="50"/>
        <v/>
      </c>
      <c r="X503" t="str">
        <f t="shared" si="51"/>
        <v xml:space="preserve">          </v>
      </c>
      <c r="Y503" s="227" t="str">
        <f t="shared" si="52"/>
        <v/>
      </c>
      <c r="Z503" t="str">
        <f t="shared" si="53"/>
        <v/>
      </c>
      <c r="AL503" t="str">
        <f t="shared" si="54"/>
        <v/>
      </c>
      <c r="AM503" t="str">
        <f t="shared" si="55"/>
        <v/>
      </c>
    </row>
    <row r="504" spans="1:39">
      <c r="A504" t="str">
        <f>IF(ISBLANK(Record!A505),"",Record!A505)</f>
        <v/>
      </c>
      <c r="B504" t="str">
        <f>IF(ISBLANK(Record!B505),"",Record!B505)</f>
        <v/>
      </c>
      <c r="C504" s="227" t="str">
        <f>IF(ISBLANK(Record!C505),"",Record!C505)</f>
        <v/>
      </c>
      <c r="D504" t="str">
        <f>IF(ISBLANK(Record!D505),"",Record!D505)</f>
        <v/>
      </c>
      <c r="E504" t="str">
        <f>IF(ISBLANK(Record!E505),"",Record!E505)</f>
        <v/>
      </c>
      <c r="M504" t="str">
        <f t="shared" si="49"/>
        <v xml:space="preserve">          </v>
      </c>
      <c r="N504" s="227" t="str">
        <f t="shared" si="50"/>
        <v/>
      </c>
      <c r="X504" t="str">
        <f t="shared" si="51"/>
        <v xml:space="preserve">          </v>
      </c>
      <c r="Y504" s="227" t="str">
        <f t="shared" si="52"/>
        <v/>
      </c>
      <c r="Z504" t="str">
        <f t="shared" si="53"/>
        <v/>
      </c>
      <c r="AL504" t="str">
        <f t="shared" si="54"/>
        <v/>
      </c>
      <c r="AM504" t="str">
        <f t="shared" si="55"/>
        <v/>
      </c>
    </row>
    <row r="505" spans="1:39">
      <c r="A505" t="str">
        <f>IF(ISBLANK(Record!A506),"",Record!A506)</f>
        <v/>
      </c>
      <c r="B505" t="str">
        <f>IF(ISBLANK(Record!B506),"",Record!B506)</f>
        <v/>
      </c>
      <c r="C505" s="227" t="str">
        <f>IF(ISBLANK(Record!C506),"",Record!C506)</f>
        <v/>
      </c>
      <c r="D505" t="str">
        <f>IF(ISBLANK(Record!D506),"",Record!D506)</f>
        <v/>
      </c>
      <c r="E505" t="str">
        <f>IF(ISBLANK(Record!E506),"",Record!E506)</f>
        <v/>
      </c>
      <c r="M505" t="str">
        <f t="shared" si="49"/>
        <v xml:space="preserve">          </v>
      </c>
      <c r="N505" s="227" t="str">
        <f t="shared" si="50"/>
        <v/>
      </c>
      <c r="X505" t="str">
        <f t="shared" si="51"/>
        <v xml:space="preserve">          </v>
      </c>
      <c r="Y505" s="227" t="str">
        <f t="shared" si="52"/>
        <v/>
      </c>
      <c r="Z505" t="str">
        <f t="shared" si="53"/>
        <v/>
      </c>
      <c r="AL505" t="str">
        <f t="shared" si="54"/>
        <v/>
      </c>
      <c r="AM505" t="str">
        <f t="shared" si="55"/>
        <v/>
      </c>
    </row>
    <row r="506" spans="1:39">
      <c r="A506" t="str">
        <f>IF(ISBLANK(Record!A507),"",Record!A507)</f>
        <v/>
      </c>
      <c r="B506" t="str">
        <f>IF(ISBLANK(Record!B507),"",Record!B507)</f>
        <v/>
      </c>
      <c r="C506" s="227" t="str">
        <f>IF(ISBLANK(Record!C507),"",Record!C507)</f>
        <v/>
      </c>
      <c r="D506" t="str">
        <f>IF(ISBLANK(Record!D507),"",Record!D507)</f>
        <v/>
      </c>
      <c r="E506" t="str">
        <f>IF(ISBLANK(Record!E507),"",Record!E507)</f>
        <v/>
      </c>
      <c r="M506" t="str">
        <f t="shared" si="49"/>
        <v xml:space="preserve">          </v>
      </c>
      <c r="N506" s="227" t="str">
        <f t="shared" si="50"/>
        <v/>
      </c>
      <c r="X506" t="str">
        <f t="shared" si="51"/>
        <v xml:space="preserve">          </v>
      </c>
      <c r="Y506" s="227" t="str">
        <f t="shared" si="52"/>
        <v/>
      </c>
      <c r="Z506" t="str">
        <f t="shared" si="53"/>
        <v/>
      </c>
      <c r="AL506" t="str">
        <f t="shared" si="54"/>
        <v/>
      </c>
      <c r="AM506" t="str">
        <f t="shared" si="55"/>
        <v/>
      </c>
    </row>
    <row r="507" spans="1:39">
      <c r="A507" t="str">
        <f>IF(ISBLANK(Record!A508),"",Record!A508)</f>
        <v/>
      </c>
      <c r="B507" t="str">
        <f>IF(ISBLANK(Record!B508),"",Record!B508)</f>
        <v/>
      </c>
      <c r="C507" s="227" t="str">
        <f>IF(ISBLANK(Record!C508),"",Record!C508)</f>
        <v/>
      </c>
      <c r="D507" t="str">
        <f>IF(ISBLANK(Record!D508),"",Record!D508)</f>
        <v/>
      </c>
      <c r="E507" t="str">
        <f>IF(ISBLANK(Record!E508),"",Record!E508)</f>
        <v/>
      </c>
      <c r="M507" t="str">
        <f t="shared" si="49"/>
        <v xml:space="preserve">          </v>
      </c>
      <c r="N507" s="227" t="str">
        <f t="shared" si="50"/>
        <v/>
      </c>
      <c r="X507" t="str">
        <f t="shared" si="51"/>
        <v xml:space="preserve">          </v>
      </c>
      <c r="Y507" s="227" t="str">
        <f t="shared" si="52"/>
        <v/>
      </c>
      <c r="Z507" t="str">
        <f t="shared" si="53"/>
        <v/>
      </c>
      <c r="AL507" t="str">
        <f t="shared" si="54"/>
        <v/>
      </c>
      <c r="AM507" t="str">
        <f t="shared" si="55"/>
        <v/>
      </c>
    </row>
    <row r="508" spans="1:39">
      <c r="A508" t="str">
        <f>IF(ISBLANK(Record!A509),"",Record!A509)</f>
        <v/>
      </c>
      <c r="B508" t="str">
        <f>IF(ISBLANK(Record!B509),"",Record!B509)</f>
        <v/>
      </c>
      <c r="C508" s="227" t="str">
        <f>IF(ISBLANK(Record!C509),"",Record!C509)</f>
        <v/>
      </c>
      <c r="D508" t="str">
        <f>IF(ISBLANK(Record!D509),"",Record!D509)</f>
        <v/>
      </c>
      <c r="E508" t="str">
        <f>IF(ISBLANK(Record!E509),"",Record!E509)</f>
        <v/>
      </c>
      <c r="M508" t="str">
        <f t="shared" si="49"/>
        <v xml:space="preserve">          </v>
      </c>
      <c r="N508" s="227" t="str">
        <f t="shared" si="50"/>
        <v/>
      </c>
      <c r="X508" t="str">
        <f t="shared" si="51"/>
        <v xml:space="preserve">          </v>
      </c>
      <c r="Y508" s="227" t="str">
        <f t="shared" si="52"/>
        <v/>
      </c>
      <c r="Z508" t="str">
        <f t="shared" si="53"/>
        <v/>
      </c>
      <c r="AL508" t="str">
        <f t="shared" si="54"/>
        <v/>
      </c>
      <c r="AM508" t="str">
        <f t="shared" si="55"/>
        <v/>
      </c>
    </row>
    <row r="509" spans="1:39">
      <c r="A509" t="str">
        <f>IF(ISBLANK(Record!A510),"",Record!A510)</f>
        <v/>
      </c>
      <c r="B509" t="str">
        <f>IF(ISBLANK(Record!B510),"",Record!B510)</f>
        <v/>
      </c>
      <c r="C509" s="227" t="str">
        <f>IF(ISBLANK(Record!C510),"",Record!C510)</f>
        <v/>
      </c>
      <c r="D509" t="str">
        <f>IF(ISBLANK(Record!D510),"",Record!D510)</f>
        <v/>
      </c>
      <c r="E509" t="str">
        <f>IF(ISBLANK(Record!E510),"",Record!E510)</f>
        <v/>
      </c>
      <c r="M509" t="str">
        <f t="shared" si="49"/>
        <v xml:space="preserve">          </v>
      </c>
      <c r="N509" s="227" t="str">
        <f t="shared" si="50"/>
        <v/>
      </c>
      <c r="X509" t="str">
        <f t="shared" si="51"/>
        <v xml:space="preserve">          </v>
      </c>
      <c r="Y509" s="227" t="str">
        <f t="shared" si="52"/>
        <v/>
      </c>
      <c r="Z509" t="str">
        <f t="shared" si="53"/>
        <v/>
      </c>
      <c r="AL509" t="str">
        <f t="shared" si="54"/>
        <v/>
      </c>
      <c r="AM509" t="str">
        <f t="shared" si="55"/>
        <v/>
      </c>
    </row>
    <row r="510" spans="1:39">
      <c r="A510" t="str">
        <f>IF(ISBLANK(Record!A511),"",Record!A511)</f>
        <v/>
      </c>
      <c r="B510" t="str">
        <f>IF(ISBLANK(Record!B511),"",Record!B511)</f>
        <v/>
      </c>
      <c r="C510" s="227" t="str">
        <f>IF(ISBLANK(Record!C511),"",Record!C511)</f>
        <v/>
      </c>
      <c r="D510" t="str">
        <f>IF(ISBLANK(Record!D511),"",Record!D511)</f>
        <v/>
      </c>
      <c r="E510" t="str">
        <f>IF(ISBLANK(Record!E511),"",Record!E511)</f>
        <v/>
      </c>
      <c r="M510" t="str">
        <f t="shared" si="49"/>
        <v xml:space="preserve">          </v>
      </c>
      <c r="N510" s="227" t="str">
        <f t="shared" si="50"/>
        <v/>
      </c>
      <c r="X510" t="str">
        <f t="shared" si="51"/>
        <v xml:space="preserve">          </v>
      </c>
      <c r="Y510" s="227" t="str">
        <f t="shared" si="52"/>
        <v/>
      </c>
      <c r="Z510" t="str">
        <f t="shared" si="53"/>
        <v/>
      </c>
      <c r="AL510" t="str">
        <f t="shared" si="54"/>
        <v/>
      </c>
      <c r="AM510" t="str">
        <f t="shared" si="55"/>
        <v/>
      </c>
    </row>
    <row r="511" spans="1:39">
      <c r="A511" t="str">
        <f>IF(ISBLANK(Record!A512),"",Record!A512)</f>
        <v/>
      </c>
      <c r="B511" t="str">
        <f>IF(ISBLANK(Record!B512),"",Record!B512)</f>
        <v/>
      </c>
      <c r="C511" s="227" t="str">
        <f>IF(ISBLANK(Record!C512),"",Record!C512)</f>
        <v/>
      </c>
      <c r="D511" t="str">
        <f>IF(ISBLANK(Record!D512),"",Record!D512)</f>
        <v/>
      </c>
      <c r="E511" t="str">
        <f>IF(ISBLANK(Record!E512),"",Record!E512)</f>
        <v/>
      </c>
      <c r="M511" t="str">
        <f t="shared" si="49"/>
        <v xml:space="preserve">          </v>
      </c>
      <c r="N511" s="227" t="str">
        <f t="shared" si="50"/>
        <v/>
      </c>
      <c r="X511" t="str">
        <f t="shared" si="51"/>
        <v xml:space="preserve">          </v>
      </c>
      <c r="Y511" s="227" t="str">
        <f t="shared" si="52"/>
        <v/>
      </c>
      <c r="Z511" t="str">
        <f t="shared" si="53"/>
        <v/>
      </c>
      <c r="AL511" t="str">
        <f t="shared" si="54"/>
        <v/>
      </c>
      <c r="AM511" t="str">
        <f t="shared" si="55"/>
        <v/>
      </c>
    </row>
    <row r="512" spans="1:39">
      <c r="A512" t="str">
        <f>IF(ISBLANK(Record!A513),"",Record!A513)</f>
        <v/>
      </c>
      <c r="B512" t="str">
        <f>IF(ISBLANK(Record!B513),"",Record!B513)</f>
        <v/>
      </c>
      <c r="C512" s="227" t="str">
        <f>IF(ISBLANK(Record!C513),"",Record!C513)</f>
        <v/>
      </c>
      <c r="D512" t="str">
        <f>IF(ISBLANK(Record!D513),"",Record!D513)</f>
        <v/>
      </c>
      <c r="E512" t="str">
        <f>IF(ISBLANK(Record!E513),"",Record!E513)</f>
        <v/>
      </c>
      <c r="M512" t="str">
        <f t="shared" si="49"/>
        <v xml:space="preserve">          </v>
      </c>
      <c r="N512" s="227" t="str">
        <f t="shared" si="50"/>
        <v/>
      </c>
      <c r="X512" t="str">
        <f t="shared" si="51"/>
        <v xml:space="preserve">          </v>
      </c>
      <c r="Y512" s="227" t="str">
        <f t="shared" si="52"/>
        <v/>
      </c>
      <c r="Z512" t="str">
        <f t="shared" si="53"/>
        <v/>
      </c>
      <c r="AL512" t="str">
        <f t="shared" si="54"/>
        <v/>
      </c>
      <c r="AM512" t="str">
        <f t="shared" si="55"/>
        <v/>
      </c>
    </row>
    <row r="513" spans="1:39">
      <c r="A513" t="str">
        <f>IF(ISBLANK(Record!A514),"",Record!A514)</f>
        <v/>
      </c>
      <c r="B513" t="str">
        <f>IF(ISBLANK(Record!B514),"",Record!B514)</f>
        <v/>
      </c>
      <c r="C513" s="227" t="str">
        <f>IF(ISBLANK(Record!C514),"",Record!C514)</f>
        <v/>
      </c>
      <c r="D513" t="str">
        <f>IF(ISBLANK(Record!D514),"",Record!D514)</f>
        <v/>
      </c>
      <c r="E513" t="str">
        <f>IF(ISBLANK(Record!E514),"",Record!E514)</f>
        <v/>
      </c>
      <c r="M513" t="str">
        <f t="shared" si="49"/>
        <v xml:space="preserve">          </v>
      </c>
      <c r="N513" s="227" t="str">
        <f t="shared" si="50"/>
        <v/>
      </c>
      <c r="X513" t="str">
        <f t="shared" si="51"/>
        <v xml:space="preserve">          </v>
      </c>
      <c r="Y513" s="227" t="str">
        <f t="shared" si="52"/>
        <v/>
      </c>
      <c r="Z513" t="str">
        <f t="shared" si="53"/>
        <v/>
      </c>
      <c r="AL513" t="str">
        <f t="shared" si="54"/>
        <v/>
      </c>
      <c r="AM513" t="str">
        <f t="shared" si="55"/>
        <v/>
      </c>
    </row>
    <row r="514" spans="1:39">
      <c r="A514" t="str">
        <f>IF(ISBLANK(Record!A515),"",Record!A515)</f>
        <v/>
      </c>
      <c r="B514" t="str">
        <f>IF(ISBLANK(Record!B515),"",Record!B515)</f>
        <v/>
      </c>
      <c r="C514" s="227" t="str">
        <f>IF(ISBLANK(Record!C515),"",Record!C515)</f>
        <v/>
      </c>
      <c r="D514" t="str">
        <f>IF(ISBLANK(Record!D515),"",Record!D515)</f>
        <v/>
      </c>
      <c r="E514" t="str">
        <f>IF(ISBLANK(Record!E515),"",Record!E515)</f>
        <v/>
      </c>
      <c r="M514" t="str">
        <f t="shared" si="49"/>
        <v xml:space="preserve">          </v>
      </c>
      <c r="N514" s="227" t="str">
        <f t="shared" si="50"/>
        <v/>
      </c>
      <c r="X514" t="str">
        <f t="shared" si="51"/>
        <v xml:space="preserve">          </v>
      </c>
      <c r="Y514" s="227" t="str">
        <f t="shared" si="52"/>
        <v/>
      </c>
      <c r="Z514" t="str">
        <f t="shared" si="53"/>
        <v/>
      </c>
      <c r="AL514" t="str">
        <f t="shared" si="54"/>
        <v/>
      </c>
      <c r="AM514" t="str">
        <f t="shared" si="55"/>
        <v/>
      </c>
    </row>
    <row r="515" spans="1:39">
      <c r="A515" t="str">
        <f>IF(ISBLANK(Record!A516),"",Record!A516)</f>
        <v/>
      </c>
      <c r="B515" t="str">
        <f>IF(ISBLANK(Record!B516),"",Record!B516)</f>
        <v/>
      </c>
      <c r="C515" s="227" t="str">
        <f>IF(ISBLANK(Record!C516),"",Record!C516)</f>
        <v/>
      </c>
      <c r="D515" t="str">
        <f>IF(ISBLANK(Record!D516),"",Record!D516)</f>
        <v/>
      </c>
      <c r="E515" t="str">
        <f>IF(ISBLANK(Record!E516),"",Record!E516)</f>
        <v/>
      </c>
      <c r="M515" t="str">
        <f t="shared" ref="M515:M578" si="56">RIGHT("                                   " &amp; A515,10)</f>
        <v xml:space="preserve">          </v>
      </c>
      <c r="N515" s="227" t="str">
        <f t="shared" ref="N515:N578" si="57">RIGHT(C515,16)</f>
        <v/>
      </c>
      <c r="X515" t="str">
        <f t="shared" ref="X515:X578" si="58">RIGHT("                                   " &amp; A515,10)</f>
        <v xml:space="preserve">          </v>
      </c>
      <c r="Y515" s="227" t="str">
        <f t="shared" ref="Y515:Y578" si="59">RIGHT(C515,16)</f>
        <v/>
      </c>
      <c r="Z515" t="str">
        <f t="shared" ref="Z515:Z578" si="60">RIGHT(D515,8)</f>
        <v/>
      </c>
      <c r="AL515" t="str">
        <f t="shared" ref="AL515:AL578" si="61">D515</f>
        <v/>
      </c>
      <c r="AM515" t="str">
        <f t="shared" ref="AM515:AM578" si="62">IF(E515&lt;&gt;AL515,E515,E515)</f>
        <v/>
      </c>
    </row>
    <row r="516" spans="1:39">
      <c r="A516" t="str">
        <f>IF(ISBLANK(Record!A517),"",Record!A517)</f>
        <v/>
      </c>
      <c r="B516" t="str">
        <f>IF(ISBLANK(Record!B517),"",Record!B517)</f>
        <v/>
      </c>
      <c r="C516" s="227" t="str">
        <f>IF(ISBLANK(Record!C517),"",Record!C517)</f>
        <v/>
      </c>
      <c r="D516" t="str">
        <f>IF(ISBLANK(Record!D517),"",Record!D517)</f>
        <v/>
      </c>
      <c r="E516" t="str">
        <f>IF(ISBLANK(Record!E517),"",Record!E517)</f>
        <v/>
      </c>
      <c r="M516" t="str">
        <f t="shared" si="56"/>
        <v xml:space="preserve">          </v>
      </c>
      <c r="N516" s="227" t="str">
        <f t="shared" si="57"/>
        <v/>
      </c>
      <c r="X516" t="str">
        <f t="shared" si="58"/>
        <v xml:space="preserve">          </v>
      </c>
      <c r="Y516" s="227" t="str">
        <f t="shared" si="59"/>
        <v/>
      </c>
      <c r="Z516" t="str">
        <f t="shared" si="60"/>
        <v/>
      </c>
      <c r="AL516" t="str">
        <f t="shared" si="61"/>
        <v/>
      </c>
      <c r="AM516" t="str">
        <f t="shared" si="62"/>
        <v/>
      </c>
    </row>
    <row r="517" spans="1:39">
      <c r="A517" t="str">
        <f>IF(ISBLANK(Record!A518),"",Record!A518)</f>
        <v/>
      </c>
      <c r="B517" t="str">
        <f>IF(ISBLANK(Record!B518),"",Record!B518)</f>
        <v/>
      </c>
      <c r="C517" s="227" t="str">
        <f>IF(ISBLANK(Record!C518),"",Record!C518)</f>
        <v/>
      </c>
      <c r="D517" t="str">
        <f>IF(ISBLANK(Record!D518),"",Record!D518)</f>
        <v/>
      </c>
      <c r="E517" t="str">
        <f>IF(ISBLANK(Record!E518),"",Record!E518)</f>
        <v/>
      </c>
      <c r="M517" t="str">
        <f t="shared" si="56"/>
        <v xml:space="preserve">          </v>
      </c>
      <c r="N517" s="227" t="str">
        <f t="shared" si="57"/>
        <v/>
      </c>
      <c r="X517" t="str">
        <f t="shared" si="58"/>
        <v xml:space="preserve">          </v>
      </c>
      <c r="Y517" s="227" t="str">
        <f t="shared" si="59"/>
        <v/>
      </c>
      <c r="Z517" t="str">
        <f t="shared" si="60"/>
        <v/>
      </c>
      <c r="AL517" t="str">
        <f t="shared" si="61"/>
        <v/>
      </c>
      <c r="AM517" t="str">
        <f t="shared" si="62"/>
        <v/>
      </c>
    </row>
    <row r="518" spans="1:39">
      <c r="A518" t="str">
        <f>IF(ISBLANK(Record!A519),"",Record!A519)</f>
        <v/>
      </c>
      <c r="B518" t="str">
        <f>IF(ISBLANK(Record!B519),"",Record!B519)</f>
        <v/>
      </c>
      <c r="C518" s="227" t="str">
        <f>IF(ISBLANK(Record!C519),"",Record!C519)</f>
        <v/>
      </c>
      <c r="D518" t="str">
        <f>IF(ISBLANK(Record!D519),"",Record!D519)</f>
        <v/>
      </c>
      <c r="E518" t="str">
        <f>IF(ISBLANK(Record!E519),"",Record!E519)</f>
        <v/>
      </c>
      <c r="M518" t="str">
        <f t="shared" si="56"/>
        <v xml:space="preserve">          </v>
      </c>
      <c r="N518" s="227" t="str">
        <f t="shared" si="57"/>
        <v/>
      </c>
      <c r="X518" t="str">
        <f t="shared" si="58"/>
        <v xml:space="preserve">          </v>
      </c>
      <c r="Y518" s="227" t="str">
        <f t="shared" si="59"/>
        <v/>
      </c>
      <c r="Z518" t="str">
        <f t="shared" si="60"/>
        <v/>
      </c>
      <c r="AL518" t="str">
        <f t="shared" si="61"/>
        <v/>
      </c>
      <c r="AM518" t="str">
        <f t="shared" si="62"/>
        <v/>
      </c>
    </row>
    <row r="519" spans="1:39">
      <c r="A519" t="str">
        <f>IF(ISBLANK(Record!A520),"",Record!A520)</f>
        <v/>
      </c>
      <c r="B519" t="str">
        <f>IF(ISBLANK(Record!B520),"",Record!B520)</f>
        <v/>
      </c>
      <c r="C519" s="227" t="str">
        <f>IF(ISBLANK(Record!C520),"",Record!C520)</f>
        <v/>
      </c>
      <c r="D519" t="str">
        <f>IF(ISBLANK(Record!D520),"",Record!D520)</f>
        <v/>
      </c>
      <c r="E519" t="str">
        <f>IF(ISBLANK(Record!E520),"",Record!E520)</f>
        <v/>
      </c>
      <c r="M519" t="str">
        <f t="shared" si="56"/>
        <v xml:space="preserve">          </v>
      </c>
      <c r="N519" s="227" t="str">
        <f t="shared" si="57"/>
        <v/>
      </c>
      <c r="X519" t="str">
        <f t="shared" si="58"/>
        <v xml:space="preserve">          </v>
      </c>
      <c r="Y519" s="227" t="str">
        <f t="shared" si="59"/>
        <v/>
      </c>
      <c r="Z519" t="str">
        <f t="shared" si="60"/>
        <v/>
      </c>
      <c r="AL519" t="str">
        <f t="shared" si="61"/>
        <v/>
      </c>
      <c r="AM519" t="str">
        <f t="shared" si="62"/>
        <v/>
      </c>
    </row>
    <row r="520" spans="1:39">
      <c r="A520" t="str">
        <f>IF(ISBLANK(Record!A521),"",Record!A521)</f>
        <v/>
      </c>
      <c r="B520" t="str">
        <f>IF(ISBLANK(Record!B521),"",Record!B521)</f>
        <v/>
      </c>
      <c r="C520" s="227" t="str">
        <f>IF(ISBLANK(Record!C521),"",Record!C521)</f>
        <v/>
      </c>
      <c r="D520" t="str">
        <f>IF(ISBLANK(Record!D521),"",Record!D521)</f>
        <v/>
      </c>
      <c r="E520" t="str">
        <f>IF(ISBLANK(Record!E521),"",Record!E521)</f>
        <v/>
      </c>
      <c r="M520" t="str">
        <f t="shared" si="56"/>
        <v xml:space="preserve">          </v>
      </c>
      <c r="N520" s="227" t="str">
        <f t="shared" si="57"/>
        <v/>
      </c>
      <c r="X520" t="str">
        <f t="shared" si="58"/>
        <v xml:space="preserve">          </v>
      </c>
      <c r="Y520" s="227" t="str">
        <f t="shared" si="59"/>
        <v/>
      </c>
      <c r="Z520" t="str">
        <f t="shared" si="60"/>
        <v/>
      </c>
      <c r="AL520" t="str">
        <f t="shared" si="61"/>
        <v/>
      </c>
      <c r="AM520" t="str">
        <f t="shared" si="62"/>
        <v/>
      </c>
    </row>
    <row r="521" spans="1:39">
      <c r="A521" t="str">
        <f>IF(ISBLANK(Record!A522),"",Record!A522)</f>
        <v/>
      </c>
      <c r="B521" t="str">
        <f>IF(ISBLANK(Record!B522),"",Record!B522)</f>
        <v/>
      </c>
      <c r="C521" s="227" t="str">
        <f>IF(ISBLANK(Record!C522),"",Record!C522)</f>
        <v/>
      </c>
      <c r="D521" t="str">
        <f>IF(ISBLANK(Record!D522),"",Record!D522)</f>
        <v/>
      </c>
      <c r="E521" t="str">
        <f>IF(ISBLANK(Record!E522),"",Record!E522)</f>
        <v/>
      </c>
      <c r="M521" t="str">
        <f t="shared" si="56"/>
        <v xml:space="preserve">          </v>
      </c>
      <c r="N521" s="227" t="str">
        <f t="shared" si="57"/>
        <v/>
      </c>
      <c r="X521" t="str">
        <f t="shared" si="58"/>
        <v xml:space="preserve">          </v>
      </c>
      <c r="Y521" s="227" t="str">
        <f t="shared" si="59"/>
        <v/>
      </c>
      <c r="Z521" t="str">
        <f t="shared" si="60"/>
        <v/>
      </c>
      <c r="AL521" t="str">
        <f t="shared" si="61"/>
        <v/>
      </c>
      <c r="AM521" t="str">
        <f t="shared" si="62"/>
        <v/>
      </c>
    </row>
    <row r="522" spans="1:39">
      <c r="A522" t="str">
        <f>IF(ISBLANK(Record!A523),"",Record!A523)</f>
        <v/>
      </c>
      <c r="B522" t="str">
        <f>IF(ISBLANK(Record!B523),"",Record!B523)</f>
        <v/>
      </c>
      <c r="C522" s="227" t="str">
        <f>IF(ISBLANK(Record!C523),"",Record!C523)</f>
        <v/>
      </c>
      <c r="D522" t="str">
        <f>IF(ISBLANK(Record!D523),"",Record!D523)</f>
        <v/>
      </c>
      <c r="E522" t="str">
        <f>IF(ISBLANK(Record!E523),"",Record!E523)</f>
        <v/>
      </c>
      <c r="M522" t="str">
        <f t="shared" si="56"/>
        <v xml:space="preserve">          </v>
      </c>
      <c r="N522" s="227" t="str">
        <f t="shared" si="57"/>
        <v/>
      </c>
      <c r="X522" t="str">
        <f t="shared" si="58"/>
        <v xml:space="preserve">          </v>
      </c>
      <c r="Y522" s="227" t="str">
        <f t="shared" si="59"/>
        <v/>
      </c>
      <c r="Z522" t="str">
        <f t="shared" si="60"/>
        <v/>
      </c>
      <c r="AL522" t="str">
        <f t="shared" si="61"/>
        <v/>
      </c>
      <c r="AM522" t="str">
        <f t="shared" si="62"/>
        <v/>
      </c>
    </row>
    <row r="523" spans="1:39">
      <c r="A523" t="str">
        <f>IF(ISBLANK(Record!A524),"",Record!A524)</f>
        <v/>
      </c>
      <c r="B523" t="str">
        <f>IF(ISBLANK(Record!B524),"",Record!B524)</f>
        <v/>
      </c>
      <c r="C523" s="227" t="str">
        <f>IF(ISBLANK(Record!C524),"",Record!C524)</f>
        <v/>
      </c>
      <c r="D523" t="str">
        <f>IF(ISBLANK(Record!D524),"",Record!D524)</f>
        <v/>
      </c>
      <c r="E523" t="str">
        <f>IF(ISBLANK(Record!E524),"",Record!E524)</f>
        <v/>
      </c>
      <c r="M523" t="str">
        <f t="shared" si="56"/>
        <v xml:space="preserve">          </v>
      </c>
      <c r="N523" s="227" t="str">
        <f t="shared" si="57"/>
        <v/>
      </c>
      <c r="X523" t="str">
        <f t="shared" si="58"/>
        <v xml:space="preserve">          </v>
      </c>
      <c r="Y523" s="227" t="str">
        <f t="shared" si="59"/>
        <v/>
      </c>
      <c r="Z523" t="str">
        <f t="shared" si="60"/>
        <v/>
      </c>
      <c r="AL523" t="str">
        <f t="shared" si="61"/>
        <v/>
      </c>
      <c r="AM523" t="str">
        <f t="shared" si="62"/>
        <v/>
      </c>
    </row>
    <row r="524" spans="1:39">
      <c r="A524" t="str">
        <f>IF(ISBLANK(Record!A525),"",Record!A525)</f>
        <v/>
      </c>
      <c r="B524" t="str">
        <f>IF(ISBLANK(Record!B525),"",Record!B525)</f>
        <v/>
      </c>
      <c r="C524" s="227" t="str">
        <f>IF(ISBLANK(Record!C525),"",Record!C525)</f>
        <v/>
      </c>
      <c r="D524" t="str">
        <f>IF(ISBLANK(Record!D525),"",Record!D525)</f>
        <v/>
      </c>
      <c r="E524" t="str">
        <f>IF(ISBLANK(Record!E525),"",Record!E525)</f>
        <v/>
      </c>
      <c r="M524" t="str">
        <f t="shared" si="56"/>
        <v xml:space="preserve">          </v>
      </c>
      <c r="N524" s="227" t="str">
        <f t="shared" si="57"/>
        <v/>
      </c>
      <c r="X524" t="str">
        <f t="shared" si="58"/>
        <v xml:space="preserve">          </v>
      </c>
      <c r="Y524" s="227" t="str">
        <f t="shared" si="59"/>
        <v/>
      </c>
      <c r="Z524" t="str">
        <f t="shared" si="60"/>
        <v/>
      </c>
      <c r="AL524" t="str">
        <f t="shared" si="61"/>
        <v/>
      </c>
      <c r="AM524" t="str">
        <f t="shared" si="62"/>
        <v/>
      </c>
    </row>
    <row r="525" spans="1:39">
      <c r="A525" t="str">
        <f>IF(ISBLANK(Record!A526),"",Record!A526)</f>
        <v/>
      </c>
      <c r="B525" t="str">
        <f>IF(ISBLANK(Record!B526),"",Record!B526)</f>
        <v/>
      </c>
      <c r="C525" s="227" t="str">
        <f>IF(ISBLANK(Record!C526),"",Record!C526)</f>
        <v/>
      </c>
      <c r="D525" t="str">
        <f>IF(ISBLANK(Record!D526),"",Record!D526)</f>
        <v/>
      </c>
      <c r="E525" t="str">
        <f>IF(ISBLANK(Record!E526),"",Record!E526)</f>
        <v/>
      </c>
      <c r="M525" t="str">
        <f t="shared" si="56"/>
        <v xml:space="preserve">          </v>
      </c>
      <c r="N525" s="227" t="str">
        <f t="shared" si="57"/>
        <v/>
      </c>
      <c r="X525" t="str">
        <f t="shared" si="58"/>
        <v xml:space="preserve">          </v>
      </c>
      <c r="Y525" s="227" t="str">
        <f t="shared" si="59"/>
        <v/>
      </c>
      <c r="Z525" t="str">
        <f t="shared" si="60"/>
        <v/>
      </c>
      <c r="AL525" t="str">
        <f t="shared" si="61"/>
        <v/>
      </c>
      <c r="AM525" t="str">
        <f t="shared" si="62"/>
        <v/>
      </c>
    </row>
    <row r="526" spans="1:39">
      <c r="A526" t="str">
        <f>IF(ISBLANK(Record!A527),"",Record!A527)</f>
        <v/>
      </c>
      <c r="B526" t="str">
        <f>IF(ISBLANK(Record!B527),"",Record!B527)</f>
        <v/>
      </c>
      <c r="C526" s="227" t="str">
        <f>IF(ISBLANK(Record!C527),"",Record!C527)</f>
        <v/>
      </c>
      <c r="D526" t="str">
        <f>IF(ISBLANK(Record!D527),"",Record!D527)</f>
        <v/>
      </c>
      <c r="E526" t="str">
        <f>IF(ISBLANK(Record!E527),"",Record!E527)</f>
        <v/>
      </c>
      <c r="M526" t="str">
        <f t="shared" si="56"/>
        <v xml:space="preserve">          </v>
      </c>
      <c r="N526" s="227" t="str">
        <f t="shared" si="57"/>
        <v/>
      </c>
      <c r="X526" t="str">
        <f t="shared" si="58"/>
        <v xml:space="preserve">          </v>
      </c>
      <c r="Y526" s="227" t="str">
        <f t="shared" si="59"/>
        <v/>
      </c>
      <c r="Z526" t="str">
        <f t="shared" si="60"/>
        <v/>
      </c>
      <c r="AL526" t="str">
        <f t="shared" si="61"/>
        <v/>
      </c>
      <c r="AM526" t="str">
        <f t="shared" si="62"/>
        <v/>
      </c>
    </row>
    <row r="527" spans="1:39">
      <c r="A527" t="str">
        <f>IF(ISBLANK(Record!A528),"",Record!A528)</f>
        <v/>
      </c>
      <c r="B527" t="str">
        <f>IF(ISBLANK(Record!B528),"",Record!B528)</f>
        <v/>
      </c>
      <c r="C527" s="227" t="str">
        <f>IF(ISBLANK(Record!C528),"",Record!C528)</f>
        <v/>
      </c>
      <c r="D527" t="str">
        <f>IF(ISBLANK(Record!D528),"",Record!D528)</f>
        <v/>
      </c>
      <c r="E527" t="str">
        <f>IF(ISBLANK(Record!E528),"",Record!E528)</f>
        <v/>
      </c>
      <c r="M527" t="str">
        <f t="shared" si="56"/>
        <v xml:space="preserve">          </v>
      </c>
      <c r="N527" s="227" t="str">
        <f t="shared" si="57"/>
        <v/>
      </c>
      <c r="X527" t="str">
        <f t="shared" si="58"/>
        <v xml:space="preserve">          </v>
      </c>
      <c r="Y527" s="227" t="str">
        <f t="shared" si="59"/>
        <v/>
      </c>
      <c r="Z527" t="str">
        <f t="shared" si="60"/>
        <v/>
      </c>
      <c r="AL527" t="str">
        <f t="shared" si="61"/>
        <v/>
      </c>
      <c r="AM527" t="str">
        <f t="shared" si="62"/>
        <v/>
      </c>
    </row>
    <row r="528" spans="1:39">
      <c r="A528" t="str">
        <f>IF(ISBLANK(Record!A529),"",Record!A529)</f>
        <v/>
      </c>
      <c r="B528" t="str">
        <f>IF(ISBLANK(Record!B529),"",Record!B529)</f>
        <v/>
      </c>
      <c r="C528" s="227" t="str">
        <f>IF(ISBLANK(Record!C529),"",Record!C529)</f>
        <v/>
      </c>
      <c r="D528" t="str">
        <f>IF(ISBLANK(Record!D529),"",Record!D529)</f>
        <v/>
      </c>
      <c r="E528" t="str">
        <f>IF(ISBLANK(Record!E529),"",Record!E529)</f>
        <v/>
      </c>
      <c r="M528" t="str">
        <f t="shared" si="56"/>
        <v xml:space="preserve">          </v>
      </c>
      <c r="N528" s="227" t="str">
        <f t="shared" si="57"/>
        <v/>
      </c>
      <c r="X528" t="str">
        <f t="shared" si="58"/>
        <v xml:space="preserve">          </v>
      </c>
      <c r="Y528" s="227" t="str">
        <f t="shared" si="59"/>
        <v/>
      </c>
      <c r="Z528" t="str">
        <f t="shared" si="60"/>
        <v/>
      </c>
      <c r="AL528" t="str">
        <f t="shared" si="61"/>
        <v/>
      </c>
      <c r="AM528" t="str">
        <f t="shared" si="62"/>
        <v/>
      </c>
    </row>
    <row r="529" spans="1:39">
      <c r="A529" t="str">
        <f>IF(ISBLANK(Record!A530),"",Record!A530)</f>
        <v/>
      </c>
      <c r="B529" t="str">
        <f>IF(ISBLANK(Record!B530),"",Record!B530)</f>
        <v/>
      </c>
      <c r="C529" s="227" t="str">
        <f>IF(ISBLANK(Record!C530),"",Record!C530)</f>
        <v/>
      </c>
      <c r="D529" t="str">
        <f>IF(ISBLANK(Record!D530),"",Record!D530)</f>
        <v/>
      </c>
      <c r="E529" t="str">
        <f>IF(ISBLANK(Record!E530),"",Record!E530)</f>
        <v/>
      </c>
      <c r="M529" t="str">
        <f t="shared" si="56"/>
        <v xml:space="preserve">          </v>
      </c>
      <c r="N529" s="227" t="str">
        <f t="shared" si="57"/>
        <v/>
      </c>
      <c r="X529" t="str">
        <f t="shared" si="58"/>
        <v xml:space="preserve">          </v>
      </c>
      <c r="Y529" s="227" t="str">
        <f t="shared" si="59"/>
        <v/>
      </c>
      <c r="Z529" t="str">
        <f t="shared" si="60"/>
        <v/>
      </c>
      <c r="AL529" t="str">
        <f t="shared" si="61"/>
        <v/>
      </c>
      <c r="AM529" t="str">
        <f t="shared" si="62"/>
        <v/>
      </c>
    </row>
    <row r="530" spans="1:39">
      <c r="A530" t="str">
        <f>IF(ISBLANK(Record!A531),"",Record!A531)</f>
        <v/>
      </c>
      <c r="B530" t="str">
        <f>IF(ISBLANK(Record!B531),"",Record!B531)</f>
        <v/>
      </c>
      <c r="C530" s="227" t="str">
        <f>IF(ISBLANK(Record!C531),"",Record!C531)</f>
        <v/>
      </c>
      <c r="D530" t="str">
        <f>IF(ISBLANK(Record!D531),"",Record!D531)</f>
        <v/>
      </c>
      <c r="E530" t="str">
        <f>IF(ISBLANK(Record!E531),"",Record!E531)</f>
        <v/>
      </c>
      <c r="M530" t="str">
        <f t="shared" si="56"/>
        <v xml:space="preserve">          </v>
      </c>
      <c r="N530" s="227" t="str">
        <f t="shared" si="57"/>
        <v/>
      </c>
      <c r="X530" t="str">
        <f t="shared" si="58"/>
        <v xml:space="preserve">          </v>
      </c>
      <c r="Y530" s="227" t="str">
        <f t="shared" si="59"/>
        <v/>
      </c>
      <c r="Z530" t="str">
        <f t="shared" si="60"/>
        <v/>
      </c>
      <c r="AL530" t="str">
        <f t="shared" si="61"/>
        <v/>
      </c>
      <c r="AM530" t="str">
        <f t="shared" si="62"/>
        <v/>
      </c>
    </row>
    <row r="531" spans="1:39">
      <c r="A531" t="str">
        <f>IF(ISBLANK(Record!A532),"",Record!A532)</f>
        <v/>
      </c>
      <c r="B531" t="str">
        <f>IF(ISBLANK(Record!B532),"",Record!B532)</f>
        <v/>
      </c>
      <c r="C531" s="227" t="str">
        <f>IF(ISBLANK(Record!C532),"",Record!C532)</f>
        <v/>
      </c>
      <c r="D531" t="str">
        <f>IF(ISBLANK(Record!D532),"",Record!D532)</f>
        <v/>
      </c>
      <c r="E531" t="str">
        <f>IF(ISBLANK(Record!E532),"",Record!E532)</f>
        <v/>
      </c>
      <c r="M531" t="str">
        <f t="shared" si="56"/>
        <v xml:space="preserve">          </v>
      </c>
      <c r="N531" s="227" t="str">
        <f t="shared" si="57"/>
        <v/>
      </c>
      <c r="X531" t="str">
        <f t="shared" si="58"/>
        <v xml:space="preserve">          </v>
      </c>
      <c r="Y531" s="227" t="str">
        <f t="shared" si="59"/>
        <v/>
      </c>
      <c r="Z531" t="str">
        <f t="shared" si="60"/>
        <v/>
      </c>
      <c r="AL531" t="str">
        <f t="shared" si="61"/>
        <v/>
      </c>
      <c r="AM531" t="str">
        <f t="shared" si="62"/>
        <v/>
      </c>
    </row>
    <row r="532" spans="1:39">
      <c r="A532" t="str">
        <f>IF(ISBLANK(Record!A533),"",Record!A533)</f>
        <v/>
      </c>
      <c r="B532" t="str">
        <f>IF(ISBLANK(Record!B533),"",Record!B533)</f>
        <v/>
      </c>
      <c r="C532" s="227" t="str">
        <f>IF(ISBLANK(Record!C533),"",Record!C533)</f>
        <v/>
      </c>
      <c r="D532" t="str">
        <f>IF(ISBLANK(Record!D533),"",Record!D533)</f>
        <v/>
      </c>
      <c r="E532" t="str">
        <f>IF(ISBLANK(Record!E533),"",Record!E533)</f>
        <v/>
      </c>
      <c r="M532" t="str">
        <f t="shared" si="56"/>
        <v xml:space="preserve">          </v>
      </c>
      <c r="N532" s="227" t="str">
        <f t="shared" si="57"/>
        <v/>
      </c>
      <c r="X532" t="str">
        <f t="shared" si="58"/>
        <v xml:space="preserve">          </v>
      </c>
      <c r="Y532" s="227" t="str">
        <f t="shared" si="59"/>
        <v/>
      </c>
      <c r="Z532" t="str">
        <f t="shared" si="60"/>
        <v/>
      </c>
      <c r="AL532" t="str">
        <f t="shared" si="61"/>
        <v/>
      </c>
      <c r="AM532" t="str">
        <f t="shared" si="62"/>
        <v/>
      </c>
    </row>
    <row r="533" spans="1:39">
      <c r="A533" t="str">
        <f>IF(ISBLANK(Record!A534),"",Record!A534)</f>
        <v/>
      </c>
      <c r="B533" t="str">
        <f>IF(ISBLANK(Record!B534),"",Record!B534)</f>
        <v/>
      </c>
      <c r="C533" s="227" t="str">
        <f>IF(ISBLANK(Record!C534),"",Record!C534)</f>
        <v/>
      </c>
      <c r="D533" t="str">
        <f>IF(ISBLANK(Record!D534),"",Record!D534)</f>
        <v/>
      </c>
      <c r="E533" t="str">
        <f>IF(ISBLANK(Record!E534),"",Record!E534)</f>
        <v/>
      </c>
      <c r="M533" t="str">
        <f t="shared" si="56"/>
        <v xml:space="preserve">          </v>
      </c>
      <c r="N533" s="227" t="str">
        <f t="shared" si="57"/>
        <v/>
      </c>
      <c r="X533" t="str">
        <f t="shared" si="58"/>
        <v xml:space="preserve">          </v>
      </c>
      <c r="Y533" s="227" t="str">
        <f t="shared" si="59"/>
        <v/>
      </c>
      <c r="Z533" t="str">
        <f t="shared" si="60"/>
        <v/>
      </c>
      <c r="AL533" t="str">
        <f t="shared" si="61"/>
        <v/>
      </c>
      <c r="AM533" t="str">
        <f t="shared" si="62"/>
        <v/>
      </c>
    </row>
    <row r="534" spans="1:39">
      <c r="A534" t="str">
        <f>IF(ISBLANK(Record!A535),"",Record!A535)</f>
        <v/>
      </c>
      <c r="B534" t="str">
        <f>IF(ISBLANK(Record!B535),"",Record!B535)</f>
        <v/>
      </c>
      <c r="C534" s="227" t="str">
        <f>IF(ISBLANK(Record!C535),"",Record!C535)</f>
        <v/>
      </c>
      <c r="D534" t="str">
        <f>IF(ISBLANK(Record!D535),"",Record!D535)</f>
        <v/>
      </c>
      <c r="E534" t="str">
        <f>IF(ISBLANK(Record!E535),"",Record!E535)</f>
        <v/>
      </c>
      <c r="M534" t="str">
        <f t="shared" si="56"/>
        <v xml:space="preserve">          </v>
      </c>
      <c r="N534" s="227" t="str">
        <f t="shared" si="57"/>
        <v/>
      </c>
      <c r="X534" t="str">
        <f t="shared" si="58"/>
        <v xml:space="preserve">          </v>
      </c>
      <c r="Y534" s="227" t="str">
        <f t="shared" si="59"/>
        <v/>
      </c>
      <c r="Z534" t="str">
        <f t="shared" si="60"/>
        <v/>
      </c>
      <c r="AL534" t="str">
        <f t="shared" si="61"/>
        <v/>
      </c>
      <c r="AM534" t="str">
        <f t="shared" si="62"/>
        <v/>
      </c>
    </row>
    <row r="535" spans="1:39">
      <c r="A535" t="str">
        <f>IF(ISBLANK(Record!A536),"",Record!A536)</f>
        <v/>
      </c>
      <c r="B535" t="str">
        <f>IF(ISBLANK(Record!B536),"",Record!B536)</f>
        <v/>
      </c>
      <c r="C535" s="227" t="str">
        <f>IF(ISBLANK(Record!C536),"",Record!C536)</f>
        <v/>
      </c>
      <c r="D535" t="str">
        <f>IF(ISBLANK(Record!D536),"",Record!D536)</f>
        <v/>
      </c>
      <c r="E535" t="str">
        <f>IF(ISBLANK(Record!E536),"",Record!E536)</f>
        <v/>
      </c>
      <c r="M535" t="str">
        <f t="shared" si="56"/>
        <v xml:space="preserve">          </v>
      </c>
      <c r="N535" s="227" t="str">
        <f t="shared" si="57"/>
        <v/>
      </c>
      <c r="X535" t="str">
        <f t="shared" si="58"/>
        <v xml:space="preserve">          </v>
      </c>
      <c r="Y535" s="227" t="str">
        <f t="shared" si="59"/>
        <v/>
      </c>
      <c r="Z535" t="str">
        <f t="shared" si="60"/>
        <v/>
      </c>
      <c r="AL535" t="str">
        <f t="shared" si="61"/>
        <v/>
      </c>
      <c r="AM535" t="str">
        <f t="shared" si="62"/>
        <v/>
      </c>
    </row>
    <row r="536" spans="1:39">
      <c r="A536" t="str">
        <f>IF(ISBLANK(Record!A537),"",Record!A537)</f>
        <v/>
      </c>
      <c r="B536" t="str">
        <f>IF(ISBLANK(Record!B537),"",Record!B537)</f>
        <v/>
      </c>
      <c r="C536" s="227" t="str">
        <f>IF(ISBLANK(Record!C537),"",Record!C537)</f>
        <v/>
      </c>
      <c r="D536" t="str">
        <f>IF(ISBLANK(Record!D537),"",Record!D537)</f>
        <v/>
      </c>
      <c r="E536" t="str">
        <f>IF(ISBLANK(Record!E537),"",Record!E537)</f>
        <v/>
      </c>
      <c r="M536" t="str">
        <f t="shared" si="56"/>
        <v xml:space="preserve">          </v>
      </c>
      <c r="N536" s="227" t="str">
        <f t="shared" si="57"/>
        <v/>
      </c>
      <c r="X536" t="str">
        <f t="shared" si="58"/>
        <v xml:space="preserve">          </v>
      </c>
      <c r="Y536" s="227" t="str">
        <f t="shared" si="59"/>
        <v/>
      </c>
      <c r="Z536" t="str">
        <f t="shared" si="60"/>
        <v/>
      </c>
      <c r="AL536" t="str">
        <f t="shared" si="61"/>
        <v/>
      </c>
      <c r="AM536" t="str">
        <f t="shared" si="62"/>
        <v/>
      </c>
    </row>
    <row r="537" spans="1:39">
      <c r="A537" t="str">
        <f>IF(ISBLANK(Record!A538),"",Record!A538)</f>
        <v/>
      </c>
      <c r="B537" t="str">
        <f>IF(ISBLANK(Record!B538),"",Record!B538)</f>
        <v/>
      </c>
      <c r="C537" s="227" t="str">
        <f>IF(ISBLANK(Record!C538),"",Record!C538)</f>
        <v/>
      </c>
      <c r="D537" t="str">
        <f>IF(ISBLANK(Record!D538),"",Record!D538)</f>
        <v/>
      </c>
      <c r="E537" t="str">
        <f>IF(ISBLANK(Record!E538),"",Record!E538)</f>
        <v/>
      </c>
      <c r="M537" t="str">
        <f t="shared" si="56"/>
        <v xml:space="preserve">          </v>
      </c>
      <c r="N537" s="227" t="str">
        <f t="shared" si="57"/>
        <v/>
      </c>
      <c r="X537" t="str">
        <f t="shared" si="58"/>
        <v xml:space="preserve">          </v>
      </c>
      <c r="Y537" s="227" t="str">
        <f t="shared" si="59"/>
        <v/>
      </c>
      <c r="Z537" t="str">
        <f t="shared" si="60"/>
        <v/>
      </c>
      <c r="AL537" t="str">
        <f t="shared" si="61"/>
        <v/>
      </c>
      <c r="AM537" t="str">
        <f t="shared" si="62"/>
        <v/>
      </c>
    </row>
    <row r="538" spans="1:39">
      <c r="A538" t="str">
        <f>IF(ISBLANK(Record!A539),"",Record!A539)</f>
        <v/>
      </c>
      <c r="B538" t="str">
        <f>IF(ISBLANK(Record!B539),"",Record!B539)</f>
        <v/>
      </c>
      <c r="C538" s="227" t="str">
        <f>IF(ISBLANK(Record!C539),"",Record!C539)</f>
        <v/>
      </c>
      <c r="D538" t="str">
        <f>IF(ISBLANK(Record!D539),"",Record!D539)</f>
        <v/>
      </c>
      <c r="E538" t="str">
        <f>IF(ISBLANK(Record!E539),"",Record!E539)</f>
        <v/>
      </c>
      <c r="M538" t="str">
        <f t="shared" si="56"/>
        <v xml:space="preserve">          </v>
      </c>
      <c r="N538" s="227" t="str">
        <f t="shared" si="57"/>
        <v/>
      </c>
      <c r="X538" t="str">
        <f t="shared" si="58"/>
        <v xml:space="preserve">          </v>
      </c>
      <c r="Y538" s="227" t="str">
        <f t="shared" si="59"/>
        <v/>
      </c>
      <c r="Z538" t="str">
        <f t="shared" si="60"/>
        <v/>
      </c>
      <c r="AL538" t="str">
        <f t="shared" si="61"/>
        <v/>
      </c>
      <c r="AM538" t="str">
        <f t="shared" si="62"/>
        <v/>
      </c>
    </row>
    <row r="539" spans="1:39">
      <c r="A539" t="str">
        <f>IF(ISBLANK(Record!A540),"",Record!A540)</f>
        <v/>
      </c>
      <c r="B539" t="str">
        <f>IF(ISBLANK(Record!B540),"",Record!B540)</f>
        <v/>
      </c>
      <c r="C539" s="227" t="str">
        <f>IF(ISBLANK(Record!C540),"",Record!C540)</f>
        <v/>
      </c>
      <c r="D539" t="str">
        <f>IF(ISBLANK(Record!D540),"",Record!D540)</f>
        <v/>
      </c>
      <c r="E539" t="str">
        <f>IF(ISBLANK(Record!E540),"",Record!E540)</f>
        <v/>
      </c>
      <c r="M539" t="str">
        <f t="shared" si="56"/>
        <v xml:space="preserve">          </v>
      </c>
      <c r="N539" s="227" t="str">
        <f t="shared" si="57"/>
        <v/>
      </c>
      <c r="X539" t="str">
        <f t="shared" si="58"/>
        <v xml:space="preserve">          </v>
      </c>
      <c r="Y539" s="227" t="str">
        <f t="shared" si="59"/>
        <v/>
      </c>
      <c r="Z539" t="str">
        <f t="shared" si="60"/>
        <v/>
      </c>
      <c r="AL539" t="str">
        <f t="shared" si="61"/>
        <v/>
      </c>
      <c r="AM539" t="str">
        <f t="shared" si="62"/>
        <v/>
      </c>
    </row>
    <row r="540" spans="1:39">
      <c r="A540" t="str">
        <f>IF(ISBLANK(Record!A541),"",Record!A541)</f>
        <v/>
      </c>
      <c r="B540" t="str">
        <f>IF(ISBLANK(Record!B541),"",Record!B541)</f>
        <v/>
      </c>
      <c r="C540" s="227" t="str">
        <f>IF(ISBLANK(Record!C541),"",Record!C541)</f>
        <v/>
      </c>
      <c r="D540" t="str">
        <f>IF(ISBLANK(Record!D541),"",Record!D541)</f>
        <v/>
      </c>
      <c r="E540" t="str">
        <f>IF(ISBLANK(Record!E541),"",Record!E541)</f>
        <v/>
      </c>
      <c r="M540" t="str">
        <f t="shared" si="56"/>
        <v xml:space="preserve">          </v>
      </c>
      <c r="N540" s="227" t="str">
        <f t="shared" si="57"/>
        <v/>
      </c>
      <c r="X540" t="str">
        <f t="shared" si="58"/>
        <v xml:space="preserve">          </v>
      </c>
      <c r="Y540" s="227" t="str">
        <f t="shared" si="59"/>
        <v/>
      </c>
      <c r="Z540" t="str">
        <f t="shared" si="60"/>
        <v/>
      </c>
      <c r="AL540" t="str">
        <f t="shared" si="61"/>
        <v/>
      </c>
      <c r="AM540" t="str">
        <f t="shared" si="62"/>
        <v/>
      </c>
    </row>
    <row r="541" spans="1:39">
      <c r="A541" t="str">
        <f>IF(ISBLANK(Record!A542),"",Record!A542)</f>
        <v/>
      </c>
      <c r="B541" t="str">
        <f>IF(ISBLANK(Record!B542),"",Record!B542)</f>
        <v/>
      </c>
      <c r="C541" s="227" t="str">
        <f>IF(ISBLANK(Record!C542),"",Record!C542)</f>
        <v/>
      </c>
      <c r="D541" t="str">
        <f>IF(ISBLANK(Record!D542),"",Record!D542)</f>
        <v/>
      </c>
      <c r="E541" t="str">
        <f>IF(ISBLANK(Record!E542),"",Record!E542)</f>
        <v/>
      </c>
      <c r="M541" t="str">
        <f t="shared" si="56"/>
        <v xml:space="preserve">          </v>
      </c>
      <c r="N541" s="227" t="str">
        <f t="shared" si="57"/>
        <v/>
      </c>
      <c r="X541" t="str">
        <f t="shared" si="58"/>
        <v xml:space="preserve">          </v>
      </c>
      <c r="Y541" s="227" t="str">
        <f t="shared" si="59"/>
        <v/>
      </c>
      <c r="Z541" t="str">
        <f t="shared" si="60"/>
        <v/>
      </c>
      <c r="AL541" t="str">
        <f t="shared" si="61"/>
        <v/>
      </c>
      <c r="AM541" t="str">
        <f t="shared" si="62"/>
        <v/>
      </c>
    </row>
    <row r="542" spans="1:39">
      <c r="A542" t="str">
        <f>IF(ISBLANK(Record!A543),"",Record!A543)</f>
        <v/>
      </c>
      <c r="B542" t="str">
        <f>IF(ISBLANK(Record!B543),"",Record!B543)</f>
        <v/>
      </c>
      <c r="C542" s="227" t="str">
        <f>IF(ISBLANK(Record!C543),"",Record!C543)</f>
        <v/>
      </c>
      <c r="D542" t="str">
        <f>IF(ISBLANK(Record!D543),"",Record!D543)</f>
        <v/>
      </c>
      <c r="E542" t="str">
        <f>IF(ISBLANK(Record!E543),"",Record!E543)</f>
        <v/>
      </c>
      <c r="M542" t="str">
        <f t="shared" si="56"/>
        <v xml:space="preserve">          </v>
      </c>
      <c r="N542" s="227" t="str">
        <f t="shared" si="57"/>
        <v/>
      </c>
      <c r="X542" t="str">
        <f t="shared" si="58"/>
        <v xml:space="preserve">          </v>
      </c>
      <c r="Y542" s="227" t="str">
        <f t="shared" si="59"/>
        <v/>
      </c>
      <c r="Z542" t="str">
        <f t="shared" si="60"/>
        <v/>
      </c>
      <c r="AL542" t="str">
        <f t="shared" si="61"/>
        <v/>
      </c>
      <c r="AM542" t="str">
        <f t="shared" si="62"/>
        <v/>
      </c>
    </row>
    <row r="543" spans="1:39">
      <c r="A543" t="str">
        <f>IF(ISBLANK(Record!A544),"",Record!A544)</f>
        <v/>
      </c>
      <c r="B543" t="str">
        <f>IF(ISBLANK(Record!B544),"",Record!B544)</f>
        <v/>
      </c>
      <c r="C543" s="227" t="str">
        <f>IF(ISBLANK(Record!C544),"",Record!C544)</f>
        <v/>
      </c>
      <c r="D543" t="str">
        <f>IF(ISBLANK(Record!D544),"",Record!D544)</f>
        <v/>
      </c>
      <c r="E543" t="str">
        <f>IF(ISBLANK(Record!E544),"",Record!E544)</f>
        <v/>
      </c>
      <c r="M543" t="str">
        <f t="shared" si="56"/>
        <v xml:space="preserve">          </v>
      </c>
      <c r="N543" s="227" t="str">
        <f t="shared" si="57"/>
        <v/>
      </c>
      <c r="X543" t="str">
        <f t="shared" si="58"/>
        <v xml:space="preserve">          </v>
      </c>
      <c r="Y543" s="227" t="str">
        <f t="shared" si="59"/>
        <v/>
      </c>
      <c r="Z543" t="str">
        <f t="shared" si="60"/>
        <v/>
      </c>
      <c r="AL543" t="str">
        <f t="shared" si="61"/>
        <v/>
      </c>
      <c r="AM543" t="str">
        <f t="shared" si="62"/>
        <v/>
      </c>
    </row>
    <row r="544" spans="1:39">
      <c r="A544" t="str">
        <f>IF(ISBLANK(Record!A545),"",Record!A545)</f>
        <v/>
      </c>
      <c r="B544" t="str">
        <f>IF(ISBLANK(Record!B545),"",Record!B545)</f>
        <v/>
      </c>
      <c r="C544" s="227" t="str">
        <f>IF(ISBLANK(Record!C545),"",Record!C545)</f>
        <v/>
      </c>
      <c r="D544" t="str">
        <f>IF(ISBLANK(Record!D545),"",Record!D545)</f>
        <v/>
      </c>
      <c r="E544" t="str">
        <f>IF(ISBLANK(Record!E545),"",Record!E545)</f>
        <v/>
      </c>
      <c r="M544" t="str">
        <f t="shared" si="56"/>
        <v xml:space="preserve">          </v>
      </c>
      <c r="N544" s="227" t="str">
        <f t="shared" si="57"/>
        <v/>
      </c>
      <c r="X544" t="str">
        <f t="shared" si="58"/>
        <v xml:space="preserve">          </v>
      </c>
      <c r="Y544" s="227" t="str">
        <f t="shared" si="59"/>
        <v/>
      </c>
      <c r="Z544" t="str">
        <f t="shared" si="60"/>
        <v/>
      </c>
      <c r="AL544" t="str">
        <f t="shared" si="61"/>
        <v/>
      </c>
      <c r="AM544" t="str">
        <f t="shared" si="62"/>
        <v/>
      </c>
    </row>
    <row r="545" spans="1:39">
      <c r="A545" t="str">
        <f>IF(ISBLANK(Record!A546),"",Record!A546)</f>
        <v/>
      </c>
      <c r="B545" t="str">
        <f>IF(ISBLANK(Record!B546),"",Record!B546)</f>
        <v/>
      </c>
      <c r="C545" s="227" t="str">
        <f>IF(ISBLANK(Record!C546),"",Record!C546)</f>
        <v/>
      </c>
      <c r="D545" t="str">
        <f>IF(ISBLANK(Record!D546),"",Record!D546)</f>
        <v/>
      </c>
      <c r="E545" t="str">
        <f>IF(ISBLANK(Record!E546),"",Record!E546)</f>
        <v/>
      </c>
      <c r="M545" t="str">
        <f t="shared" si="56"/>
        <v xml:space="preserve">          </v>
      </c>
      <c r="N545" s="227" t="str">
        <f t="shared" si="57"/>
        <v/>
      </c>
      <c r="X545" t="str">
        <f t="shared" si="58"/>
        <v xml:space="preserve">          </v>
      </c>
      <c r="Y545" s="227" t="str">
        <f t="shared" si="59"/>
        <v/>
      </c>
      <c r="Z545" t="str">
        <f t="shared" si="60"/>
        <v/>
      </c>
      <c r="AL545" t="str">
        <f t="shared" si="61"/>
        <v/>
      </c>
      <c r="AM545" t="str">
        <f t="shared" si="62"/>
        <v/>
      </c>
    </row>
    <row r="546" spans="1:39">
      <c r="A546" t="str">
        <f>IF(ISBLANK(Record!A547),"",Record!A547)</f>
        <v/>
      </c>
      <c r="B546" t="str">
        <f>IF(ISBLANK(Record!B547),"",Record!B547)</f>
        <v/>
      </c>
      <c r="C546" s="227" t="str">
        <f>IF(ISBLANK(Record!C547),"",Record!C547)</f>
        <v/>
      </c>
      <c r="D546" t="str">
        <f>IF(ISBLANK(Record!D547),"",Record!D547)</f>
        <v/>
      </c>
      <c r="E546" t="str">
        <f>IF(ISBLANK(Record!E547),"",Record!E547)</f>
        <v/>
      </c>
      <c r="M546" t="str">
        <f t="shared" si="56"/>
        <v xml:space="preserve">          </v>
      </c>
      <c r="N546" s="227" t="str">
        <f t="shared" si="57"/>
        <v/>
      </c>
      <c r="X546" t="str">
        <f t="shared" si="58"/>
        <v xml:space="preserve">          </v>
      </c>
      <c r="Y546" s="227" t="str">
        <f t="shared" si="59"/>
        <v/>
      </c>
      <c r="Z546" t="str">
        <f t="shared" si="60"/>
        <v/>
      </c>
      <c r="AL546" t="str">
        <f t="shared" si="61"/>
        <v/>
      </c>
      <c r="AM546" t="str">
        <f t="shared" si="62"/>
        <v/>
      </c>
    </row>
    <row r="547" spans="1:39">
      <c r="A547" t="str">
        <f>IF(ISBLANK(Record!A548),"",Record!A548)</f>
        <v/>
      </c>
      <c r="B547" t="str">
        <f>IF(ISBLANK(Record!B548),"",Record!B548)</f>
        <v/>
      </c>
      <c r="C547" s="227" t="str">
        <f>IF(ISBLANK(Record!C548),"",Record!C548)</f>
        <v/>
      </c>
      <c r="D547" t="str">
        <f>IF(ISBLANK(Record!D548),"",Record!D548)</f>
        <v/>
      </c>
      <c r="E547" t="str">
        <f>IF(ISBLANK(Record!E548),"",Record!E548)</f>
        <v/>
      </c>
      <c r="M547" t="str">
        <f t="shared" si="56"/>
        <v xml:space="preserve">          </v>
      </c>
      <c r="N547" s="227" t="str">
        <f t="shared" si="57"/>
        <v/>
      </c>
      <c r="X547" t="str">
        <f t="shared" si="58"/>
        <v xml:space="preserve">          </v>
      </c>
      <c r="Y547" s="227" t="str">
        <f t="shared" si="59"/>
        <v/>
      </c>
      <c r="Z547" t="str">
        <f t="shared" si="60"/>
        <v/>
      </c>
      <c r="AL547" t="str">
        <f t="shared" si="61"/>
        <v/>
      </c>
      <c r="AM547" t="str">
        <f t="shared" si="62"/>
        <v/>
      </c>
    </row>
    <row r="548" spans="1:39">
      <c r="A548" t="str">
        <f>IF(ISBLANK(Record!A549),"",Record!A549)</f>
        <v/>
      </c>
      <c r="B548" t="str">
        <f>IF(ISBLANK(Record!B549),"",Record!B549)</f>
        <v/>
      </c>
      <c r="C548" s="227" t="str">
        <f>IF(ISBLANK(Record!C549),"",Record!C549)</f>
        <v/>
      </c>
      <c r="D548" t="str">
        <f>IF(ISBLANK(Record!D549),"",Record!D549)</f>
        <v/>
      </c>
      <c r="E548" t="str">
        <f>IF(ISBLANK(Record!E549),"",Record!E549)</f>
        <v/>
      </c>
      <c r="M548" t="str">
        <f t="shared" si="56"/>
        <v xml:space="preserve">          </v>
      </c>
      <c r="N548" s="227" t="str">
        <f t="shared" si="57"/>
        <v/>
      </c>
      <c r="X548" t="str">
        <f t="shared" si="58"/>
        <v xml:space="preserve">          </v>
      </c>
      <c r="Y548" s="227" t="str">
        <f t="shared" si="59"/>
        <v/>
      </c>
      <c r="Z548" t="str">
        <f t="shared" si="60"/>
        <v/>
      </c>
      <c r="AL548" t="str">
        <f t="shared" si="61"/>
        <v/>
      </c>
      <c r="AM548" t="str">
        <f t="shared" si="62"/>
        <v/>
      </c>
    </row>
    <row r="549" spans="1:39">
      <c r="A549" t="str">
        <f>IF(ISBLANK(Record!A550),"",Record!A550)</f>
        <v/>
      </c>
      <c r="B549" t="str">
        <f>IF(ISBLANK(Record!B550),"",Record!B550)</f>
        <v/>
      </c>
      <c r="C549" s="227" t="str">
        <f>IF(ISBLANK(Record!C550),"",Record!C550)</f>
        <v/>
      </c>
      <c r="D549" t="str">
        <f>IF(ISBLANK(Record!D550),"",Record!D550)</f>
        <v/>
      </c>
      <c r="E549" t="str">
        <f>IF(ISBLANK(Record!E550),"",Record!E550)</f>
        <v/>
      </c>
      <c r="M549" t="str">
        <f t="shared" si="56"/>
        <v xml:space="preserve">          </v>
      </c>
      <c r="N549" s="227" t="str">
        <f t="shared" si="57"/>
        <v/>
      </c>
      <c r="X549" t="str">
        <f t="shared" si="58"/>
        <v xml:space="preserve">          </v>
      </c>
      <c r="Y549" s="227" t="str">
        <f t="shared" si="59"/>
        <v/>
      </c>
      <c r="Z549" t="str">
        <f t="shared" si="60"/>
        <v/>
      </c>
      <c r="AL549" t="str">
        <f t="shared" si="61"/>
        <v/>
      </c>
      <c r="AM549" t="str">
        <f t="shared" si="62"/>
        <v/>
      </c>
    </row>
    <row r="550" spans="1:39">
      <c r="A550" t="str">
        <f>IF(ISBLANK(Record!A551),"",Record!A551)</f>
        <v/>
      </c>
      <c r="B550" t="str">
        <f>IF(ISBLANK(Record!B551),"",Record!B551)</f>
        <v/>
      </c>
      <c r="C550" s="227" t="str">
        <f>IF(ISBLANK(Record!C551),"",Record!C551)</f>
        <v/>
      </c>
      <c r="D550" t="str">
        <f>IF(ISBLANK(Record!D551),"",Record!D551)</f>
        <v/>
      </c>
      <c r="E550" t="str">
        <f>IF(ISBLANK(Record!E551),"",Record!E551)</f>
        <v/>
      </c>
      <c r="M550" t="str">
        <f t="shared" si="56"/>
        <v xml:space="preserve">          </v>
      </c>
      <c r="N550" s="227" t="str">
        <f t="shared" si="57"/>
        <v/>
      </c>
      <c r="X550" t="str">
        <f t="shared" si="58"/>
        <v xml:space="preserve">          </v>
      </c>
      <c r="Y550" s="227" t="str">
        <f t="shared" si="59"/>
        <v/>
      </c>
      <c r="Z550" t="str">
        <f t="shared" si="60"/>
        <v/>
      </c>
      <c r="AL550" t="str">
        <f t="shared" si="61"/>
        <v/>
      </c>
      <c r="AM550" t="str">
        <f t="shared" si="62"/>
        <v/>
      </c>
    </row>
    <row r="551" spans="1:39">
      <c r="A551" t="str">
        <f>IF(ISBLANK(Record!A552),"",Record!A552)</f>
        <v/>
      </c>
      <c r="B551" t="str">
        <f>IF(ISBLANK(Record!B552),"",Record!B552)</f>
        <v/>
      </c>
      <c r="C551" s="227" t="str">
        <f>IF(ISBLANK(Record!C552),"",Record!C552)</f>
        <v/>
      </c>
      <c r="D551" t="str">
        <f>IF(ISBLANK(Record!D552),"",Record!D552)</f>
        <v/>
      </c>
      <c r="E551" t="str">
        <f>IF(ISBLANK(Record!E552),"",Record!E552)</f>
        <v/>
      </c>
      <c r="M551" t="str">
        <f t="shared" si="56"/>
        <v xml:space="preserve">          </v>
      </c>
      <c r="N551" s="227" t="str">
        <f t="shared" si="57"/>
        <v/>
      </c>
      <c r="X551" t="str">
        <f t="shared" si="58"/>
        <v xml:space="preserve">          </v>
      </c>
      <c r="Y551" s="227" t="str">
        <f t="shared" si="59"/>
        <v/>
      </c>
      <c r="Z551" t="str">
        <f t="shared" si="60"/>
        <v/>
      </c>
      <c r="AL551" t="str">
        <f t="shared" si="61"/>
        <v/>
      </c>
      <c r="AM551" t="str">
        <f t="shared" si="62"/>
        <v/>
      </c>
    </row>
    <row r="552" spans="1:39">
      <c r="A552" t="str">
        <f>IF(ISBLANK(Record!A553),"",Record!A553)</f>
        <v/>
      </c>
      <c r="B552" t="str">
        <f>IF(ISBLANK(Record!B553),"",Record!B553)</f>
        <v/>
      </c>
      <c r="C552" s="227" t="str">
        <f>IF(ISBLANK(Record!C553),"",Record!C553)</f>
        <v/>
      </c>
      <c r="D552" t="str">
        <f>IF(ISBLANK(Record!D553),"",Record!D553)</f>
        <v/>
      </c>
      <c r="E552" t="str">
        <f>IF(ISBLANK(Record!E553),"",Record!E553)</f>
        <v/>
      </c>
      <c r="M552" t="str">
        <f t="shared" si="56"/>
        <v xml:space="preserve">          </v>
      </c>
      <c r="N552" s="227" t="str">
        <f t="shared" si="57"/>
        <v/>
      </c>
      <c r="X552" t="str">
        <f t="shared" si="58"/>
        <v xml:space="preserve">          </v>
      </c>
      <c r="Y552" s="227" t="str">
        <f t="shared" si="59"/>
        <v/>
      </c>
      <c r="Z552" t="str">
        <f t="shared" si="60"/>
        <v/>
      </c>
      <c r="AL552" t="str">
        <f t="shared" si="61"/>
        <v/>
      </c>
      <c r="AM552" t="str">
        <f t="shared" si="62"/>
        <v/>
      </c>
    </row>
    <row r="553" spans="1:39">
      <c r="A553" t="str">
        <f>IF(ISBLANK(Record!A554),"",Record!A554)</f>
        <v/>
      </c>
      <c r="B553" t="str">
        <f>IF(ISBLANK(Record!B554),"",Record!B554)</f>
        <v/>
      </c>
      <c r="C553" s="227" t="str">
        <f>IF(ISBLANK(Record!C554),"",Record!C554)</f>
        <v/>
      </c>
      <c r="D553" t="str">
        <f>IF(ISBLANK(Record!D554),"",Record!D554)</f>
        <v/>
      </c>
      <c r="E553" t="str">
        <f>IF(ISBLANK(Record!E554),"",Record!E554)</f>
        <v/>
      </c>
      <c r="M553" t="str">
        <f t="shared" si="56"/>
        <v xml:space="preserve">          </v>
      </c>
      <c r="N553" s="227" t="str">
        <f t="shared" si="57"/>
        <v/>
      </c>
      <c r="X553" t="str">
        <f t="shared" si="58"/>
        <v xml:space="preserve">          </v>
      </c>
      <c r="Y553" s="227" t="str">
        <f t="shared" si="59"/>
        <v/>
      </c>
      <c r="Z553" t="str">
        <f t="shared" si="60"/>
        <v/>
      </c>
      <c r="AL553" t="str">
        <f t="shared" si="61"/>
        <v/>
      </c>
      <c r="AM553" t="str">
        <f t="shared" si="62"/>
        <v/>
      </c>
    </row>
    <row r="554" spans="1:39">
      <c r="A554" t="str">
        <f>IF(ISBLANK(Record!A555),"",Record!A555)</f>
        <v/>
      </c>
      <c r="B554" t="str">
        <f>IF(ISBLANK(Record!B555),"",Record!B555)</f>
        <v/>
      </c>
      <c r="C554" s="227" t="str">
        <f>IF(ISBLANK(Record!C555),"",Record!C555)</f>
        <v/>
      </c>
      <c r="D554" t="str">
        <f>IF(ISBLANK(Record!D555),"",Record!D555)</f>
        <v/>
      </c>
      <c r="E554" t="str">
        <f>IF(ISBLANK(Record!E555),"",Record!E555)</f>
        <v/>
      </c>
      <c r="M554" t="str">
        <f t="shared" si="56"/>
        <v xml:space="preserve">          </v>
      </c>
      <c r="N554" s="227" t="str">
        <f t="shared" si="57"/>
        <v/>
      </c>
      <c r="X554" t="str">
        <f t="shared" si="58"/>
        <v xml:space="preserve">          </v>
      </c>
      <c r="Y554" s="227" t="str">
        <f t="shared" si="59"/>
        <v/>
      </c>
      <c r="Z554" t="str">
        <f t="shared" si="60"/>
        <v/>
      </c>
      <c r="AL554" t="str">
        <f t="shared" si="61"/>
        <v/>
      </c>
      <c r="AM554" t="str">
        <f t="shared" si="62"/>
        <v/>
      </c>
    </row>
    <row r="555" spans="1:39">
      <c r="A555" t="str">
        <f>IF(ISBLANK(Record!A556),"",Record!A556)</f>
        <v/>
      </c>
      <c r="B555" t="str">
        <f>IF(ISBLANK(Record!B556),"",Record!B556)</f>
        <v/>
      </c>
      <c r="C555" s="227" t="str">
        <f>IF(ISBLANK(Record!C556),"",Record!C556)</f>
        <v/>
      </c>
      <c r="D555" t="str">
        <f>IF(ISBLANK(Record!D556),"",Record!D556)</f>
        <v/>
      </c>
      <c r="E555" t="str">
        <f>IF(ISBLANK(Record!E556),"",Record!E556)</f>
        <v/>
      </c>
      <c r="M555" t="str">
        <f t="shared" si="56"/>
        <v xml:space="preserve">          </v>
      </c>
      <c r="N555" s="227" t="str">
        <f t="shared" si="57"/>
        <v/>
      </c>
      <c r="X555" t="str">
        <f t="shared" si="58"/>
        <v xml:space="preserve">          </v>
      </c>
      <c r="Y555" s="227" t="str">
        <f t="shared" si="59"/>
        <v/>
      </c>
      <c r="Z555" t="str">
        <f t="shared" si="60"/>
        <v/>
      </c>
      <c r="AL555" t="str">
        <f t="shared" si="61"/>
        <v/>
      </c>
      <c r="AM555" t="str">
        <f t="shared" si="62"/>
        <v/>
      </c>
    </row>
    <row r="556" spans="1:39">
      <c r="A556" t="str">
        <f>IF(ISBLANK(Record!A557),"",Record!A557)</f>
        <v/>
      </c>
      <c r="B556" t="str">
        <f>IF(ISBLANK(Record!B557),"",Record!B557)</f>
        <v/>
      </c>
      <c r="C556" s="227" t="str">
        <f>IF(ISBLANK(Record!C557),"",Record!C557)</f>
        <v/>
      </c>
      <c r="D556" t="str">
        <f>IF(ISBLANK(Record!D557),"",Record!D557)</f>
        <v/>
      </c>
      <c r="E556" t="str">
        <f>IF(ISBLANK(Record!E557),"",Record!E557)</f>
        <v/>
      </c>
      <c r="M556" t="str">
        <f t="shared" si="56"/>
        <v xml:space="preserve">          </v>
      </c>
      <c r="N556" s="227" t="str">
        <f t="shared" si="57"/>
        <v/>
      </c>
      <c r="X556" t="str">
        <f t="shared" si="58"/>
        <v xml:space="preserve">          </v>
      </c>
      <c r="Y556" s="227" t="str">
        <f t="shared" si="59"/>
        <v/>
      </c>
      <c r="Z556" t="str">
        <f t="shared" si="60"/>
        <v/>
      </c>
      <c r="AL556" t="str">
        <f t="shared" si="61"/>
        <v/>
      </c>
      <c r="AM556" t="str">
        <f t="shared" si="62"/>
        <v/>
      </c>
    </row>
    <row r="557" spans="1:39">
      <c r="A557" t="str">
        <f>IF(ISBLANK(Record!A558),"",Record!A558)</f>
        <v/>
      </c>
      <c r="B557" t="str">
        <f>IF(ISBLANK(Record!B558),"",Record!B558)</f>
        <v/>
      </c>
      <c r="C557" s="227" t="str">
        <f>IF(ISBLANK(Record!C558),"",Record!C558)</f>
        <v/>
      </c>
      <c r="D557" t="str">
        <f>IF(ISBLANK(Record!D558),"",Record!D558)</f>
        <v/>
      </c>
      <c r="E557" t="str">
        <f>IF(ISBLANK(Record!E558),"",Record!E558)</f>
        <v/>
      </c>
      <c r="M557" t="str">
        <f t="shared" si="56"/>
        <v xml:space="preserve">          </v>
      </c>
      <c r="N557" s="227" t="str">
        <f t="shared" si="57"/>
        <v/>
      </c>
      <c r="X557" t="str">
        <f t="shared" si="58"/>
        <v xml:space="preserve">          </v>
      </c>
      <c r="Y557" s="227" t="str">
        <f t="shared" si="59"/>
        <v/>
      </c>
      <c r="Z557" t="str">
        <f t="shared" si="60"/>
        <v/>
      </c>
      <c r="AL557" t="str">
        <f t="shared" si="61"/>
        <v/>
      </c>
      <c r="AM557" t="str">
        <f t="shared" si="62"/>
        <v/>
      </c>
    </row>
    <row r="558" spans="1:39">
      <c r="A558" t="str">
        <f>IF(ISBLANK(Record!A559),"",Record!A559)</f>
        <v/>
      </c>
      <c r="B558" t="str">
        <f>IF(ISBLANK(Record!B559),"",Record!B559)</f>
        <v/>
      </c>
      <c r="C558" s="227" t="str">
        <f>IF(ISBLANK(Record!C559),"",Record!C559)</f>
        <v/>
      </c>
      <c r="D558" t="str">
        <f>IF(ISBLANK(Record!D559),"",Record!D559)</f>
        <v/>
      </c>
      <c r="E558" t="str">
        <f>IF(ISBLANK(Record!E559),"",Record!E559)</f>
        <v/>
      </c>
      <c r="M558" t="str">
        <f t="shared" si="56"/>
        <v xml:space="preserve">          </v>
      </c>
      <c r="N558" s="227" t="str">
        <f t="shared" si="57"/>
        <v/>
      </c>
      <c r="X558" t="str">
        <f t="shared" si="58"/>
        <v xml:space="preserve">          </v>
      </c>
      <c r="Y558" s="227" t="str">
        <f t="shared" si="59"/>
        <v/>
      </c>
      <c r="Z558" t="str">
        <f t="shared" si="60"/>
        <v/>
      </c>
      <c r="AL558" t="str">
        <f t="shared" si="61"/>
        <v/>
      </c>
      <c r="AM558" t="str">
        <f t="shared" si="62"/>
        <v/>
      </c>
    </row>
    <row r="559" spans="1:39">
      <c r="A559" t="str">
        <f>IF(ISBLANK(Record!A560),"",Record!A560)</f>
        <v/>
      </c>
      <c r="B559" t="str">
        <f>IF(ISBLANK(Record!B560),"",Record!B560)</f>
        <v/>
      </c>
      <c r="C559" s="227" t="str">
        <f>IF(ISBLANK(Record!C560),"",Record!C560)</f>
        <v/>
      </c>
      <c r="D559" t="str">
        <f>IF(ISBLANK(Record!D560),"",Record!D560)</f>
        <v/>
      </c>
      <c r="E559" t="str">
        <f>IF(ISBLANK(Record!E560),"",Record!E560)</f>
        <v/>
      </c>
      <c r="M559" t="str">
        <f t="shared" si="56"/>
        <v xml:space="preserve">          </v>
      </c>
      <c r="N559" s="227" t="str">
        <f t="shared" si="57"/>
        <v/>
      </c>
      <c r="X559" t="str">
        <f t="shared" si="58"/>
        <v xml:space="preserve">          </v>
      </c>
      <c r="Y559" s="227" t="str">
        <f t="shared" si="59"/>
        <v/>
      </c>
      <c r="Z559" t="str">
        <f t="shared" si="60"/>
        <v/>
      </c>
      <c r="AL559" t="str">
        <f t="shared" si="61"/>
        <v/>
      </c>
      <c r="AM559" t="str">
        <f t="shared" si="62"/>
        <v/>
      </c>
    </row>
    <row r="560" spans="1:39">
      <c r="A560" t="str">
        <f>IF(ISBLANK(Record!A561),"",Record!A561)</f>
        <v/>
      </c>
      <c r="B560" t="str">
        <f>IF(ISBLANK(Record!B561),"",Record!B561)</f>
        <v/>
      </c>
      <c r="C560" s="227" t="str">
        <f>IF(ISBLANK(Record!C561),"",Record!C561)</f>
        <v/>
      </c>
      <c r="D560" t="str">
        <f>IF(ISBLANK(Record!D561),"",Record!D561)</f>
        <v/>
      </c>
      <c r="E560" t="str">
        <f>IF(ISBLANK(Record!E561),"",Record!E561)</f>
        <v/>
      </c>
      <c r="M560" t="str">
        <f t="shared" si="56"/>
        <v xml:space="preserve">          </v>
      </c>
      <c r="N560" s="227" t="str">
        <f t="shared" si="57"/>
        <v/>
      </c>
      <c r="X560" t="str">
        <f t="shared" si="58"/>
        <v xml:space="preserve">          </v>
      </c>
      <c r="Y560" s="227" t="str">
        <f t="shared" si="59"/>
        <v/>
      </c>
      <c r="Z560" t="str">
        <f t="shared" si="60"/>
        <v/>
      </c>
      <c r="AL560" t="str">
        <f t="shared" si="61"/>
        <v/>
      </c>
      <c r="AM560" t="str">
        <f t="shared" si="62"/>
        <v/>
      </c>
    </row>
    <row r="561" spans="1:39">
      <c r="A561" t="str">
        <f>IF(ISBLANK(Record!A562),"",Record!A562)</f>
        <v/>
      </c>
      <c r="B561" t="str">
        <f>IF(ISBLANK(Record!B562),"",Record!B562)</f>
        <v/>
      </c>
      <c r="C561" s="227" t="str">
        <f>IF(ISBLANK(Record!C562),"",Record!C562)</f>
        <v/>
      </c>
      <c r="D561" t="str">
        <f>IF(ISBLANK(Record!D562),"",Record!D562)</f>
        <v/>
      </c>
      <c r="E561" t="str">
        <f>IF(ISBLANK(Record!E562),"",Record!E562)</f>
        <v/>
      </c>
      <c r="M561" t="str">
        <f t="shared" si="56"/>
        <v xml:space="preserve">          </v>
      </c>
      <c r="N561" s="227" t="str">
        <f t="shared" si="57"/>
        <v/>
      </c>
      <c r="X561" t="str">
        <f t="shared" si="58"/>
        <v xml:space="preserve">          </v>
      </c>
      <c r="Y561" s="227" t="str">
        <f t="shared" si="59"/>
        <v/>
      </c>
      <c r="Z561" t="str">
        <f t="shared" si="60"/>
        <v/>
      </c>
      <c r="AL561" t="str">
        <f t="shared" si="61"/>
        <v/>
      </c>
      <c r="AM561" t="str">
        <f t="shared" si="62"/>
        <v/>
      </c>
    </row>
    <row r="562" spans="1:39">
      <c r="A562" t="str">
        <f>IF(ISBLANK(Record!A563),"",Record!A563)</f>
        <v/>
      </c>
      <c r="B562" t="str">
        <f>IF(ISBLANK(Record!B563),"",Record!B563)</f>
        <v/>
      </c>
      <c r="C562" s="227" t="str">
        <f>IF(ISBLANK(Record!C563),"",Record!C563)</f>
        <v/>
      </c>
      <c r="D562" t="str">
        <f>IF(ISBLANK(Record!D563),"",Record!D563)</f>
        <v/>
      </c>
      <c r="E562" t="str">
        <f>IF(ISBLANK(Record!E563),"",Record!E563)</f>
        <v/>
      </c>
      <c r="M562" t="str">
        <f t="shared" si="56"/>
        <v xml:space="preserve">          </v>
      </c>
      <c r="N562" s="227" t="str">
        <f t="shared" si="57"/>
        <v/>
      </c>
      <c r="X562" t="str">
        <f t="shared" si="58"/>
        <v xml:space="preserve">          </v>
      </c>
      <c r="Y562" s="227" t="str">
        <f t="shared" si="59"/>
        <v/>
      </c>
      <c r="Z562" t="str">
        <f t="shared" si="60"/>
        <v/>
      </c>
      <c r="AL562" t="str">
        <f t="shared" si="61"/>
        <v/>
      </c>
      <c r="AM562" t="str">
        <f t="shared" si="62"/>
        <v/>
      </c>
    </row>
    <row r="563" spans="1:39">
      <c r="A563" t="str">
        <f>IF(ISBLANK(Record!A564),"",Record!A564)</f>
        <v/>
      </c>
      <c r="B563" t="str">
        <f>IF(ISBLANK(Record!B564),"",Record!B564)</f>
        <v/>
      </c>
      <c r="C563" s="227" t="str">
        <f>IF(ISBLANK(Record!C564),"",Record!C564)</f>
        <v/>
      </c>
      <c r="D563" t="str">
        <f>IF(ISBLANK(Record!D564),"",Record!D564)</f>
        <v/>
      </c>
      <c r="E563" t="str">
        <f>IF(ISBLANK(Record!E564),"",Record!E564)</f>
        <v/>
      </c>
      <c r="M563" t="str">
        <f t="shared" si="56"/>
        <v xml:space="preserve">          </v>
      </c>
      <c r="N563" s="227" t="str">
        <f t="shared" si="57"/>
        <v/>
      </c>
      <c r="X563" t="str">
        <f t="shared" si="58"/>
        <v xml:space="preserve">          </v>
      </c>
      <c r="Y563" s="227" t="str">
        <f t="shared" si="59"/>
        <v/>
      </c>
      <c r="Z563" t="str">
        <f t="shared" si="60"/>
        <v/>
      </c>
      <c r="AL563" t="str">
        <f t="shared" si="61"/>
        <v/>
      </c>
      <c r="AM563" t="str">
        <f t="shared" si="62"/>
        <v/>
      </c>
    </row>
    <row r="564" spans="1:39">
      <c r="A564" t="str">
        <f>IF(ISBLANK(Record!A565),"",Record!A565)</f>
        <v/>
      </c>
      <c r="B564" t="str">
        <f>IF(ISBLANK(Record!B565),"",Record!B565)</f>
        <v/>
      </c>
      <c r="C564" s="227" t="str">
        <f>IF(ISBLANK(Record!C565),"",Record!C565)</f>
        <v/>
      </c>
      <c r="D564" t="str">
        <f>IF(ISBLANK(Record!D565),"",Record!D565)</f>
        <v/>
      </c>
      <c r="E564" t="str">
        <f>IF(ISBLANK(Record!E565),"",Record!E565)</f>
        <v/>
      </c>
      <c r="M564" t="str">
        <f t="shared" si="56"/>
        <v xml:space="preserve">          </v>
      </c>
      <c r="N564" s="227" t="str">
        <f t="shared" si="57"/>
        <v/>
      </c>
      <c r="X564" t="str">
        <f t="shared" si="58"/>
        <v xml:space="preserve">          </v>
      </c>
      <c r="Y564" s="227" t="str">
        <f t="shared" si="59"/>
        <v/>
      </c>
      <c r="Z564" t="str">
        <f t="shared" si="60"/>
        <v/>
      </c>
      <c r="AL564" t="str">
        <f t="shared" si="61"/>
        <v/>
      </c>
      <c r="AM564" t="str">
        <f t="shared" si="62"/>
        <v/>
      </c>
    </row>
    <row r="565" spans="1:39">
      <c r="A565" t="str">
        <f>IF(ISBLANK(Record!A566),"",Record!A566)</f>
        <v/>
      </c>
      <c r="B565" t="str">
        <f>IF(ISBLANK(Record!B566),"",Record!B566)</f>
        <v/>
      </c>
      <c r="C565" s="227" t="str">
        <f>IF(ISBLANK(Record!C566),"",Record!C566)</f>
        <v/>
      </c>
      <c r="D565" t="str">
        <f>IF(ISBLANK(Record!D566),"",Record!D566)</f>
        <v/>
      </c>
      <c r="E565" t="str">
        <f>IF(ISBLANK(Record!E566),"",Record!E566)</f>
        <v/>
      </c>
      <c r="M565" t="str">
        <f t="shared" si="56"/>
        <v xml:space="preserve">          </v>
      </c>
      <c r="N565" s="227" t="str">
        <f t="shared" si="57"/>
        <v/>
      </c>
      <c r="X565" t="str">
        <f t="shared" si="58"/>
        <v xml:space="preserve">          </v>
      </c>
      <c r="Y565" s="227" t="str">
        <f t="shared" si="59"/>
        <v/>
      </c>
      <c r="Z565" t="str">
        <f t="shared" si="60"/>
        <v/>
      </c>
      <c r="AL565" t="str">
        <f t="shared" si="61"/>
        <v/>
      </c>
      <c r="AM565" t="str">
        <f t="shared" si="62"/>
        <v/>
      </c>
    </row>
    <row r="566" spans="1:39">
      <c r="A566" t="str">
        <f>IF(ISBLANK(Record!A567),"",Record!A567)</f>
        <v/>
      </c>
      <c r="B566" t="str">
        <f>IF(ISBLANK(Record!B567),"",Record!B567)</f>
        <v/>
      </c>
      <c r="C566" s="227" t="str">
        <f>IF(ISBLANK(Record!C567),"",Record!C567)</f>
        <v/>
      </c>
      <c r="D566" t="str">
        <f>IF(ISBLANK(Record!D567),"",Record!D567)</f>
        <v/>
      </c>
      <c r="E566" t="str">
        <f>IF(ISBLANK(Record!E567),"",Record!E567)</f>
        <v/>
      </c>
      <c r="M566" t="str">
        <f t="shared" si="56"/>
        <v xml:space="preserve">          </v>
      </c>
      <c r="N566" s="227" t="str">
        <f t="shared" si="57"/>
        <v/>
      </c>
      <c r="X566" t="str">
        <f t="shared" si="58"/>
        <v xml:space="preserve">          </v>
      </c>
      <c r="Y566" s="227" t="str">
        <f t="shared" si="59"/>
        <v/>
      </c>
      <c r="Z566" t="str">
        <f t="shared" si="60"/>
        <v/>
      </c>
      <c r="AL566" t="str">
        <f t="shared" si="61"/>
        <v/>
      </c>
      <c r="AM566" t="str">
        <f t="shared" si="62"/>
        <v/>
      </c>
    </row>
    <row r="567" spans="1:39">
      <c r="A567" t="str">
        <f>IF(ISBLANK(Record!A568),"",Record!A568)</f>
        <v/>
      </c>
      <c r="B567" t="str">
        <f>IF(ISBLANK(Record!B568),"",Record!B568)</f>
        <v/>
      </c>
      <c r="C567" s="227" t="str">
        <f>IF(ISBLANK(Record!C568),"",Record!C568)</f>
        <v/>
      </c>
      <c r="D567" t="str">
        <f>IF(ISBLANK(Record!D568),"",Record!D568)</f>
        <v/>
      </c>
      <c r="E567" t="str">
        <f>IF(ISBLANK(Record!E568),"",Record!E568)</f>
        <v/>
      </c>
      <c r="M567" t="str">
        <f t="shared" si="56"/>
        <v xml:space="preserve">          </v>
      </c>
      <c r="N567" s="227" t="str">
        <f t="shared" si="57"/>
        <v/>
      </c>
      <c r="X567" t="str">
        <f t="shared" si="58"/>
        <v xml:space="preserve">          </v>
      </c>
      <c r="Y567" s="227" t="str">
        <f t="shared" si="59"/>
        <v/>
      </c>
      <c r="Z567" t="str">
        <f t="shared" si="60"/>
        <v/>
      </c>
      <c r="AL567" t="str">
        <f t="shared" si="61"/>
        <v/>
      </c>
      <c r="AM567" t="str">
        <f t="shared" si="62"/>
        <v/>
      </c>
    </row>
    <row r="568" spans="1:39">
      <c r="A568" t="str">
        <f>IF(ISBLANK(Record!A569),"",Record!A569)</f>
        <v/>
      </c>
      <c r="B568" t="str">
        <f>IF(ISBLANK(Record!B569),"",Record!B569)</f>
        <v/>
      </c>
      <c r="C568" s="227" t="str">
        <f>IF(ISBLANK(Record!C569),"",Record!C569)</f>
        <v/>
      </c>
      <c r="D568" t="str">
        <f>IF(ISBLANK(Record!D569),"",Record!D569)</f>
        <v/>
      </c>
      <c r="E568" t="str">
        <f>IF(ISBLANK(Record!E569),"",Record!E569)</f>
        <v/>
      </c>
      <c r="M568" t="str">
        <f t="shared" si="56"/>
        <v xml:space="preserve">          </v>
      </c>
      <c r="N568" s="227" t="str">
        <f t="shared" si="57"/>
        <v/>
      </c>
      <c r="X568" t="str">
        <f t="shared" si="58"/>
        <v xml:space="preserve">          </v>
      </c>
      <c r="Y568" s="227" t="str">
        <f t="shared" si="59"/>
        <v/>
      </c>
      <c r="Z568" t="str">
        <f t="shared" si="60"/>
        <v/>
      </c>
      <c r="AL568" t="str">
        <f t="shared" si="61"/>
        <v/>
      </c>
      <c r="AM568" t="str">
        <f t="shared" si="62"/>
        <v/>
      </c>
    </row>
    <row r="569" spans="1:39">
      <c r="A569" t="str">
        <f>IF(ISBLANK(Record!A570),"",Record!A570)</f>
        <v/>
      </c>
      <c r="B569" t="str">
        <f>IF(ISBLANK(Record!B570),"",Record!B570)</f>
        <v/>
      </c>
      <c r="C569" s="227" t="str">
        <f>IF(ISBLANK(Record!C570),"",Record!C570)</f>
        <v/>
      </c>
      <c r="D569" t="str">
        <f>IF(ISBLANK(Record!D570),"",Record!D570)</f>
        <v/>
      </c>
      <c r="E569" t="str">
        <f>IF(ISBLANK(Record!E570),"",Record!E570)</f>
        <v/>
      </c>
      <c r="M569" t="str">
        <f t="shared" si="56"/>
        <v xml:space="preserve">          </v>
      </c>
      <c r="N569" s="227" t="str">
        <f t="shared" si="57"/>
        <v/>
      </c>
      <c r="X569" t="str">
        <f t="shared" si="58"/>
        <v xml:space="preserve">          </v>
      </c>
      <c r="Y569" s="227" t="str">
        <f t="shared" si="59"/>
        <v/>
      </c>
      <c r="Z569" t="str">
        <f t="shared" si="60"/>
        <v/>
      </c>
      <c r="AL569" t="str">
        <f t="shared" si="61"/>
        <v/>
      </c>
      <c r="AM569" t="str">
        <f t="shared" si="62"/>
        <v/>
      </c>
    </row>
    <row r="570" spans="1:39">
      <c r="A570" t="str">
        <f>IF(ISBLANK(Record!A571),"",Record!A571)</f>
        <v/>
      </c>
      <c r="B570" t="str">
        <f>IF(ISBLANK(Record!B571),"",Record!B571)</f>
        <v/>
      </c>
      <c r="C570" s="227" t="str">
        <f>IF(ISBLANK(Record!C571),"",Record!C571)</f>
        <v/>
      </c>
      <c r="D570" t="str">
        <f>IF(ISBLANK(Record!D571),"",Record!D571)</f>
        <v/>
      </c>
      <c r="E570" t="str">
        <f>IF(ISBLANK(Record!E571),"",Record!E571)</f>
        <v/>
      </c>
      <c r="M570" t="str">
        <f t="shared" si="56"/>
        <v xml:space="preserve">          </v>
      </c>
      <c r="N570" s="227" t="str">
        <f t="shared" si="57"/>
        <v/>
      </c>
      <c r="X570" t="str">
        <f t="shared" si="58"/>
        <v xml:space="preserve">          </v>
      </c>
      <c r="Y570" s="227" t="str">
        <f t="shared" si="59"/>
        <v/>
      </c>
      <c r="Z570" t="str">
        <f t="shared" si="60"/>
        <v/>
      </c>
      <c r="AL570" t="str">
        <f t="shared" si="61"/>
        <v/>
      </c>
      <c r="AM570" t="str">
        <f t="shared" si="62"/>
        <v/>
      </c>
    </row>
    <row r="571" spans="1:39">
      <c r="A571" t="str">
        <f>IF(ISBLANK(Record!A572),"",Record!A572)</f>
        <v/>
      </c>
      <c r="B571" t="str">
        <f>IF(ISBLANK(Record!B572),"",Record!B572)</f>
        <v/>
      </c>
      <c r="C571" s="227" t="str">
        <f>IF(ISBLANK(Record!C572),"",Record!C572)</f>
        <v/>
      </c>
      <c r="D571" t="str">
        <f>IF(ISBLANK(Record!D572),"",Record!D572)</f>
        <v/>
      </c>
      <c r="E571" t="str">
        <f>IF(ISBLANK(Record!E572),"",Record!E572)</f>
        <v/>
      </c>
      <c r="M571" t="str">
        <f t="shared" si="56"/>
        <v xml:space="preserve">          </v>
      </c>
      <c r="N571" s="227" t="str">
        <f t="shared" si="57"/>
        <v/>
      </c>
      <c r="X571" t="str">
        <f t="shared" si="58"/>
        <v xml:space="preserve">          </v>
      </c>
      <c r="Y571" s="227" t="str">
        <f t="shared" si="59"/>
        <v/>
      </c>
      <c r="Z571" t="str">
        <f t="shared" si="60"/>
        <v/>
      </c>
      <c r="AL571" t="str">
        <f t="shared" si="61"/>
        <v/>
      </c>
      <c r="AM571" t="str">
        <f t="shared" si="62"/>
        <v/>
      </c>
    </row>
    <row r="572" spans="1:39">
      <c r="A572" t="str">
        <f>IF(ISBLANK(Record!A573),"",Record!A573)</f>
        <v/>
      </c>
      <c r="B572" t="str">
        <f>IF(ISBLANK(Record!B573),"",Record!B573)</f>
        <v/>
      </c>
      <c r="C572" s="227" t="str">
        <f>IF(ISBLANK(Record!C573),"",Record!C573)</f>
        <v/>
      </c>
      <c r="D572" t="str">
        <f>IF(ISBLANK(Record!D573),"",Record!D573)</f>
        <v/>
      </c>
      <c r="E572" t="str">
        <f>IF(ISBLANK(Record!E573),"",Record!E573)</f>
        <v/>
      </c>
      <c r="M572" t="str">
        <f t="shared" si="56"/>
        <v xml:space="preserve">          </v>
      </c>
      <c r="N572" s="227" t="str">
        <f t="shared" si="57"/>
        <v/>
      </c>
      <c r="X572" t="str">
        <f t="shared" si="58"/>
        <v xml:space="preserve">          </v>
      </c>
      <c r="Y572" s="227" t="str">
        <f t="shared" si="59"/>
        <v/>
      </c>
      <c r="Z572" t="str">
        <f t="shared" si="60"/>
        <v/>
      </c>
      <c r="AL572" t="str">
        <f t="shared" si="61"/>
        <v/>
      </c>
      <c r="AM572" t="str">
        <f t="shared" si="62"/>
        <v/>
      </c>
    </row>
    <row r="573" spans="1:39">
      <c r="A573" t="str">
        <f>IF(ISBLANK(Record!A574),"",Record!A574)</f>
        <v/>
      </c>
      <c r="B573" t="str">
        <f>IF(ISBLANK(Record!B574),"",Record!B574)</f>
        <v/>
      </c>
      <c r="C573" s="227" t="str">
        <f>IF(ISBLANK(Record!C574),"",Record!C574)</f>
        <v/>
      </c>
      <c r="D573" t="str">
        <f>IF(ISBLANK(Record!D574),"",Record!D574)</f>
        <v/>
      </c>
      <c r="E573" t="str">
        <f>IF(ISBLANK(Record!E574),"",Record!E574)</f>
        <v/>
      </c>
      <c r="M573" t="str">
        <f t="shared" si="56"/>
        <v xml:space="preserve">          </v>
      </c>
      <c r="N573" s="227" t="str">
        <f t="shared" si="57"/>
        <v/>
      </c>
      <c r="X573" t="str">
        <f t="shared" si="58"/>
        <v xml:space="preserve">          </v>
      </c>
      <c r="Y573" s="227" t="str">
        <f t="shared" si="59"/>
        <v/>
      </c>
      <c r="Z573" t="str">
        <f t="shared" si="60"/>
        <v/>
      </c>
      <c r="AL573" t="str">
        <f t="shared" si="61"/>
        <v/>
      </c>
      <c r="AM573" t="str">
        <f t="shared" si="62"/>
        <v/>
      </c>
    </row>
    <row r="574" spans="1:39">
      <c r="A574" t="str">
        <f>IF(ISBLANK(Record!A575),"",Record!A575)</f>
        <v/>
      </c>
      <c r="B574" t="str">
        <f>IF(ISBLANK(Record!B575),"",Record!B575)</f>
        <v/>
      </c>
      <c r="C574" s="227" t="str">
        <f>IF(ISBLANK(Record!C575),"",Record!C575)</f>
        <v/>
      </c>
      <c r="D574" t="str">
        <f>IF(ISBLANK(Record!D575),"",Record!D575)</f>
        <v/>
      </c>
      <c r="E574" t="str">
        <f>IF(ISBLANK(Record!E575),"",Record!E575)</f>
        <v/>
      </c>
      <c r="M574" t="str">
        <f t="shared" si="56"/>
        <v xml:space="preserve">          </v>
      </c>
      <c r="N574" s="227" t="str">
        <f t="shared" si="57"/>
        <v/>
      </c>
      <c r="X574" t="str">
        <f t="shared" si="58"/>
        <v xml:space="preserve">          </v>
      </c>
      <c r="Y574" s="227" t="str">
        <f t="shared" si="59"/>
        <v/>
      </c>
      <c r="Z574" t="str">
        <f t="shared" si="60"/>
        <v/>
      </c>
      <c r="AL574" t="str">
        <f t="shared" si="61"/>
        <v/>
      </c>
      <c r="AM574" t="str">
        <f t="shared" si="62"/>
        <v/>
      </c>
    </row>
    <row r="575" spans="1:39">
      <c r="A575" t="str">
        <f>IF(ISBLANK(Record!A576),"",Record!A576)</f>
        <v/>
      </c>
      <c r="B575" t="str">
        <f>IF(ISBLANK(Record!B576),"",Record!B576)</f>
        <v/>
      </c>
      <c r="C575" s="227" t="str">
        <f>IF(ISBLANK(Record!C576),"",Record!C576)</f>
        <v/>
      </c>
      <c r="D575" t="str">
        <f>IF(ISBLANK(Record!D576),"",Record!D576)</f>
        <v/>
      </c>
      <c r="E575" t="str">
        <f>IF(ISBLANK(Record!E576),"",Record!E576)</f>
        <v/>
      </c>
      <c r="M575" t="str">
        <f t="shared" si="56"/>
        <v xml:space="preserve">          </v>
      </c>
      <c r="N575" s="227" t="str">
        <f t="shared" si="57"/>
        <v/>
      </c>
      <c r="X575" t="str">
        <f t="shared" si="58"/>
        <v xml:space="preserve">          </v>
      </c>
      <c r="Y575" s="227" t="str">
        <f t="shared" si="59"/>
        <v/>
      </c>
      <c r="Z575" t="str">
        <f t="shared" si="60"/>
        <v/>
      </c>
      <c r="AL575" t="str">
        <f t="shared" si="61"/>
        <v/>
      </c>
      <c r="AM575" t="str">
        <f t="shared" si="62"/>
        <v/>
      </c>
    </row>
    <row r="576" spans="1:39">
      <c r="A576" t="str">
        <f>IF(ISBLANK(Record!A577),"",Record!A577)</f>
        <v/>
      </c>
      <c r="B576" t="str">
        <f>IF(ISBLANK(Record!B577),"",Record!B577)</f>
        <v/>
      </c>
      <c r="C576" s="227" t="str">
        <f>IF(ISBLANK(Record!C577),"",Record!C577)</f>
        <v/>
      </c>
      <c r="D576" t="str">
        <f>IF(ISBLANK(Record!D577),"",Record!D577)</f>
        <v/>
      </c>
      <c r="E576" t="str">
        <f>IF(ISBLANK(Record!E577),"",Record!E577)</f>
        <v/>
      </c>
      <c r="M576" t="str">
        <f t="shared" si="56"/>
        <v xml:space="preserve">          </v>
      </c>
      <c r="N576" s="227" t="str">
        <f t="shared" si="57"/>
        <v/>
      </c>
      <c r="X576" t="str">
        <f t="shared" si="58"/>
        <v xml:space="preserve">          </v>
      </c>
      <c r="Y576" s="227" t="str">
        <f t="shared" si="59"/>
        <v/>
      </c>
      <c r="Z576" t="str">
        <f t="shared" si="60"/>
        <v/>
      </c>
      <c r="AL576" t="str">
        <f t="shared" si="61"/>
        <v/>
      </c>
      <c r="AM576" t="str">
        <f t="shared" si="62"/>
        <v/>
      </c>
    </row>
    <row r="577" spans="1:39">
      <c r="A577" t="str">
        <f>IF(ISBLANK(Record!A578),"",Record!A578)</f>
        <v/>
      </c>
      <c r="B577" t="str">
        <f>IF(ISBLANK(Record!B578),"",Record!B578)</f>
        <v/>
      </c>
      <c r="C577" s="227" t="str">
        <f>IF(ISBLANK(Record!C578),"",Record!C578)</f>
        <v/>
      </c>
      <c r="D577" t="str">
        <f>IF(ISBLANK(Record!D578),"",Record!D578)</f>
        <v/>
      </c>
      <c r="E577" t="str">
        <f>IF(ISBLANK(Record!E578),"",Record!E578)</f>
        <v/>
      </c>
      <c r="M577" t="str">
        <f t="shared" si="56"/>
        <v xml:space="preserve">          </v>
      </c>
      <c r="N577" s="227" t="str">
        <f t="shared" si="57"/>
        <v/>
      </c>
      <c r="X577" t="str">
        <f t="shared" si="58"/>
        <v xml:space="preserve">          </v>
      </c>
      <c r="Y577" s="227" t="str">
        <f t="shared" si="59"/>
        <v/>
      </c>
      <c r="Z577" t="str">
        <f t="shared" si="60"/>
        <v/>
      </c>
      <c r="AL577" t="str">
        <f t="shared" si="61"/>
        <v/>
      </c>
      <c r="AM577" t="str">
        <f t="shared" si="62"/>
        <v/>
      </c>
    </row>
    <row r="578" spans="1:39">
      <c r="A578" t="str">
        <f>IF(ISBLANK(Record!A579),"",Record!A579)</f>
        <v/>
      </c>
      <c r="B578" t="str">
        <f>IF(ISBLANK(Record!B579),"",Record!B579)</f>
        <v/>
      </c>
      <c r="C578" s="227" t="str">
        <f>IF(ISBLANK(Record!C579),"",Record!C579)</f>
        <v/>
      </c>
      <c r="D578" t="str">
        <f>IF(ISBLANK(Record!D579),"",Record!D579)</f>
        <v/>
      </c>
      <c r="E578" t="str">
        <f>IF(ISBLANK(Record!E579),"",Record!E579)</f>
        <v/>
      </c>
      <c r="M578" t="str">
        <f t="shared" si="56"/>
        <v xml:space="preserve">          </v>
      </c>
      <c r="N578" s="227" t="str">
        <f t="shared" si="57"/>
        <v/>
      </c>
      <c r="X578" t="str">
        <f t="shared" si="58"/>
        <v xml:space="preserve">          </v>
      </c>
      <c r="Y578" s="227" t="str">
        <f t="shared" si="59"/>
        <v/>
      </c>
      <c r="Z578" t="str">
        <f t="shared" si="60"/>
        <v/>
      </c>
      <c r="AL578" t="str">
        <f t="shared" si="61"/>
        <v/>
      </c>
      <c r="AM578" t="str">
        <f t="shared" si="62"/>
        <v/>
      </c>
    </row>
    <row r="579" spans="1:39">
      <c r="A579" t="str">
        <f>IF(ISBLANK(Record!A580),"",Record!A580)</f>
        <v/>
      </c>
      <c r="B579" t="str">
        <f>IF(ISBLANK(Record!B580),"",Record!B580)</f>
        <v/>
      </c>
      <c r="C579" s="227" t="str">
        <f>IF(ISBLANK(Record!C580),"",Record!C580)</f>
        <v/>
      </c>
      <c r="D579" t="str">
        <f>IF(ISBLANK(Record!D580),"",Record!D580)</f>
        <v/>
      </c>
      <c r="E579" t="str">
        <f>IF(ISBLANK(Record!E580),"",Record!E580)</f>
        <v/>
      </c>
      <c r="M579" t="str">
        <f t="shared" ref="M579:M642" si="63">RIGHT("                                   " &amp; A579,10)</f>
        <v xml:space="preserve">          </v>
      </c>
      <c r="N579" s="227" t="str">
        <f t="shared" ref="N579:N642" si="64">RIGHT(C579,16)</f>
        <v/>
      </c>
      <c r="X579" t="str">
        <f t="shared" ref="X579:X642" si="65">RIGHT("                                   " &amp; A579,10)</f>
        <v xml:space="preserve">          </v>
      </c>
      <c r="Y579" s="227" t="str">
        <f t="shared" ref="Y579:Y642" si="66">RIGHT(C579,16)</f>
        <v/>
      </c>
      <c r="Z579" t="str">
        <f t="shared" ref="Z579:Z642" si="67">RIGHT(D579,8)</f>
        <v/>
      </c>
      <c r="AL579" t="str">
        <f t="shared" ref="AL579:AL642" si="68">D579</f>
        <v/>
      </c>
      <c r="AM579" t="str">
        <f t="shared" ref="AM579:AM642" si="69">IF(E579&lt;&gt;AL579,E579,E579)</f>
        <v/>
      </c>
    </row>
    <row r="580" spans="1:39">
      <c r="A580" t="str">
        <f>IF(ISBLANK(Record!A581),"",Record!A581)</f>
        <v/>
      </c>
      <c r="B580" t="str">
        <f>IF(ISBLANK(Record!B581),"",Record!B581)</f>
        <v/>
      </c>
      <c r="C580" s="227" t="str">
        <f>IF(ISBLANK(Record!C581),"",Record!C581)</f>
        <v/>
      </c>
      <c r="D580" t="str">
        <f>IF(ISBLANK(Record!D581),"",Record!D581)</f>
        <v/>
      </c>
      <c r="E580" t="str">
        <f>IF(ISBLANK(Record!E581),"",Record!E581)</f>
        <v/>
      </c>
      <c r="M580" t="str">
        <f t="shared" si="63"/>
        <v xml:space="preserve">          </v>
      </c>
      <c r="N580" s="227" t="str">
        <f t="shared" si="64"/>
        <v/>
      </c>
      <c r="X580" t="str">
        <f t="shared" si="65"/>
        <v xml:space="preserve">          </v>
      </c>
      <c r="Y580" s="227" t="str">
        <f t="shared" si="66"/>
        <v/>
      </c>
      <c r="Z580" t="str">
        <f t="shared" si="67"/>
        <v/>
      </c>
      <c r="AL580" t="str">
        <f t="shared" si="68"/>
        <v/>
      </c>
      <c r="AM580" t="str">
        <f t="shared" si="69"/>
        <v/>
      </c>
    </row>
    <row r="581" spans="1:39">
      <c r="A581" t="str">
        <f>IF(ISBLANK(Record!A582),"",Record!A582)</f>
        <v/>
      </c>
      <c r="B581" t="str">
        <f>IF(ISBLANK(Record!B582),"",Record!B582)</f>
        <v/>
      </c>
      <c r="C581" s="227" t="str">
        <f>IF(ISBLANK(Record!C582),"",Record!C582)</f>
        <v/>
      </c>
      <c r="D581" t="str">
        <f>IF(ISBLANK(Record!D582),"",Record!D582)</f>
        <v/>
      </c>
      <c r="E581" t="str">
        <f>IF(ISBLANK(Record!E582),"",Record!E582)</f>
        <v/>
      </c>
      <c r="M581" t="str">
        <f t="shared" si="63"/>
        <v xml:space="preserve">          </v>
      </c>
      <c r="N581" s="227" t="str">
        <f t="shared" si="64"/>
        <v/>
      </c>
      <c r="X581" t="str">
        <f t="shared" si="65"/>
        <v xml:space="preserve">          </v>
      </c>
      <c r="Y581" s="227" t="str">
        <f t="shared" si="66"/>
        <v/>
      </c>
      <c r="Z581" t="str">
        <f t="shared" si="67"/>
        <v/>
      </c>
      <c r="AL581" t="str">
        <f t="shared" si="68"/>
        <v/>
      </c>
      <c r="AM581" t="str">
        <f t="shared" si="69"/>
        <v/>
      </c>
    </row>
    <row r="582" spans="1:39">
      <c r="A582" t="str">
        <f>IF(ISBLANK(Record!A583),"",Record!A583)</f>
        <v/>
      </c>
      <c r="B582" t="str">
        <f>IF(ISBLANK(Record!B583),"",Record!B583)</f>
        <v/>
      </c>
      <c r="C582" s="227" t="str">
        <f>IF(ISBLANK(Record!C583),"",Record!C583)</f>
        <v/>
      </c>
      <c r="D582" t="str">
        <f>IF(ISBLANK(Record!D583),"",Record!D583)</f>
        <v/>
      </c>
      <c r="E582" t="str">
        <f>IF(ISBLANK(Record!E583),"",Record!E583)</f>
        <v/>
      </c>
      <c r="M582" t="str">
        <f t="shared" si="63"/>
        <v xml:space="preserve">          </v>
      </c>
      <c r="N582" s="227" t="str">
        <f t="shared" si="64"/>
        <v/>
      </c>
      <c r="X582" t="str">
        <f t="shared" si="65"/>
        <v xml:space="preserve">          </v>
      </c>
      <c r="Y582" s="227" t="str">
        <f t="shared" si="66"/>
        <v/>
      </c>
      <c r="Z582" t="str">
        <f t="shared" si="67"/>
        <v/>
      </c>
      <c r="AL582" t="str">
        <f t="shared" si="68"/>
        <v/>
      </c>
      <c r="AM582" t="str">
        <f t="shared" si="69"/>
        <v/>
      </c>
    </row>
    <row r="583" spans="1:39">
      <c r="A583" t="str">
        <f>IF(ISBLANK(Record!A584),"",Record!A584)</f>
        <v/>
      </c>
      <c r="B583" t="str">
        <f>IF(ISBLANK(Record!B584),"",Record!B584)</f>
        <v/>
      </c>
      <c r="C583" s="227" t="str">
        <f>IF(ISBLANK(Record!C584),"",Record!C584)</f>
        <v/>
      </c>
      <c r="D583" t="str">
        <f>IF(ISBLANK(Record!D584),"",Record!D584)</f>
        <v/>
      </c>
      <c r="E583" t="str">
        <f>IF(ISBLANK(Record!E584),"",Record!E584)</f>
        <v/>
      </c>
      <c r="M583" t="str">
        <f t="shared" si="63"/>
        <v xml:space="preserve">          </v>
      </c>
      <c r="N583" s="227" t="str">
        <f t="shared" si="64"/>
        <v/>
      </c>
      <c r="X583" t="str">
        <f t="shared" si="65"/>
        <v xml:space="preserve">          </v>
      </c>
      <c r="Y583" s="227" t="str">
        <f t="shared" si="66"/>
        <v/>
      </c>
      <c r="Z583" t="str">
        <f t="shared" si="67"/>
        <v/>
      </c>
      <c r="AL583" t="str">
        <f t="shared" si="68"/>
        <v/>
      </c>
      <c r="AM583" t="str">
        <f t="shared" si="69"/>
        <v/>
      </c>
    </row>
    <row r="584" spans="1:39">
      <c r="A584" t="str">
        <f>IF(ISBLANK(Record!A585),"",Record!A585)</f>
        <v/>
      </c>
      <c r="B584" t="str">
        <f>IF(ISBLANK(Record!B585),"",Record!B585)</f>
        <v/>
      </c>
      <c r="C584" s="227" t="str">
        <f>IF(ISBLANK(Record!C585),"",Record!C585)</f>
        <v/>
      </c>
      <c r="D584" t="str">
        <f>IF(ISBLANK(Record!D585),"",Record!D585)</f>
        <v/>
      </c>
      <c r="E584" t="str">
        <f>IF(ISBLANK(Record!E585),"",Record!E585)</f>
        <v/>
      </c>
      <c r="M584" t="str">
        <f t="shared" si="63"/>
        <v xml:space="preserve">          </v>
      </c>
      <c r="N584" s="227" t="str">
        <f t="shared" si="64"/>
        <v/>
      </c>
      <c r="X584" t="str">
        <f t="shared" si="65"/>
        <v xml:space="preserve">          </v>
      </c>
      <c r="Y584" s="227" t="str">
        <f t="shared" si="66"/>
        <v/>
      </c>
      <c r="Z584" t="str">
        <f t="shared" si="67"/>
        <v/>
      </c>
      <c r="AL584" t="str">
        <f t="shared" si="68"/>
        <v/>
      </c>
      <c r="AM584" t="str">
        <f t="shared" si="69"/>
        <v/>
      </c>
    </row>
    <row r="585" spans="1:39">
      <c r="A585" t="str">
        <f>IF(ISBLANK(Record!A586),"",Record!A586)</f>
        <v/>
      </c>
      <c r="B585" t="str">
        <f>IF(ISBLANK(Record!B586),"",Record!B586)</f>
        <v/>
      </c>
      <c r="C585" s="227" t="str">
        <f>IF(ISBLANK(Record!C586),"",Record!C586)</f>
        <v/>
      </c>
      <c r="D585" t="str">
        <f>IF(ISBLANK(Record!D586),"",Record!D586)</f>
        <v/>
      </c>
      <c r="E585" t="str">
        <f>IF(ISBLANK(Record!E586),"",Record!E586)</f>
        <v/>
      </c>
      <c r="M585" t="str">
        <f t="shared" si="63"/>
        <v xml:space="preserve">          </v>
      </c>
      <c r="N585" s="227" t="str">
        <f t="shared" si="64"/>
        <v/>
      </c>
      <c r="X585" t="str">
        <f t="shared" si="65"/>
        <v xml:space="preserve">          </v>
      </c>
      <c r="Y585" s="227" t="str">
        <f t="shared" si="66"/>
        <v/>
      </c>
      <c r="Z585" t="str">
        <f t="shared" si="67"/>
        <v/>
      </c>
      <c r="AL585" t="str">
        <f t="shared" si="68"/>
        <v/>
      </c>
      <c r="AM585" t="str">
        <f t="shared" si="69"/>
        <v/>
      </c>
    </row>
    <row r="586" spans="1:39">
      <c r="A586" t="str">
        <f>IF(ISBLANK(Record!A587),"",Record!A587)</f>
        <v/>
      </c>
      <c r="B586" t="str">
        <f>IF(ISBLANK(Record!B587),"",Record!B587)</f>
        <v/>
      </c>
      <c r="C586" s="227" t="str">
        <f>IF(ISBLANK(Record!C587),"",Record!C587)</f>
        <v/>
      </c>
      <c r="D586" t="str">
        <f>IF(ISBLANK(Record!D587),"",Record!D587)</f>
        <v/>
      </c>
      <c r="E586" t="str">
        <f>IF(ISBLANK(Record!E587),"",Record!E587)</f>
        <v/>
      </c>
      <c r="M586" t="str">
        <f t="shared" si="63"/>
        <v xml:space="preserve">          </v>
      </c>
      <c r="N586" s="227" t="str">
        <f t="shared" si="64"/>
        <v/>
      </c>
      <c r="X586" t="str">
        <f t="shared" si="65"/>
        <v xml:space="preserve">          </v>
      </c>
      <c r="Y586" s="227" t="str">
        <f t="shared" si="66"/>
        <v/>
      </c>
      <c r="Z586" t="str">
        <f t="shared" si="67"/>
        <v/>
      </c>
      <c r="AL586" t="str">
        <f t="shared" si="68"/>
        <v/>
      </c>
      <c r="AM586" t="str">
        <f t="shared" si="69"/>
        <v/>
      </c>
    </row>
    <row r="587" spans="1:39">
      <c r="A587" t="str">
        <f>IF(ISBLANK(Record!A588),"",Record!A588)</f>
        <v/>
      </c>
      <c r="B587" t="str">
        <f>IF(ISBLANK(Record!B588),"",Record!B588)</f>
        <v/>
      </c>
      <c r="C587" s="227" t="str">
        <f>IF(ISBLANK(Record!C588),"",Record!C588)</f>
        <v/>
      </c>
      <c r="D587" t="str">
        <f>IF(ISBLANK(Record!D588),"",Record!D588)</f>
        <v/>
      </c>
      <c r="E587" t="str">
        <f>IF(ISBLANK(Record!E588),"",Record!E588)</f>
        <v/>
      </c>
      <c r="M587" t="str">
        <f t="shared" si="63"/>
        <v xml:space="preserve">          </v>
      </c>
      <c r="N587" s="227" t="str">
        <f t="shared" si="64"/>
        <v/>
      </c>
      <c r="X587" t="str">
        <f t="shared" si="65"/>
        <v xml:space="preserve">          </v>
      </c>
      <c r="Y587" s="227" t="str">
        <f t="shared" si="66"/>
        <v/>
      </c>
      <c r="Z587" t="str">
        <f t="shared" si="67"/>
        <v/>
      </c>
      <c r="AL587" t="str">
        <f t="shared" si="68"/>
        <v/>
      </c>
      <c r="AM587" t="str">
        <f t="shared" si="69"/>
        <v/>
      </c>
    </row>
    <row r="588" spans="1:39">
      <c r="A588" t="str">
        <f>IF(ISBLANK(Record!A589),"",Record!A589)</f>
        <v/>
      </c>
      <c r="B588" t="str">
        <f>IF(ISBLANK(Record!B589),"",Record!B589)</f>
        <v/>
      </c>
      <c r="C588" s="227" t="str">
        <f>IF(ISBLANK(Record!C589),"",Record!C589)</f>
        <v/>
      </c>
      <c r="D588" t="str">
        <f>IF(ISBLANK(Record!D589),"",Record!D589)</f>
        <v/>
      </c>
      <c r="E588" t="str">
        <f>IF(ISBLANK(Record!E589),"",Record!E589)</f>
        <v/>
      </c>
      <c r="M588" t="str">
        <f t="shared" si="63"/>
        <v xml:space="preserve">          </v>
      </c>
      <c r="N588" s="227" t="str">
        <f t="shared" si="64"/>
        <v/>
      </c>
      <c r="X588" t="str">
        <f t="shared" si="65"/>
        <v xml:space="preserve">          </v>
      </c>
      <c r="Y588" s="227" t="str">
        <f t="shared" si="66"/>
        <v/>
      </c>
      <c r="Z588" t="str">
        <f t="shared" si="67"/>
        <v/>
      </c>
      <c r="AL588" t="str">
        <f t="shared" si="68"/>
        <v/>
      </c>
      <c r="AM588" t="str">
        <f t="shared" si="69"/>
        <v/>
      </c>
    </row>
    <row r="589" spans="1:39">
      <c r="A589" t="str">
        <f>IF(ISBLANK(Record!A590),"",Record!A590)</f>
        <v/>
      </c>
      <c r="B589" t="str">
        <f>IF(ISBLANK(Record!B590),"",Record!B590)</f>
        <v/>
      </c>
      <c r="C589" s="227" t="str">
        <f>IF(ISBLANK(Record!C590),"",Record!C590)</f>
        <v/>
      </c>
      <c r="D589" t="str">
        <f>IF(ISBLANK(Record!D590),"",Record!D590)</f>
        <v/>
      </c>
      <c r="E589" t="str">
        <f>IF(ISBLANK(Record!E590),"",Record!E590)</f>
        <v/>
      </c>
      <c r="M589" t="str">
        <f t="shared" si="63"/>
        <v xml:space="preserve">          </v>
      </c>
      <c r="N589" s="227" t="str">
        <f t="shared" si="64"/>
        <v/>
      </c>
      <c r="X589" t="str">
        <f t="shared" si="65"/>
        <v xml:space="preserve">          </v>
      </c>
      <c r="Y589" s="227" t="str">
        <f t="shared" si="66"/>
        <v/>
      </c>
      <c r="Z589" t="str">
        <f t="shared" si="67"/>
        <v/>
      </c>
      <c r="AL589" t="str">
        <f t="shared" si="68"/>
        <v/>
      </c>
      <c r="AM589" t="str">
        <f t="shared" si="69"/>
        <v/>
      </c>
    </row>
    <row r="590" spans="1:39">
      <c r="A590" t="str">
        <f>IF(ISBLANK(Record!A591),"",Record!A591)</f>
        <v/>
      </c>
      <c r="B590" t="str">
        <f>IF(ISBLANK(Record!B591),"",Record!B591)</f>
        <v/>
      </c>
      <c r="C590" s="227" t="str">
        <f>IF(ISBLANK(Record!C591),"",Record!C591)</f>
        <v/>
      </c>
      <c r="D590" t="str">
        <f>IF(ISBLANK(Record!D591),"",Record!D591)</f>
        <v/>
      </c>
      <c r="E590" t="str">
        <f>IF(ISBLANK(Record!E591),"",Record!E591)</f>
        <v/>
      </c>
      <c r="M590" t="str">
        <f t="shared" si="63"/>
        <v xml:space="preserve">          </v>
      </c>
      <c r="N590" s="227" t="str">
        <f t="shared" si="64"/>
        <v/>
      </c>
      <c r="X590" t="str">
        <f t="shared" si="65"/>
        <v xml:space="preserve">          </v>
      </c>
      <c r="Y590" s="227" t="str">
        <f t="shared" si="66"/>
        <v/>
      </c>
      <c r="Z590" t="str">
        <f t="shared" si="67"/>
        <v/>
      </c>
      <c r="AL590" t="str">
        <f t="shared" si="68"/>
        <v/>
      </c>
      <c r="AM590" t="str">
        <f t="shared" si="69"/>
        <v/>
      </c>
    </row>
    <row r="591" spans="1:39">
      <c r="A591" t="str">
        <f>IF(ISBLANK(Record!A592),"",Record!A592)</f>
        <v/>
      </c>
      <c r="B591" t="str">
        <f>IF(ISBLANK(Record!B592),"",Record!B592)</f>
        <v/>
      </c>
      <c r="C591" s="227" t="str">
        <f>IF(ISBLANK(Record!C592),"",Record!C592)</f>
        <v/>
      </c>
      <c r="D591" t="str">
        <f>IF(ISBLANK(Record!D592),"",Record!D592)</f>
        <v/>
      </c>
      <c r="E591" t="str">
        <f>IF(ISBLANK(Record!E592),"",Record!E592)</f>
        <v/>
      </c>
      <c r="M591" t="str">
        <f t="shared" si="63"/>
        <v xml:space="preserve">          </v>
      </c>
      <c r="N591" s="227" t="str">
        <f t="shared" si="64"/>
        <v/>
      </c>
      <c r="X591" t="str">
        <f t="shared" si="65"/>
        <v xml:space="preserve">          </v>
      </c>
      <c r="Y591" s="227" t="str">
        <f t="shared" si="66"/>
        <v/>
      </c>
      <c r="Z591" t="str">
        <f t="shared" si="67"/>
        <v/>
      </c>
      <c r="AL591" t="str">
        <f t="shared" si="68"/>
        <v/>
      </c>
      <c r="AM591" t="str">
        <f t="shared" si="69"/>
        <v/>
      </c>
    </row>
    <row r="592" spans="1:39">
      <c r="A592" t="str">
        <f>IF(ISBLANK(Record!A593),"",Record!A593)</f>
        <v/>
      </c>
      <c r="B592" t="str">
        <f>IF(ISBLANK(Record!B593),"",Record!B593)</f>
        <v/>
      </c>
      <c r="C592" s="227" t="str">
        <f>IF(ISBLANK(Record!C593),"",Record!C593)</f>
        <v/>
      </c>
      <c r="D592" t="str">
        <f>IF(ISBLANK(Record!D593),"",Record!D593)</f>
        <v/>
      </c>
      <c r="E592" t="str">
        <f>IF(ISBLANK(Record!E593),"",Record!E593)</f>
        <v/>
      </c>
      <c r="M592" t="str">
        <f t="shared" si="63"/>
        <v xml:space="preserve">          </v>
      </c>
      <c r="N592" s="227" t="str">
        <f t="shared" si="64"/>
        <v/>
      </c>
      <c r="X592" t="str">
        <f t="shared" si="65"/>
        <v xml:space="preserve">          </v>
      </c>
      <c r="Y592" s="227" t="str">
        <f t="shared" si="66"/>
        <v/>
      </c>
      <c r="Z592" t="str">
        <f t="shared" si="67"/>
        <v/>
      </c>
      <c r="AL592" t="str">
        <f t="shared" si="68"/>
        <v/>
      </c>
      <c r="AM592" t="str">
        <f t="shared" si="69"/>
        <v/>
      </c>
    </row>
    <row r="593" spans="1:39">
      <c r="A593" t="str">
        <f>IF(ISBLANK(Record!A594),"",Record!A594)</f>
        <v/>
      </c>
      <c r="B593" t="str">
        <f>IF(ISBLANK(Record!B594),"",Record!B594)</f>
        <v/>
      </c>
      <c r="C593" s="227" t="str">
        <f>IF(ISBLANK(Record!C594),"",Record!C594)</f>
        <v/>
      </c>
      <c r="D593" t="str">
        <f>IF(ISBLANK(Record!D594),"",Record!D594)</f>
        <v/>
      </c>
      <c r="E593" t="str">
        <f>IF(ISBLANK(Record!E594),"",Record!E594)</f>
        <v/>
      </c>
      <c r="M593" t="str">
        <f t="shared" si="63"/>
        <v xml:space="preserve">          </v>
      </c>
      <c r="N593" s="227" t="str">
        <f t="shared" si="64"/>
        <v/>
      </c>
      <c r="X593" t="str">
        <f t="shared" si="65"/>
        <v xml:space="preserve">          </v>
      </c>
      <c r="Y593" s="227" t="str">
        <f t="shared" si="66"/>
        <v/>
      </c>
      <c r="Z593" t="str">
        <f t="shared" si="67"/>
        <v/>
      </c>
      <c r="AL593" t="str">
        <f t="shared" si="68"/>
        <v/>
      </c>
      <c r="AM593" t="str">
        <f t="shared" si="69"/>
        <v/>
      </c>
    </row>
    <row r="594" spans="1:39">
      <c r="A594" t="str">
        <f>IF(ISBLANK(Record!A595),"",Record!A595)</f>
        <v/>
      </c>
      <c r="B594" t="str">
        <f>IF(ISBLANK(Record!B595),"",Record!B595)</f>
        <v/>
      </c>
      <c r="C594" s="227" t="str">
        <f>IF(ISBLANK(Record!C595),"",Record!C595)</f>
        <v/>
      </c>
      <c r="D594" t="str">
        <f>IF(ISBLANK(Record!D595),"",Record!D595)</f>
        <v/>
      </c>
      <c r="E594" t="str">
        <f>IF(ISBLANK(Record!E595),"",Record!E595)</f>
        <v/>
      </c>
      <c r="M594" t="str">
        <f t="shared" si="63"/>
        <v xml:space="preserve">          </v>
      </c>
      <c r="N594" s="227" t="str">
        <f t="shared" si="64"/>
        <v/>
      </c>
      <c r="X594" t="str">
        <f t="shared" si="65"/>
        <v xml:space="preserve">          </v>
      </c>
      <c r="Y594" s="227" t="str">
        <f t="shared" si="66"/>
        <v/>
      </c>
      <c r="Z594" t="str">
        <f t="shared" si="67"/>
        <v/>
      </c>
      <c r="AL594" t="str">
        <f t="shared" si="68"/>
        <v/>
      </c>
      <c r="AM594" t="str">
        <f t="shared" si="69"/>
        <v/>
      </c>
    </row>
    <row r="595" spans="1:39">
      <c r="A595" t="str">
        <f>IF(ISBLANK(Record!A596),"",Record!A596)</f>
        <v/>
      </c>
      <c r="B595" t="str">
        <f>IF(ISBLANK(Record!B596),"",Record!B596)</f>
        <v/>
      </c>
      <c r="C595" s="227" t="str">
        <f>IF(ISBLANK(Record!C596),"",Record!C596)</f>
        <v/>
      </c>
      <c r="D595" t="str">
        <f>IF(ISBLANK(Record!D596),"",Record!D596)</f>
        <v/>
      </c>
      <c r="E595" t="str">
        <f>IF(ISBLANK(Record!E596),"",Record!E596)</f>
        <v/>
      </c>
      <c r="M595" t="str">
        <f t="shared" si="63"/>
        <v xml:space="preserve">          </v>
      </c>
      <c r="N595" s="227" t="str">
        <f t="shared" si="64"/>
        <v/>
      </c>
      <c r="X595" t="str">
        <f t="shared" si="65"/>
        <v xml:space="preserve">          </v>
      </c>
      <c r="Y595" s="227" t="str">
        <f t="shared" si="66"/>
        <v/>
      </c>
      <c r="Z595" t="str">
        <f t="shared" si="67"/>
        <v/>
      </c>
      <c r="AL595" t="str">
        <f t="shared" si="68"/>
        <v/>
      </c>
      <c r="AM595" t="str">
        <f t="shared" si="69"/>
        <v/>
      </c>
    </row>
    <row r="596" spans="1:39">
      <c r="A596" t="str">
        <f>IF(ISBLANK(Record!A597),"",Record!A597)</f>
        <v/>
      </c>
      <c r="B596" t="str">
        <f>IF(ISBLANK(Record!B597),"",Record!B597)</f>
        <v/>
      </c>
      <c r="C596" s="227" t="str">
        <f>IF(ISBLANK(Record!C597),"",Record!C597)</f>
        <v/>
      </c>
      <c r="D596" t="str">
        <f>IF(ISBLANK(Record!D597),"",Record!D597)</f>
        <v/>
      </c>
      <c r="E596" t="str">
        <f>IF(ISBLANK(Record!E597),"",Record!E597)</f>
        <v/>
      </c>
      <c r="M596" t="str">
        <f t="shared" si="63"/>
        <v xml:space="preserve">          </v>
      </c>
      <c r="N596" s="227" t="str">
        <f t="shared" si="64"/>
        <v/>
      </c>
      <c r="X596" t="str">
        <f t="shared" si="65"/>
        <v xml:space="preserve">          </v>
      </c>
      <c r="Y596" s="227" t="str">
        <f t="shared" si="66"/>
        <v/>
      </c>
      <c r="Z596" t="str">
        <f t="shared" si="67"/>
        <v/>
      </c>
      <c r="AL596" t="str">
        <f t="shared" si="68"/>
        <v/>
      </c>
      <c r="AM596" t="str">
        <f t="shared" si="69"/>
        <v/>
      </c>
    </row>
    <row r="597" spans="1:39">
      <c r="A597" t="str">
        <f>IF(ISBLANK(Record!A598),"",Record!A598)</f>
        <v/>
      </c>
      <c r="B597" t="str">
        <f>IF(ISBLANK(Record!B598),"",Record!B598)</f>
        <v/>
      </c>
      <c r="C597" s="227" t="str">
        <f>IF(ISBLANK(Record!C598),"",Record!C598)</f>
        <v/>
      </c>
      <c r="D597" t="str">
        <f>IF(ISBLANK(Record!D598),"",Record!D598)</f>
        <v/>
      </c>
      <c r="E597" t="str">
        <f>IF(ISBLANK(Record!E598),"",Record!E598)</f>
        <v/>
      </c>
      <c r="M597" t="str">
        <f t="shared" si="63"/>
        <v xml:space="preserve">          </v>
      </c>
      <c r="N597" s="227" t="str">
        <f t="shared" si="64"/>
        <v/>
      </c>
      <c r="X597" t="str">
        <f t="shared" si="65"/>
        <v xml:space="preserve">          </v>
      </c>
      <c r="Y597" s="227" t="str">
        <f t="shared" si="66"/>
        <v/>
      </c>
      <c r="Z597" t="str">
        <f t="shared" si="67"/>
        <v/>
      </c>
      <c r="AL597" t="str">
        <f t="shared" si="68"/>
        <v/>
      </c>
      <c r="AM597" t="str">
        <f t="shared" si="69"/>
        <v/>
      </c>
    </row>
    <row r="598" spans="1:39">
      <c r="A598" t="str">
        <f>IF(ISBLANK(Record!A599),"",Record!A599)</f>
        <v/>
      </c>
      <c r="B598" t="str">
        <f>IF(ISBLANK(Record!B599),"",Record!B599)</f>
        <v/>
      </c>
      <c r="C598" s="227" t="str">
        <f>IF(ISBLANK(Record!C599),"",Record!C599)</f>
        <v/>
      </c>
      <c r="D598" t="str">
        <f>IF(ISBLANK(Record!D599),"",Record!D599)</f>
        <v/>
      </c>
      <c r="E598" t="str">
        <f>IF(ISBLANK(Record!E599),"",Record!E599)</f>
        <v/>
      </c>
      <c r="M598" t="str">
        <f t="shared" si="63"/>
        <v xml:space="preserve">          </v>
      </c>
      <c r="N598" s="227" t="str">
        <f t="shared" si="64"/>
        <v/>
      </c>
      <c r="X598" t="str">
        <f t="shared" si="65"/>
        <v xml:space="preserve">          </v>
      </c>
      <c r="Y598" s="227" t="str">
        <f t="shared" si="66"/>
        <v/>
      </c>
      <c r="Z598" t="str">
        <f t="shared" si="67"/>
        <v/>
      </c>
      <c r="AL598" t="str">
        <f t="shared" si="68"/>
        <v/>
      </c>
      <c r="AM598" t="str">
        <f t="shared" si="69"/>
        <v/>
      </c>
    </row>
    <row r="599" spans="1:39">
      <c r="A599" t="str">
        <f>IF(ISBLANK(Record!A600),"",Record!A600)</f>
        <v/>
      </c>
      <c r="B599" t="str">
        <f>IF(ISBLANK(Record!B600),"",Record!B600)</f>
        <v/>
      </c>
      <c r="C599" s="227" t="str">
        <f>IF(ISBLANK(Record!C600),"",Record!C600)</f>
        <v/>
      </c>
      <c r="D599" t="str">
        <f>IF(ISBLANK(Record!D600),"",Record!D600)</f>
        <v/>
      </c>
      <c r="E599" t="str">
        <f>IF(ISBLANK(Record!E600),"",Record!E600)</f>
        <v/>
      </c>
      <c r="M599" t="str">
        <f t="shared" si="63"/>
        <v xml:space="preserve">          </v>
      </c>
      <c r="N599" s="227" t="str">
        <f t="shared" si="64"/>
        <v/>
      </c>
      <c r="X599" t="str">
        <f t="shared" si="65"/>
        <v xml:space="preserve">          </v>
      </c>
      <c r="Y599" s="227" t="str">
        <f t="shared" si="66"/>
        <v/>
      </c>
      <c r="Z599" t="str">
        <f t="shared" si="67"/>
        <v/>
      </c>
      <c r="AL599" t="str">
        <f t="shared" si="68"/>
        <v/>
      </c>
      <c r="AM599" t="str">
        <f t="shared" si="69"/>
        <v/>
      </c>
    </row>
    <row r="600" spans="1:39">
      <c r="A600" t="str">
        <f>IF(ISBLANK(Record!A601),"",Record!A601)</f>
        <v/>
      </c>
      <c r="B600" t="str">
        <f>IF(ISBLANK(Record!B601),"",Record!B601)</f>
        <v/>
      </c>
      <c r="C600" s="227" t="str">
        <f>IF(ISBLANK(Record!C601),"",Record!C601)</f>
        <v/>
      </c>
      <c r="D600" t="str">
        <f>IF(ISBLANK(Record!D601),"",Record!D601)</f>
        <v/>
      </c>
      <c r="E600" t="str">
        <f>IF(ISBLANK(Record!E601),"",Record!E601)</f>
        <v/>
      </c>
      <c r="M600" t="str">
        <f t="shared" si="63"/>
        <v xml:space="preserve">          </v>
      </c>
      <c r="N600" s="227" t="str">
        <f t="shared" si="64"/>
        <v/>
      </c>
      <c r="X600" t="str">
        <f t="shared" si="65"/>
        <v xml:space="preserve">          </v>
      </c>
      <c r="Y600" s="227" t="str">
        <f t="shared" si="66"/>
        <v/>
      </c>
      <c r="Z600" t="str">
        <f t="shared" si="67"/>
        <v/>
      </c>
      <c r="AL600" t="str">
        <f t="shared" si="68"/>
        <v/>
      </c>
      <c r="AM600" t="str">
        <f t="shared" si="69"/>
        <v/>
      </c>
    </row>
    <row r="601" spans="1:39">
      <c r="A601" t="str">
        <f>IF(ISBLANK(Record!A602),"",Record!A602)</f>
        <v/>
      </c>
      <c r="B601" t="str">
        <f>IF(ISBLANK(Record!B602),"",Record!B602)</f>
        <v/>
      </c>
      <c r="C601" s="227" t="str">
        <f>IF(ISBLANK(Record!C602),"",Record!C602)</f>
        <v/>
      </c>
      <c r="D601" t="str">
        <f>IF(ISBLANK(Record!D602),"",Record!D602)</f>
        <v/>
      </c>
      <c r="E601" t="str">
        <f>IF(ISBLANK(Record!E602),"",Record!E602)</f>
        <v/>
      </c>
      <c r="M601" t="str">
        <f t="shared" si="63"/>
        <v xml:space="preserve">          </v>
      </c>
      <c r="N601" s="227" t="str">
        <f t="shared" si="64"/>
        <v/>
      </c>
      <c r="X601" t="str">
        <f t="shared" si="65"/>
        <v xml:space="preserve">          </v>
      </c>
      <c r="Y601" s="227" t="str">
        <f t="shared" si="66"/>
        <v/>
      </c>
      <c r="Z601" t="str">
        <f t="shared" si="67"/>
        <v/>
      </c>
      <c r="AL601" t="str">
        <f t="shared" si="68"/>
        <v/>
      </c>
      <c r="AM601" t="str">
        <f t="shared" si="69"/>
        <v/>
      </c>
    </row>
    <row r="602" spans="1:39">
      <c r="A602" t="str">
        <f>IF(ISBLANK(Record!A603),"",Record!A603)</f>
        <v/>
      </c>
      <c r="B602" t="str">
        <f>IF(ISBLANK(Record!B603),"",Record!B603)</f>
        <v/>
      </c>
      <c r="C602" s="227" t="str">
        <f>IF(ISBLANK(Record!C603),"",Record!C603)</f>
        <v/>
      </c>
      <c r="D602" t="str">
        <f>IF(ISBLANK(Record!D603),"",Record!D603)</f>
        <v/>
      </c>
      <c r="E602" t="str">
        <f>IF(ISBLANK(Record!E603),"",Record!E603)</f>
        <v/>
      </c>
      <c r="M602" t="str">
        <f t="shared" si="63"/>
        <v xml:space="preserve">          </v>
      </c>
      <c r="N602" s="227" t="str">
        <f t="shared" si="64"/>
        <v/>
      </c>
      <c r="X602" t="str">
        <f t="shared" si="65"/>
        <v xml:space="preserve">          </v>
      </c>
      <c r="Y602" s="227" t="str">
        <f t="shared" si="66"/>
        <v/>
      </c>
      <c r="Z602" t="str">
        <f t="shared" si="67"/>
        <v/>
      </c>
      <c r="AL602" t="str">
        <f t="shared" si="68"/>
        <v/>
      </c>
      <c r="AM602" t="str">
        <f t="shared" si="69"/>
        <v/>
      </c>
    </row>
    <row r="603" spans="1:39">
      <c r="A603" t="str">
        <f>IF(ISBLANK(Record!A604),"",Record!A604)</f>
        <v/>
      </c>
      <c r="B603" t="str">
        <f>IF(ISBLANK(Record!B604),"",Record!B604)</f>
        <v/>
      </c>
      <c r="C603" s="227" t="str">
        <f>IF(ISBLANK(Record!C604),"",Record!C604)</f>
        <v/>
      </c>
      <c r="D603" t="str">
        <f>IF(ISBLANK(Record!D604),"",Record!D604)</f>
        <v/>
      </c>
      <c r="E603" t="str">
        <f>IF(ISBLANK(Record!E604),"",Record!E604)</f>
        <v/>
      </c>
      <c r="M603" t="str">
        <f t="shared" si="63"/>
        <v xml:space="preserve">          </v>
      </c>
      <c r="N603" s="227" t="str">
        <f t="shared" si="64"/>
        <v/>
      </c>
      <c r="X603" t="str">
        <f t="shared" si="65"/>
        <v xml:space="preserve">          </v>
      </c>
      <c r="Y603" s="227" t="str">
        <f t="shared" si="66"/>
        <v/>
      </c>
      <c r="Z603" t="str">
        <f t="shared" si="67"/>
        <v/>
      </c>
      <c r="AL603" t="str">
        <f t="shared" si="68"/>
        <v/>
      </c>
      <c r="AM603" t="str">
        <f t="shared" si="69"/>
        <v/>
      </c>
    </row>
    <row r="604" spans="1:39">
      <c r="A604" t="str">
        <f>IF(ISBLANK(Record!A605),"",Record!A605)</f>
        <v/>
      </c>
      <c r="B604" t="str">
        <f>IF(ISBLANK(Record!B605),"",Record!B605)</f>
        <v/>
      </c>
      <c r="C604" s="227" t="str">
        <f>IF(ISBLANK(Record!C605),"",Record!C605)</f>
        <v/>
      </c>
      <c r="D604" t="str">
        <f>IF(ISBLANK(Record!D605),"",Record!D605)</f>
        <v/>
      </c>
      <c r="E604" t="str">
        <f>IF(ISBLANK(Record!E605),"",Record!E605)</f>
        <v/>
      </c>
      <c r="M604" t="str">
        <f t="shared" si="63"/>
        <v xml:space="preserve">          </v>
      </c>
      <c r="N604" s="227" t="str">
        <f t="shared" si="64"/>
        <v/>
      </c>
      <c r="X604" t="str">
        <f t="shared" si="65"/>
        <v xml:space="preserve">          </v>
      </c>
      <c r="Y604" s="227" t="str">
        <f t="shared" si="66"/>
        <v/>
      </c>
      <c r="Z604" t="str">
        <f t="shared" si="67"/>
        <v/>
      </c>
      <c r="AL604" t="str">
        <f t="shared" si="68"/>
        <v/>
      </c>
      <c r="AM604" t="str">
        <f t="shared" si="69"/>
        <v/>
      </c>
    </row>
    <row r="605" spans="1:39">
      <c r="A605" t="str">
        <f>IF(ISBLANK(Record!A606),"",Record!A606)</f>
        <v/>
      </c>
      <c r="B605" t="str">
        <f>IF(ISBLANK(Record!B606),"",Record!B606)</f>
        <v/>
      </c>
      <c r="C605" s="227" t="str">
        <f>IF(ISBLANK(Record!C606),"",Record!C606)</f>
        <v/>
      </c>
      <c r="D605" t="str">
        <f>IF(ISBLANK(Record!D606),"",Record!D606)</f>
        <v/>
      </c>
      <c r="E605" t="str">
        <f>IF(ISBLANK(Record!E606),"",Record!E606)</f>
        <v/>
      </c>
      <c r="M605" t="str">
        <f t="shared" si="63"/>
        <v xml:space="preserve">          </v>
      </c>
      <c r="N605" s="227" t="str">
        <f t="shared" si="64"/>
        <v/>
      </c>
      <c r="X605" t="str">
        <f t="shared" si="65"/>
        <v xml:space="preserve">          </v>
      </c>
      <c r="Y605" s="227" t="str">
        <f t="shared" si="66"/>
        <v/>
      </c>
      <c r="Z605" t="str">
        <f t="shared" si="67"/>
        <v/>
      </c>
      <c r="AL605" t="str">
        <f t="shared" si="68"/>
        <v/>
      </c>
      <c r="AM605" t="str">
        <f t="shared" si="69"/>
        <v/>
      </c>
    </row>
    <row r="606" spans="1:39">
      <c r="A606" t="str">
        <f>IF(ISBLANK(Record!A607),"",Record!A607)</f>
        <v/>
      </c>
      <c r="B606" t="str">
        <f>IF(ISBLANK(Record!B607),"",Record!B607)</f>
        <v/>
      </c>
      <c r="C606" s="227" t="str">
        <f>IF(ISBLANK(Record!C607),"",Record!C607)</f>
        <v/>
      </c>
      <c r="D606" t="str">
        <f>IF(ISBLANK(Record!D607),"",Record!D607)</f>
        <v/>
      </c>
      <c r="E606" t="str">
        <f>IF(ISBLANK(Record!E607),"",Record!E607)</f>
        <v/>
      </c>
      <c r="M606" t="str">
        <f t="shared" si="63"/>
        <v xml:space="preserve">          </v>
      </c>
      <c r="N606" s="227" t="str">
        <f t="shared" si="64"/>
        <v/>
      </c>
      <c r="X606" t="str">
        <f t="shared" si="65"/>
        <v xml:space="preserve">          </v>
      </c>
      <c r="Y606" s="227" t="str">
        <f t="shared" si="66"/>
        <v/>
      </c>
      <c r="Z606" t="str">
        <f t="shared" si="67"/>
        <v/>
      </c>
      <c r="AL606" t="str">
        <f t="shared" si="68"/>
        <v/>
      </c>
      <c r="AM606" t="str">
        <f t="shared" si="69"/>
        <v/>
      </c>
    </row>
    <row r="607" spans="1:39">
      <c r="A607" t="str">
        <f>IF(ISBLANK(Record!A608),"",Record!A608)</f>
        <v/>
      </c>
      <c r="B607" t="str">
        <f>IF(ISBLANK(Record!B608),"",Record!B608)</f>
        <v/>
      </c>
      <c r="C607" s="227" t="str">
        <f>IF(ISBLANK(Record!C608),"",Record!C608)</f>
        <v/>
      </c>
      <c r="D607" t="str">
        <f>IF(ISBLANK(Record!D608),"",Record!D608)</f>
        <v/>
      </c>
      <c r="E607" t="str">
        <f>IF(ISBLANK(Record!E608),"",Record!E608)</f>
        <v/>
      </c>
      <c r="M607" t="str">
        <f t="shared" si="63"/>
        <v xml:space="preserve">          </v>
      </c>
      <c r="N607" s="227" t="str">
        <f t="shared" si="64"/>
        <v/>
      </c>
      <c r="X607" t="str">
        <f t="shared" si="65"/>
        <v xml:space="preserve">          </v>
      </c>
      <c r="Y607" s="227" t="str">
        <f t="shared" si="66"/>
        <v/>
      </c>
      <c r="Z607" t="str">
        <f t="shared" si="67"/>
        <v/>
      </c>
      <c r="AL607" t="str">
        <f t="shared" si="68"/>
        <v/>
      </c>
      <c r="AM607" t="str">
        <f t="shared" si="69"/>
        <v/>
      </c>
    </row>
    <row r="608" spans="1:39">
      <c r="A608" t="str">
        <f>IF(ISBLANK(Record!A609),"",Record!A609)</f>
        <v/>
      </c>
      <c r="B608" t="str">
        <f>IF(ISBLANK(Record!B609),"",Record!B609)</f>
        <v/>
      </c>
      <c r="C608" s="227" t="str">
        <f>IF(ISBLANK(Record!C609),"",Record!C609)</f>
        <v/>
      </c>
      <c r="D608" t="str">
        <f>IF(ISBLANK(Record!D609),"",Record!D609)</f>
        <v/>
      </c>
      <c r="E608" t="str">
        <f>IF(ISBLANK(Record!E609),"",Record!E609)</f>
        <v/>
      </c>
      <c r="M608" t="str">
        <f t="shared" si="63"/>
        <v xml:space="preserve">          </v>
      </c>
      <c r="N608" s="227" t="str">
        <f t="shared" si="64"/>
        <v/>
      </c>
      <c r="X608" t="str">
        <f t="shared" si="65"/>
        <v xml:space="preserve">          </v>
      </c>
      <c r="Y608" s="227" t="str">
        <f t="shared" si="66"/>
        <v/>
      </c>
      <c r="Z608" t="str">
        <f t="shared" si="67"/>
        <v/>
      </c>
      <c r="AL608" t="str">
        <f t="shared" si="68"/>
        <v/>
      </c>
      <c r="AM608" t="str">
        <f t="shared" si="69"/>
        <v/>
      </c>
    </row>
    <row r="609" spans="1:39">
      <c r="A609" t="str">
        <f>IF(ISBLANK(Record!A610),"",Record!A610)</f>
        <v/>
      </c>
      <c r="B609" t="str">
        <f>IF(ISBLANK(Record!B610),"",Record!B610)</f>
        <v/>
      </c>
      <c r="C609" s="227" t="str">
        <f>IF(ISBLANK(Record!C610),"",Record!C610)</f>
        <v/>
      </c>
      <c r="D609" t="str">
        <f>IF(ISBLANK(Record!D610),"",Record!D610)</f>
        <v/>
      </c>
      <c r="E609" t="str">
        <f>IF(ISBLANK(Record!E610),"",Record!E610)</f>
        <v/>
      </c>
      <c r="M609" t="str">
        <f t="shared" si="63"/>
        <v xml:space="preserve">          </v>
      </c>
      <c r="N609" s="227" t="str">
        <f t="shared" si="64"/>
        <v/>
      </c>
      <c r="X609" t="str">
        <f t="shared" si="65"/>
        <v xml:space="preserve">          </v>
      </c>
      <c r="Y609" s="227" t="str">
        <f t="shared" si="66"/>
        <v/>
      </c>
      <c r="Z609" t="str">
        <f t="shared" si="67"/>
        <v/>
      </c>
      <c r="AL609" t="str">
        <f t="shared" si="68"/>
        <v/>
      </c>
      <c r="AM609" t="str">
        <f t="shared" si="69"/>
        <v/>
      </c>
    </row>
    <row r="610" spans="1:39">
      <c r="A610" t="str">
        <f>IF(ISBLANK(Record!A611),"",Record!A611)</f>
        <v/>
      </c>
      <c r="B610" t="str">
        <f>IF(ISBLANK(Record!B611),"",Record!B611)</f>
        <v/>
      </c>
      <c r="C610" s="227" t="str">
        <f>IF(ISBLANK(Record!C611),"",Record!C611)</f>
        <v/>
      </c>
      <c r="D610" t="str">
        <f>IF(ISBLANK(Record!D611),"",Record!D611)</f>
        <v/>
      </c>
      <c r="E610" t="str">
        <f>IF(ISBLANK(Record!E611),"",Record!E611)</f>
        <v/>
      </c>
      <c r="M610" t="str">
        <f t="shared" si="63"/>
        <v xml:space="preserve">          </v>
      </c>
      <c r="N610" s="227" t="str">
        <f t="shared" si="64"/>
        <v/>
      </c>
      <c r="X610" t="str">
        <f t="shared" si="65"/>
        <v xml:space="preserve">          </v>
      </c>
      <c r="Y610" s="227" t="str">
        <f t="shared" si="66"/>
        <v/>
      </c>
      <c r="Z610" t="str">
        <f t="shared" si="67"/>
        <v/>
      </c>
      <c r="AL610" t="str">
        <f t="shared" si="68"/>
        <v/>
      </c>
      <c r="AM610" t="str">
        <f t="shared" si="69"/>
        <v/>
      </c>
    </row>
    <row r="611" spans="1:39">
      <c r="A611" t="str">
        <f>IF(ISBLANK(Record!A612),"",Record!A612)</f>
        <v/>
      </c>
      <c r="B611" t="str">
        <f>IF(ISBLANK(Record!B612),"",Record!B612)</f>
        <v/>
      </c>
      <c r="C611" s="227" t="str">
        <f>IF(ISBLANK(Record!C612),"",Record!C612)</f>
        <v/>
      </c>
      <c r="D611" t="str">
        <f>IF(ISBLANK(Record!D612),"",Record!D612)</f>
        <v/>
      </c>
      <c r="E611" t="str">
        <f>IF(ISBLANK(Record!E612),"",Record!E612)</f>
        <v/>
      </c>
      <c r="M611" t="str">
        <f t="shared" si="63"/>
        <v xml:space="preserve">          </v>
      </c>
      <c r="N611" s="227" t="str">
        <f t="shared" si="64"/>
        <v/>
      </c>
      <c r="X611" t="str">
        <f t="shared" si="65"/>
        <v xml:space="preserve">          </v>
      </c>
      <c r="Y611" s="227" t="str">
        <f t="shared" si="66"/>
        <v/>
      </c>
      <c r="Z611" t="str">
        <f t="shared" si="67"/>
        <v/>
      </c>
      <c r="AL611" t="str">
        <f t="shared" si="68"/>
        <v/>
      </c>
      <c r="AM611" t="str">
        <f t="shared" si="69"/>
        <v/>
      </c>
    </row>
    <row r="612" spans="1:39">
      <c r="A612" t="str">
        <f>IF(ISBLANK(Record!A613),"",Record!A613)</f>
        <v/>
      </c>
      <c r="B612" t="str">
        <f>IF(ISBLANK(Record!B613),"",Record!B613)</f>
        <v/>
      </c>
      <c r="C612" s="227" t="str">
        <f>IF(ISBLANK(Record!C613),"",Record!C613)</f>
        <v/>
      </c>
      <c r="D612" t="str">
        <f>IF(ISBLANK(Record!D613),"",Record!D613)</f>
        <v/>
      </c>
      <c r="E612" t="str">
        <f>IF(ISBLANK(Record!E613),"",Record!E613)</f>
        <v/>
      </c>
      <c r="M612" t="str">
        <f t="shared" si="63"/>
        <v xml:space="preserve">          </v>
      </c>
      <c r="N612" s="227" t="str">
        <f t="shared" si="64"/>
        <v/>
      </c>
      <c r="X612" t="str">
        <f t="shared" si="65"/>
        <v xml:space="preserve">          </v>
      </c>
      <c r="Y612" s="227" t="str">
        <f t="shared" si="66"/>
        <v/>
      </c>
      <c r="Z612" t="str">
        <f t="shared" si="67"/>
        <v/>
      </c>
      <c r="AL612" t="str">
        <f t="shared" si="68"/>
        <v/>
      </c>
      <c r="AM612" t="str">
        <f t="shared" si="69"/>
        <v/>
      </c>
    </row>
    <row r="613" spans="1:39">
      <c r="A613" t="str">
        <f>IF(ISBLANK(Record!A614),"",Record!A614)</f>
        <v/>
      </c>
      <c r="B613" t="str">
        <f>IF(ISBLANK(Record!B614),"",Record!B614)</f>
        <v/>
      </c>
      <c r="C613" s="227" t="str">
        <f>IF(ISBLANK(Record!C614),"",Record!C614)</f>
        <v/>
      </c>
      <c r="D613" t="str">
        <f>IF(ISBLANK(Record!D614),"",Record!D614)</f>
        <v/>
      </c>
      <c r="E613" t="str">
        <f>IF(ISBLANK(Record!E614),"",Record!E614)</f>
        <v/>
      </c>
      <c r="M613" t="str">
        <f t="shared" si="63"/>
        <v xml:space="preserve">          </v>
      </c>
      <c r="N613" s="227" t="str">
        <f t="shared" si="64"/>
        <v/>
      </c>
      <c r="X613" t="str">
        <f t="shared" si="65"/>
        <v xml:space="preserve">          </v>
      </c>
      <c r="Y613" s="227" t="str">
        <f t="shared" si="66"/>
        <v/>
      </c>
      <c r="Z613" t="str">
        <f t="shared" si="67"/>
        <v/>
      </c>
      <c r="AL613" t="str">
        <f t="shared" si="68"/>
        <v/>
      </c>
      <c r="AM613" t="str">
        <f t="shared" si="69"/>
        <v/>
      </c>
    </row>
    <row r="614" spans="1:39">
      <c r="A614" t="str">
        <f>IF(ISBLANK(Record!A615),"",Record!A615)</f>
        <v/>
      </c>
      <c r="B614" t="str">
        <f>IF(ISBLANK(Record!B615),"",Record!B615)</f>
        <v/>
      </c>
      <c r="C614" s="227" t="str">
        <f>IF(ISBLANK(Record!C615),"",Record!C615)</f>
        <v/>
      </c>
      <c r="D614" t="str">
        <f>IF(ISBLANK(Record!D615),"",Record!D615)</f>
        <v/>
      </c>
      <c r="E614" t="str">
        <f>IF(ISBLANK(Record!E615),"",Record!E615)</f>
        <v/>
      </c>
      <c r="M614" t="str">
        <f t="shared" si="63"/>
        <v xml:space="preserve">          </v>
      </c>
      <c r="N614" s="227" t="str">
        <f t="shared" si="64"/>
        <v/>
      </c>
      <c r="X614" t="str">
        <f t="shared" si="65"/>
        <v xml:space="preserve">          </v>
      </c>
      <c r="Y614" s="227" t="str">
        <f t="shared" si="66"/>
        <v/>
      </c>
      <c r="Z614" t="str">
        <f t="shared" si="67"/>
        <v/>
      </c>
      <c r="AL614" t="str">
        <f t="shared" si="68"/>
        <v/>
      </c>
      <c r="AM614" t="str">
        <f t="shared" si="69"/>
        <v/>
      </c>
    </row>
    <row r="615" spans="1:39">
      <c r="A615" t="str">
        <f>IF(ISBLANK(Record!A616),"",Record!A616)</f>
        <v/>
      </c>
      <c r="B615" t="str">
        <f>IF(ISBLANK(Record!B616),"",Record!B616)</f>
        <v/>
      </c>
      <c r="C615" s="227" t="str">
        <f>IF(ISBLANK(Record!C616),"",Record!C616)</f>
        <v/>
      </c>
      <c r="D615" t="str">
        <f>IF(ISBLANK(Record!D616),"",Record!D616)</f>
        <v/>
      </c>
      <c r="E615" t="str">
        <f>IF(ISBLANK(Record!E616),"",Record!E616)</f>
        <v/>
      </c>
      <c r="M615" t="str">
        <f t="shared" si="63"/>
        <v xml:space="preserve">          </v>
      </c>
      <c r="N615" s="227" t="str">
        <f t="shared" si="64"/>
        <v/>
      </c>
      <c r="X615" t="str">
        <f t="shared" si="65"/>
        <v xml:space="preserve">          </v>
      </c>
      <c r="Y615" s="227" t="str">
        <f t="shared" si="66"/>
        <v/>
      </c>
      <c r="Z615" t="str">
        <f t="shared" si="67"/>
        <v/>
      </c>
      <c r="AL615" t="str">
        <f t="shared" si="68"/>
        <v/>
      </c>
      <c r="AM615" t="str">
        <f t="shared" si="69"/>
        <v/>
      </c>
    </row>
    <row r="616" spans="1:39">
      <c r="A616" t="str">
        <f>IF(ISBLANK(Record!A617),"",Record!A617)</f>
        <v/>
      </c>
      <c r="B616" t="str">
        <f>IF(ISBLANK(Record!B617),"",Record!B617)</f>
        <v/>
      </c>
      <c r="C616" s="227" t="str">
        <f>IF(ISBLANK(Record!C617),"",Record!C617)</f>
        <v/>
      </c>
      <c r="D616" t="str">
        <f>IF(ISBLANK(Record!D617),"",Record!D617)</f>
        <v/>
      </c>
      <c r="E616" t="str">
        <f>IF(ISBLANK(Record!E617),"",Record!E617)</f>
        <v/>
      </c>
      <c r="M616" t="str">
        <f t="shared" si="63"/>
        <v xml:space="preserve">          </v>
      </c>
      <c r="N616" s="227" t="str">
        <f t="shared" si="64"/>
        <v/>
      </c>
      <c r="X616" t="str">
        <f t="shared" si="65"/>
        <v xml:space="preserve">          </v>
      </c>
      <c r="Y616" s="227" t="str">
        <f t="shared" si="66"/>
        <v/>
      </c>
      <c r="Z616" t="str">
        <f t="shared" si="67"/>
        <v/>
      </c>
      <c r="AL616" t="str">
        <f t="shared" si="68"/>
        <v/>
      </c>
      <c r="AM616" t="str">
        <f t="shared" si="69"/>
        <v/>
      </c>
    </row>
    <row r="617" spans="1:39">
      <c r="A617" t="str">
        <f>IF(ISBLANK(Record!A618),"",Record!A618)</f>
        <v/>
      </c>
      <c r="B617" t="str">
        <f>IF(ISBLANK(Record!B618),"",Record!B618)</f>
        <v/>
      </c>
      <c r="C617" s="227" t="str">
        <f>IF(ISBLANK(Record!C618),"",Record!C618)</f>
        <v/>
      </c>
      <c r="D617" t="str">
        <f>IF(ISBLANK(Record!D618),"",Record!D618)</f>
        <v/>
      </c>
      <c r="E617" t="str">
        <f>IF(ISBLANK(Record!E618),"",Record!E618)</f>
        <v/>
      </c>
      <c r="M617" t="str">
        <f t="shared" si="63"/>
        <v xml:space="preserve">          </v>
      </c>
      <c r="N617" s="227" t="str">
        <f t="shared" si="64"/>
        <v/>
      </c>
      <c r="X617" t="str">
        <f t="shared" si="65"/>
        <v xml:space="preserve">          </v>
      </c>
      <c r="Y617" s="227" t="str">
        <f t="shared" si="66"/>
        <v/>
      </c>
      <c r="Z617" t="str">
        <f t="shared" si="67"/>
        <v/>
      </c>
      <c r="AL617" t="str">
        <f t="shared" si="68"/>
        <v/>
      </c>
      <c r="AM617" t="str">
        <f t="shared" si="69"/>
        <v/>
      </c>
    </row>
    <row r="618" spans="1:39">
      <c r="A618" t="str">
        <f>IF(ISBLANK(Record!A619),"",Record!A619)</f>
        <v/>
      </c>
      <c r="B618" t="str">
        <f>IF(ISBLANK(Record!B619),"",Record!B619)</f>
        <v/>
      </c>
      <c r="C618" s="227" t="str">
        <f>IF(ISBLANK(Record!C619),"",Record!C619)</f>
        <v/>
      </c>
      <c r="D618" t="str">
        <f>IF(ISBLANK(Record!D619),"",Record!D619)</f>
        <v/>
      </c>
      <c r="E618" t="str">
        <f>IF(ISBLANK(Record!E619),"",Record!E619)</f>
        <v/>
      </c>
      <c r="M618" t="str">
        <f t="shared" si="63"/>
        <v xml:space="preserve">          </v>
      </c>
      <c r="N618" s="227" t="str">
        <f t="shared" si="64"/>
        <v/>
      </c>
      <c r="X618" t="str">
        <f t="shared" si="65"/>
        <v xml:space="preserve">          </v>
      </c>
      <c r="Y618" s="227" t="str">
        <f t="shared" si="66"/>
        <v/>
      </c>
      <c r="Z618" t="str">
        <f t="shared" si="67"/>
        <v/>
      </c>
      <c r="AL618" t="str">
        <f t="shared" si="68"/>
        <v/>
      </c>
      <c r="AM618" t="str">
        <f t="shared" si="69"/>
        <v/>
      </c>
    </row>
    <row r="619" spans="1:39">
      <c r="A619" t="str">
        <f>IF(ISBLANK(Record!A620),"",Record!A620)</f>
        <v/>
      </c>
      <c r="B619" t="str">
        <f>IF(ISBLANK(Record!B620),"",Record!B620)</f>
        <v/>
      </c>
      <c r="C619" s="227" t="str">
        <f>IF(ISBLANK(Record!C620),"",Record!C620)</f>
        <v/>
      </c>
      <c r="D619" t="str">
        <f>IF(ISBLANK(Record!D620),"",Record!D620)</f>
        <v/>
      </c>
      <c r="E619" t="str">
        <f>IF(ISBLANK(Record!E620),"",Record!E620)</f>
        <v/>
      </c>
      <c r="M619" t="str">
        <f t="shared" si="63"/>
        <v xml:space="preserve">          </v>
      </c>
      <c r="N619" s="227" t="str">
        <f t="shared" si="64"/>
        <v/>
      </c>
      <c r="X619" t="str">
        <f t="shared" si="65"/>
        <v xml:space="preserve">          </v>
      </c>
      <c r="Y619" s="227" t="str">
        <f t="shared" si="66"/>
        <v/>
      </c>
      <c r="Z619" t="str">
        <f t="shared" si="67"/>
        <v/>
      </c>
      <c r="AL619" t="str">
        <f t="shared" si="68"/>
        <v/>
      </c>
      <c r="AM619" t="str">
        <f t="shared" si="69"/>
        <v/>
      </c>
    </row>
    <row r="620" spans="1:39">
      <c r="A620" t="str">
        <f>IF(ISBLANK(Record!A621),"",Record!A621)</f>
        <v/>
      </c>
      <c r="B620" t="str">
        <f>IF(ISBLANK(Record!B621),"",Record!B621)</f>
        <v/>
      </c>
      <c r="C620" s="227" t="str">
        <f>IF(ISBLANK(Record!C621),"",Record!C621)</f>
        <v/>
      </c>
      <c r="D620" t="str">
        <f>IF(ISBLANK(Record!D621),"",Record!D621)</f>
        <v/>
      </c>
      <c r="E620" t="str">
        <f>IF(ISBLANK(Record!E621),"",Record!E621)</f>
        <v/>
      </c>
      <c r="M620" t="str">
        <f t="shared" si="63"/>
        <v xml:space="preserve">          </v>
      </c>
      <c r="N620" s="227" t="str">
        <f t="shared" si="64"/>
        <v/>
      </c>
      <c r="X620" t="str">
        <f t="shared" si="65"/>
        <v xml:space="preserve">          </v>
      </c>
      <c r="Y620" s="227" t="str">
        <f t="shared" si="66"/>
        <v/>
      </c>
      <c r="Z620" t="str">
        <f t="shared" si="67"/>
        <v/>
      </c>
      <c r="AL620" t="str">
        <f t="shared" si="68"/>
        <v/>
      </c>
      <c r="AM620" t="str">
        <f t="shared" si="69"/>
        <v/>
      </c>
    </row>
    <row r="621" spans="1:39">
      <c r="A621" t="str">
        <f>IF(ISBLANK(Record!A622),"",Record!A622)</f>
        <v/>
      </c>
      <c r="B621" t="str">
        <f>IF(ISBLANK(Record!B622),"",Record!B622)</f>
        <v/>
      </c>
      <c r="C621" s="227" t="str">
        <f>IF(ISBLANK(Record!C622),"",Record!C622)</f>
        <v/>
      </c>
      <c r="D621" t="str">
        <f>IF(ISBLANK(Record!D622),"",Record!D622)</f>
        <v/>
      </c>
      <c r="E621" t="str">
        <f>IF(ISBLANK(Record!E622),"",Record!E622)</f>
        <v/>
      </c>
      <c r="M621" t="str">
        <f t="shared" si="63"/>
        <v xml:space="preserve">          </v>
      </c>
      <c r="N621" s="227" t="str">
        <f t="shared" si="64"/>
        <v/>
      </c>
      <c r="X621" t="str">
        <f t="shared" si="65"/>
        <v xml:space="preserve">          </v>
      </c>
      <c r="Y621" s="227" t="str">
        <f t="shared" si="66"/>
        <v/>
      </c>
      <c r="Z621" t="str">
        <f t="shared" si="67"/>
        <v/>
      </c>
      <c r="AL621" t="str">
        <f t="shared" si="68"/>
        <v/>
      </c>
      <c r="AM621" t="str">
        <f t="shared" si="69"/>
        <v/>
      </c>
    </row>
    <row r="622" spans="1:39">
      <c r="A622" t="str">
        <f>IF(ISBLANK(Record!A623),"",Record!A623)</f>
        <v/>
      </c>
      <c r="B622" t="str">
        <f>IF(ISBLANK(Record!B623),"",Record!B623)</f>
        <v/>
      </c>
      <c r="C622" s="227" t="str">
        <f>IF(ISBLANK(Record!C623),"",Record!C623)</f>
        <v/>
      </c>
      <c r="D622" t="str">
        <f>IF(ISBLANK(Record!D623),"",Record!D623)</f>
        <v/>
      </c>
      <c r="E622" t="str">
        <f>IF(ISBLANK(Record!E623),"",Record!E623)</f>
        <v/>
      </c>
      <c r="M622" t="str">
        <f t="shared" si="63"/>
        <v xml:space="preserve">          </v>
      </c>
      <c r="N622" s="227" t="str">
        <f t="shared" si="64"/>
        <v/>
      </c>
      <c r="X622" t="str">
        <f t="shared" si="65"/>
        <v xml:space="preserve">          </v>
      </c>
      <c r="Y622" s="227" t="str">
        <f t="shared" si="66"/>
        <v/>
      </c>
      <c r="Z622" t="str">
        <f t="shared" si="67"/>
        <v/>
      </c>
      <c r="AL622" t="str">
        <f t="shared" si="68"/>
        <v/>
      </c>
      <c r="AM622" t="str">
        <f t="shared" si="69"/>
        <v/>
      </c>
    </row>
    <row r="623" spans="1:39">
      <c r="A623" t="str">
        <f>IF(ISBLANK(Record!A624),"",Record!A624)</f>
        <v/>
      </c>
      <c r="B623" t="str">
        <f>IF(ISBLANK(Record!B624),"",Record!B624)</f>
        <v/>
      </c>
      <c r="C623" s="227" t="str">
        <f>IF(ISBLANK(Record!C624),"",Record!C624)</f>
        <v/>
      </c>
      <c r="D623" t="str">
        <f>IF(ISBLANK(Record!D624),"",Record!D624)</f>
        <v/>
      </c>
      <c r="E623" t="str">
        <f>IF(ISBLANK(Record!E624),"",Record!E624)</f>
        <v/>
      </c>
      <c r="M623" t="str">
        <f t="shared" si="63"/>
        <v xml:space="preserve">          </v>
      </c>
      <c r="N623" s="227" t="str">
        <f t="shared" si="64"/>
        <v/>
      </c>
      <c r="X623" t="str">
        <f t="shared" si="65"/>
        <v xml:space="preserve">          </v>
      </c>
      <c r="Y623" s="227" t="str">
        <f t="shared" si="66"/>
        <v/>
      </c>
      <c r="Z623" t="str">
        <f t="shared" si="67"/>
        <v/>
      </c>
      <c r="AL623" t="str">
        <f t="shared" si="68"/>
        <v/>
      </c>
      <c r="AM623" t="str">
        <f t="shared" si="69"/>
        <v/>
      </c>
    </row>
    <row r="624" spans="1:39">
      <c r="A624" t="str">
        <f>IF(ISBLANK(Record!A625),"",Record!A625)</f>
        <v/>
      </c>
      <c r="B624" t="str">
        <f>IF(ISBLANK(Record!B625),"",Record!B625)</f>
        <v/>
      </c>
      <c r="C624" s="227" t="str">
        <f>IF(ISBLANK(Record!C625),"",Record!C625)</f>
        <v/>
      </c>
      <c r="D624" t="str">
        <f>IF(ISBLANK(Record!D625),"",Record!D625)</f>
        <v/>
      </c>
      <c r="E624" t="str">
        <f>IF(ISBLANK(Record!E625),"",Record!E625)</f>
        <v/>
      </c>
      <c r="M624" t="str">
        <f t="shared" si="63"/>
        <v xml:space="preserve">          </v>
      </c>
      <c r="N624" s="227" t="str">
        <f t="shared" si="64"/>
        <v/>
      </c>
      <c r="X624" t="str">
        <f t="shared" si="65"/>
        <v xml:space="preserve">          </v>
      </c>
      <c r="Y624" s="227" t="str">
        <f t="shared" si="66"/>
        <v/>
      </c>
      <c r="Z624" t="str">
        <f t="shared" si="67"/>
        <v/>
      </c>
      <c r="AL624" t="str">
        <f t="shared" si="68"/>
        <v/>
      </c>
      <c r="AM624" t="str">
        <f t="shared" si="69"/>
        <v/>
      </c>
    </row>
    <row r="625" spans="1:39">
      <c r="A625" t="str">
        <f>IF(ISBLANK(Record!A626),"",Record!A626)</f>
        <v/>
      </c>
      <c r="B625" t="str">
        <f>IF(ISBLANK(Record!B626),"",Record!B626)</f>
        <v/>
      </c>
      <c r="C625" s="227" t="str">
        <f>IF(ISBLANK(Record!C626),"",Record!C626)</f>
        <v/>
      </c>
      <c r="D625" t="str">
        <f>IF(ISBLANK(Record!D626),"",Record!D626)</f>
        <v/>
      </c>
      <c r="E625" t="str">
        <f>IF(ISBLANK(Record!E626),"",Record!E626)</f>
        <v/>
      </c>
      <c r="M625" t="str">
        <f t="shared" si="63"/>
        <v xml:space="preserve">          </v>
      </c>
      <c r="N625" s="227" t="str">
        <f t="shared" si="64"/>
        <v/>
      </c>
      <c r="X625" t="str">
        <f t="shared" si="65"/>
        <v xml:space="preserve">          </v>
      </c>
      <c r="Y625" s="227" t="str">
        <f t="shared" si="66"/>
        <v/>
      </c>
      <c r="Z625" t="str">
        <f t="shared" si="67"/>
        <v/>
      </c>
      <c r="AL625" t="str">
        <f t="shared" si="68"/>
        <v/>
      </c>
      <c r="AM625" t="str">
        <f t="shared" si="69"/>
        <v/>
      </c>
    </row>
    <row r="626" spans="1:39">
      <c r="A626" t="str">
        <f>IF(ISBLANK(Record!A627),"",Record!A627)</f>
        <v/>
      </c>
      <c r="B626" t="str">
        <f>IF(ISBLANK(Record!B627),"",Record!B627)</f>
        <v/>
      </c>
      <c r="C626" s="227" t="str">
        <f>IF(ISBLANK(Record!C627),"",Record!C627)</f>
        <v/>
      </c>
      <c r="D626" t="str">
        <f>IF(ISBLANK(Record!D627),"",Record!D627)</f>
        <v/>
      </c>
      <c r="E626" t="str">
        <f>IF(ISBLANK(Record!E627),"",Record!E627)</f>
        <v/>
      </c>
      <c r="M626" t="str">
        <f t="shared" si="63"/>
        <v xml:space="preserve">          </v>
      </c>
      <c r="N626" s="227" t="str">
        <f t="shared" si="64"/>
        <v/>
      </c>
      <c r="X626" t="str">
        <f t="shared" si="65"/>
        <v xml:space="preserve">          </v>
      </c>
      <c r="Y626" s="227" t="str">
        <f t="shared" si="66"/>
        <v/>
      </c>
      <c r="Z626" t="str">
        <f t="shared" si="67"/>
        <v/>
      </c>
      <c r="AL626" t="str">
        <f t="shared" si="68"/>
        <v/>
      </c>
      <c r="AM626" t="str">
        <f t="shared" si="69"/>
        <v/>
      </c>
    </row>
    <row r="627" spans="1:39">
      <c r="A627" t="str">
        <f>IF(ISBLANK(Record!A628),"",Record!A628)</f>
        <v/>
      </c>
      <c r="B627" t="str">
        <f>IF(ISBLANK(Record!B628),"",Record!B628)</f>
        <v/>
      </c>
      <c r="C627" s="227" t="str">
        <f>IF(ISBLANK(Record!C628),"",Record!C628)</f>
        <v/>
      </c>
      <c r="D627" t="str">
        <f>IF(ISBLANK(Record!D628),"",Record!D628)</f>
        <v/>
      </c>
      <c r="E627" t="str">
        <f>IF(ISBLANK(Record!E628),"",Record!E628)</f>
        <v/>
      </c>
      <c r="M627" t="str">
        <f t="shared" si="63"/>
        <v xml:space="preserve">          </v>
      </c>
      <c r="N627" s="227" t="str">
        <f t="shared" si="64"/>
        <v/>
      </c>
      <c r="X627" t="str">
        <f t="shared" si="65"/>
        <v xml:space="preserve">          </v>
      </c>
      <c r="Y627" s="227" t="str">
        <f t="shared" si="66"/>
        <v/>
      </c>
      <c r="Z627" t="str">
        <f t="shared" si="67"/>
        <v/>
      </c>
      <c r="AL627" t="str">
        <f t="shared" si="68"/>
        <v/>
      </c>
      <c r="AM627" t="str">
        <f t="shared" si="69"/>
        <v/>
      </c>
    </row>
    <row r="628" spans="1:39">
      <c r="A628" t="str">
        <f>IF(ISBLANK(Record!A629),"",Record!A629)</f>
        <v/>
      </c>
      <c r="B628" t="str">
        <f>IF(ISBLANK(Record!B629),"",Record!B629)</f>
        <v/>
      </c>
      <c r="C628" s="227" t="str">
        <f>IF(ISBLANK(Record!C629),"",Record!C629)</f>
        <v/>
      </c>
      <c r="D628" t="str">
        <f>IF(ISBLANK(Record!D629),"",Record!D629)</f>
        <v/>
      </c>
      <c r="E628" t="str">
        <f>IF(ISBLANK(Record!E629),"",Record!E629)</f>
        <v/>
      </c>
      <c r="M628" t="str">
        <f t="shared" si="63"/>
        <v xml:space="preserve">          </v>
      </c>
      <c r="N628" s="227" t="str">
        <f t="shared" si="64"/>
        <v/>
      </c>
      <c r="X628" t="str">
        <f t="shared" si="65"/>
        <v xml:space="preserve">          </v>
      </c>
      <c r="Y628" s="227" t="str">
        <f t="shared" si="66"/>
        <v/>
      </c>
      <c r="Z628" t="str">
        <f t="shared" si="67"/>
        <v/>
      </c>
      <c r="AL628" t="str">
        <f t="shared" si="68"/>
        <v/>
      </c>
      <c r="AM628" t="str">
        <f t="shared" si="69"/>
        <v/>
      </c>
    </row>
    <row r="629" spans="1:39">
      <c r="A629" t="str">
        <f>IF(ISBLANK(Record!A630),"",Record!A630)</f>
        <v/>
      </c>
      <c r="B629" t="str">
        <f>IF(ISBLANK(Record!B630),"",Record!B630)</f>
        <v/>
      </c>
      <c r="C629" s="227" t="str">
        <f>IF(ISBLANK(Record!C630),"",Record!C630)</f>
        <v/>
      </c>
      <c r="D629" t="str">
        <f>IF(ISBLANK(Record!D630),"",Record!D630)</f>
        <v/>
      </c>
      <c r="E629" t="str">
        <f>IF(ISBLANK(Record!E630),"",Record!E630)</f>
        <v/>
      </c>
      <c r="M629" t="str">
        <f t="shared" si="63"/>
        <v xml:space="preserve">          </v>
      </c>
      <c r="N629" s="227" t="str">
        <f t="shared" si="64"/>
        <v/>
      </c>
      <c r="X629" t="str">
        <f t="shared" si="65"/>
        <v xml:space="preserve">          </v>
      </c>
      <c r="Y629" s="227" t="str">
        <f t="shared" si="66"/>
        <v/>
      </c>
      <c r="Z629" t="str">
        <f t="shared" si="67"/>
        <v/>
      </c>
      <c r="AL629" t="str">
        <f t="shared" si="68"/>
        <v/>
      </c>
      <c r="AM629" t="str">
        <f t="shared" si="69"/>
        <v/>
      </c>
    </row>
    <row r="630" spans="1:39">
      <c r="A630" t="str">
        <f>IF(ISBLANK(Record!A631),"",Record!A631)</f>
        <v/>
      </c>
      <c r="B630" t="str">
        <f>IF(ISBLANK(Record!B631),"",Record!B631)</f>
        <v/>
      </c>
      <c r="C630" s="227" t="str">
        <f>IF(ISBLANK(Record!C631),"",Record!C631)</f>
        <v/>
      </c>
      <c r="D630" t="str">
        <f>IF(ISBLANK(Record!D631),"",Record!D631)</f>
        <v/>
      </c>
      <c r="E630" t="str">
        <f>IF(ISBLANK(Record!E631),"",Record!E631)</f>
        <v/>
      </c>
      <c r="M630" t="str">
        <f t="shared" si="63"/>
        <v xml:space="preserve">          </v>
      </c>
      <c r="N630" s="227" t="str">
        <f t="shared" si="64"/>
        <v/>
      </c>
      <c r="X630" t="str">
        <f t="shared" si="65"/>
        <v xml:space="preserve">          </v>
      </c>
      <c r="Y630" s="227" t="str">
        <f t="shared" si="66"/>
        <v/>
      </c>
      <c r="Z630" t="str">
        <f t="shared" si="67"/>
        <v/>
      </c>
      <c r="AL630" t="str">
        <f t="shared" si="68"/>
        <v/>
      </c>
      <c r="AM630" t="str">
        <f t="shared" si="69"/>
        <v/>
      </c>
    </row>
    <row r="631" spans="1:39">
      <c r="A631" t="str">
        <f>IF(ISBLANK(Record!A632),"",Record!A632)</f>
        <v/>
      </c>
      <c r="B631" t="str">
        <f>IF(ISBLANK(Record!B632),"",Record!B632)</f>
        <v/>
      </c>
      <c r="C631" s="227" t="str">
        <f>IF(ISBLANK(Record!C632),"",Record!C632)</f>
        <v/>
      </c>
      <c r="D631" t="str">
        <f>IF(ISBLANK(Record!D632),"",Record!D632)</f>
        <v/>
      </c>
      <c r="E631" t="str">
        <f>IF(ISBLANK(Record!E632),"",Record!E632)</f>
        <v/>
      </c>
      <c r="M631" t="str">
        <f t="shared" si="63"/>
        <v xml:space="preserve">          </v>
      </c>
      <c r="N631" s="227" t="str">
        <f t="shared" si="64"/>
        <v/>
      </c>
      <c r="X631" t="str">
        <f t="shared" si="65"/>
        <v xml:space="preserve">          </v>
      </c>
      <c r="Y631" s="227" t="str">
        <f t="shared" si="66"/>
        <v/>
      </c>
      <c r="Z631" t="str">
        <f t="shared" si="67"/>
        <v/>
      </c>
      <c r="AL631" t="str">
        <f t="shared" si="68"/>
        <v/>
      </c>
      <c r="AM631" t="str">
        <f t="shared" si="69"/>
        <v/>
      </c>
    </row>
    <row r="632" spans="1:39">
      <c r="A632" t="str">
        <f>IF(ISBLANK(Record!A633),"",Record!A633)</f>
        <v/>
      </c>
      <c r="B632" t="str">
        <f>IF(ISBLANK(Record!B633),"",Record!B633)</f>
        <v/>
      </c>
      <c r="C632" s="227" t="str">
        <f>IF(ISBLANK(Record!C633),"",Record!C633)</f>
        <v/>
      </c>
      <c r="D632" t="str">
        <f>IF(ISBLANK(Record!D633),"",Record!D633)</f>
        <v/>
      </c>
      <c r="E632" t="str">
        <f>IF(ISBLANK(Record!E633),"",Record!E633)</f>
        <v/>
      </c>
      <c r="M632" t="str">
        <f t="shared" si="63"/>
        <v xml:space="preserve">          </v>
      </c>
      <c r="N632" s="227" t="str">
        <f t="shared" si="64"/>
        <v/>
      </c>
      <c r="X632" t="str">
        <f t="shared" si="65"/>
        <v xml:space="preserve">          </v>
      </c>
      <c r="Y632" s="227" t="str">
        <f t="shared" si="66"/>
        <v/>
      </c>
      <c r="Z632" t="str">
        <f t="shared" si="67"/>
        <v/>
      </c>
      <c r="AL632" t="str">
        <f t="shared" si="68"/>
        <v/>
      </c>
      <c r="AM632" t="str">
        <f t="shared" si="69"/>
        <v/>
      </c>
    </row>
    <row r="633" spans="1:39">
      <c r="A633" t="str">
        <f>IF(ISBLANK(Record!A634),"",Record!A634)</f>
        <v/>
      </c>
      <c r="B633" t="str">
        <f>IF(ISBLANK(Record!B634),"",Record!B634)</f>
        <v/>
      </c>
      <c r="C633" s="227" t="str">
        <f>IF(ISBLANK(Record!C634),"",Record!C634)</f>
        <v/>
      </c>
      <c r="D633" t="str">
        <f>IF(ISBLANK(Record!D634),"",Record!D634)</f>
        <v/>
      </c>
      <c r="E633" t="str">
        <f>IF(ISBLANK(Record!E634),"",Record!E634)</f>
        <v/>
      </c>
      <c r="M633" t="str">
        <f t="shared" si="63"/>
        <v xml:space="preserve">          </v>
      </c>
      <c r="N633" s="227" t="str">
        <f t="shared" si="64"/>
        <v/>
      </c>
      <c r="X633" t="str">
        <f t="shared" si="65"/>
        <v xml:space="preserve">          </v>
      </c>
      <c r="Y633" s="227" t="str">
        <f t="shared" si="66"/>
        <v/>
      </c>
      <c r="Z633" t="str">
        <f t="shared" si="67"/>
        <v/>
      </c>
      <c r="AL633" t="str">
        <f t="shared" si="68"/>
        <v/>
      </c>
      <c r="AM633" t="str">
        <f t="shared" si="69"/>
        <v/>
      </c>
    </row>
    <row r="634" spans="1:39">
      <c r="A634" t="str">
        <f>IF(ISBLANK(Record!A635),"",Record!A635)</f>
        <v/>
      </c>
      <c r="B634" t="str">
        <f>IF(ISBLANK(Record!B635),"",Record!B635)</f>
        <v/>
      </c>
      <c r="C634" s="227" t="str">
        <f>IF(ISBLANK(Record!C635),"",Record!C635)</f>
        <v/>
      </c>
      <c r="D634" t="str">
        <f>IF(ISBLANK(Record!D635),"",Record!D635)</f>
        <v/>
      </c>
      <c r="E634" t="str">
        <f>IF(ISBLANK(Record!E635),"",Record!E635)</f>
        <v/>
      </c>
      <c r="M634" t="str">
        <f t="shared" si="63"/>
        <v xml:space="preserve">          </v>
      </c>
      <c r="N634" s="227" t="str">
        <f t="shared" si="64"/>
        <v/>
      </c>
      <c r="X634" t="str">
        <f t="shared" si="65"/>
        <v xml:space="preserve">          </v>
      </c>
      <c r="Y634" s="227" t="str">
        <f t="shared" si="66"/>
        <v/>
      </c>
      <c r="Z634" t="str">
        <f t="shared" si="67"/>
        <v/>
      </c>
      <c r="AL634" t="str">
        <f t="shared" si="68"/>
        <v/>
      </c>
      <c r="AM634" t="str">
        <f t="shared" si="69"/>
        <v/>
      </c>
    </row>
    <row r="635" spans="1:39">
      <c r="A635" t="str">
        <f>IF(ISBLANK(Record!A636),"",Record!A636)</f>
        <v/>
      </c>
      <c r="B635" t="str">
        <f>IF(ISBLANK(Record!B636),"",Record!B636)</f>
        <v/>
      </c>
      <c r="C635" s="227" t="str">
        <f>IF(ISBLANK(Record!C636),"",Record!C636)</f>
        <v/>
      </c>
      <c r="D635" t="str">
        <f>IF(ISBLANK(Record!D636),"",Record!D636)</f>
        <v/>
      </c>
      <c r="E635" t="str">
        <f>IF(ISBLANK(Record!E636),"",Record!E636)</f>
        <v/>
      </c>
      <c r="M635" t="str">
        <f t="shared" si="63"/>
        <v xml:space="preserve">          </v>
      </c>
      <c r="N635" s="227" t="str">
        <f t="shared" si="64"/>
        <v/>
      </c>
      <c r="X635" t="str">
        <f t="shared" si="65"/>
        <v xml:space="preserve">          </v>
      </c>
      <c r="Y635" s="227" t="str">
        <f t="shared" si="66"/>
        <v/>
      </c>
      <c r="Z635" t="str">
        <f t="shared" si="67"/>
        <v/>
      </c>
      <c r="AL635" t="str">
        <f t="shared" si="68"/>
        <v/>
      </c>
      <c r="AM635" t="str">
        <f t="shared" si="69"/>
        <v/>
      </c>
    </row>
    <row r="636" spans="1:39">
      <c r="A636" t="str">
        <f>IF(ISBLANK(Record!A637),"",Record!A637)</f>
        <v/>
      </c>
      <c r="B636" t="str">
        <f>IF(ISBLANK(Record!B637),"",Record!B637)</f>
        <v/>
      </c>
      <c r="C636" s="227" t="str">
        <f>IF(ISBLANK(Record!C637),"",Record!C637)</f>
        <v/>
      </c>
      <c r="D636" t="str">
        <f>IF(ISBLANK(Record!D637),"",Record!D637)</f>
        <v/>
      </c>
      <c r="E636" t="str">
        <f>IF(ISBLANK(Record!E637),"",Record!E637)</f>
        <v/>
      </c>
      <c r="M636" t="str">
        <f t="shared" si="63"/>
        <v xml:space="preserve">          </v>
      </c>
      <c r="N636" s="227" t="str">
        <f t="shared" si="64"/>
        <v/>
      </c>
      <c r="X636" t="str">
        <f t="shared" si="65"/>
        <v xml:space="preserve">          </v>
      </c>
      <c r="Y636" s="227" t="str">
        <f t="shared" si="66"/>
        <v/>
      </c>
      <c r="Z636" t="str">
        <f t="shared" si="67"/>
        <v/>
      </c>
      <c r="AL636" t="str">
        <f t="shared" si="68"/>
        <v/>
      </c>
      <c r="AM636" t="str">
        <f t="shared" si="69"/>
        <v/>
      </c>
    </row>
    <row r="637" spans="1:39">
      <c r="A637" t="str">
        <f>IF(ISBLANK(Record!A638),"",Record!A638)</f>
        <v/>
      </c>
      <c r="B637" t="str">
        <f>IF(ISBLANK(Record!B638),"",Record!B638)</f>
        <v/>
      </c>
      <c r="C637" s="227" t="str">
        <f>IF(ISBLANK(Record!C638),"",Record!C638)</f>
        <v/>
      </c>
      <c r="D637" t="str">
        <f>IF(ISBLANK(Record!D638),"",Record!D638)</f>
        <v/>
      </c>
      <c r="E637" t="str">
        <f>IF(ISBLANK(Record!E638),"",Record!E638)</f>
        <v/>
      </c>
      <c r="M637" t="str">
        <f t="shared" si="63"/>
        <v xml:space="preserve">          </v>
      </c>
      <c r="N637" s="227" t="str">
        <f t="shared" si="64"/>
        <v/>
      </c>
      <c r="X637" t="str">
        <f t="shared" si="65"/>
        <v xml:space="preserve">          </v>
      </c>
      <c r="Y637" s="227" t="str">
        <f t="shared" si="66"/>
        <v/>
      </c>
      <c r="Z637" t="str">
        <f t="shared" si="67"/>
        <v/>
      </c>
      <c r="AL637" t="str">
        <f t="shared" si="68"/>
        <v/>
      </c>
      <c r="AM637" t="str">
        <f t="shared" si="69"/>
        <v/>
      </c>
    </row>
    <row r="638" spans="1:39">
      <c r="A638" t="str">
        <f>IF(ISBLANK(Record!A639),"",Record!A639)</f>
        <v/>
      </c>
      <c r="B638" t="str">
        <f>IF(ISBLANK(Record!B639),"",Record!B639)</f>
        <v/>
      </c>
      <c r="C638" s="227" t="str">
        <f>IF(ISBLANK(Record!C639),"",Record!C639)</f>
        <v/>
      </c>
      <c r="D638" t="str">
        <f>IF(ISBLANK(Record!D639),"",Record!D639)</f>
        <v/>
      </c>
      <c r="E638" t="str">
        <f>IF(ISBLANK(Record!E639),"",Record!E639)</f>
        <v/>
      </c>
      <c r="M638" t="str">
        <f t="shared" si="63"/>
        <v xml:space="preserve">          </v>
      </c>
      <c r="N638" s="227" t="str">
        <f t="shared" si="64"/>
        <v/>
      </c>
      <c r="X638" t="str">
        <f t="shared" si="65"/>
        <v xml:space="preserve">          </v>
      </c>
      <c r="Y638" s="227" t="str">
        <f t="shared" si="66"/>
        <v/>
      </c>
      <c r="Z638" t="str">
        <f t="shared" si="67"/>
        <v/>
      </c>
      <c r="AL638" t="str">
        <f t="shared" si="68"/>
        <v/>
      </c>
      <c r="AM638" t="str">
        <f t="shared" si="69"/>
        <v/>
      </c>
    </row>
    <row r="639" spans="1:39">
      <c r="A639" t="str">
        <f>IF(ISBLANK(Record!A640),"",Record!A640)</f>
        <v/>
      </c>
      <c r="B639" t="str">
        <f>IF(ISBLANK(Record!B640),"",Record!B640)</f>
        <v/>
      </c>
      <c r="C639" s="227" t="str">
        <f>IF(ISBLANK(Record!C640),"",Record!C640)</f>
        <v/>
      </c>
      <c r="D639" t="str">
        <f>IF(ISBLANK(Record!D640),"",Record!D640)</f>
        <v/>
      </c>
      <c r="E639" t="str">
        <f>IF(ISBLANK(Record!E640),"",Record!E640)</f>
        <v/>
      </c>
      <c r="M639" t="str">
        <f t="shared" si="63"/>
        <v xml:space="preserve">          </v>
      </c>
      <c r="N639" s="227" t="str">
        <f t="shared" si="64"/>
        <v/>
      </c>
      <c r="X639" t="str">
        <f t="shared" si="65"/>
        <v xml:space="preserve">          </v>
      </c>
      <c r="Y639" s="227" t="str">
        <f t="shared" si="66"/>
        <v/>
      </c>
      <c r="Z639" t="str">
        <f t="shared" si="67"/>
        <v/>
      </c>
      <c r="AL639" t="str">
        <f t="shared" si="68"/>
        <v/>
      </c>
      <c r="AM639" t="str">
        <f t="shared" si="69"/>
        <v/>
      </c>
    </row>
    <row r="640" spans="1:39">
      <c r="A640" t="str">
        <f>IF(ISBLANK(Record!A641),"",Record!A641)</f>
        <v/>
      </c>
      <c r="B640" t="str">
        <f>IF(ISBLANK(Record!B641),"",Record!B641)</f>
        <v/>
      </c>
      <c r="C640" s="227" t="str">
        <f>IF(ISBLANK(Record!C641),"",Record!C641)</f>
        <v/>
      </c>
      <c r="D640" t="str">
        <f>IF(ISBLANK(Record!D641),"",Record!D641)</f>
        <v/>
      </c>
      <c r="E640" t="str">
        <f>IF(ISBLANK(Record!E641),"",Record!E641)</f>
        <v/>
      </c>
      <c r="M640" t="str">
        <f t="shared" si="63"/>
        <v xml:space="preserve">          </v>
      </c>
      <c r="N640" s="227" t="str">
        <f t="shared" si="64"/>
        <v/>
      </c>
      <c r="X640" t="str">
        <f t="shared" si="65"/>
        <v xml:space="preserve">          </v>
      </c>
      <c r="Y640" s="227" t="str">
        <f t="shared" si="66"/>
        <v/>
      </c>
      <c r="Z640" t="str">
        <f t="shared" si="67"/>
        <v/>
      </c>
      <c r="AL640" t="str">
        <f t="shared" si="68"/>
        <v/>
      </c>
      <c r="AM640" t="str">
        <f t="shared" si="69"/>
        <v/>
      </c>
    </row>
    <row r="641" spans="1:39">
      <c r="A641" t="str">
        <f>IF(ISBLANK(Record!A642),"",Record!A642)</f>
        <v/>
      </c>
      <c r="B641" t="str">
        <f>IF(ISBLANK(Record!B642),"",Record!B642)</f>
        <v/>
      </c>
      <c r="C641" s="227" t="str">
        <f>IF(ISBLANK(Record!C642),"",Record!C642)</f>
        <v/>
      </c>
      <c r="D641" t="str">
        <f>IF(ISBLANK(Record!D642),"",Record!D642)</f>
        <v/>
      </c>
      <c r="E641" t="str">
        <f>IF(ISBLANK(Record!E642),"",Record!E642)</f>
        <v/>
      </c>
      <c r="M641" t="str">
        <f t="shared" si="63"/>
        <v xml:space="preserve">          </v>
      </c>
      <c r="N641" s="227" t="str">
        <f t="shared" si="64"/>
        <v/>
      </c>
      <c r="X641" t="str">
        <f t="shared" si="65"/>
        <v xml:space="preserve">          </v>
      </c>
      <c r="Y641" s="227" t="str">
        <f t="shared" si="66"/>
        <v/>
      </c>
      <c r="Z641" t="str">
        <f t="shared" si="67"/>
        <v/>
      </c>
      <c r="AL641" t="str">
        <f t="shared" si="68"/>
        <v/>
      </c>
      <c r="AM641" t="str">
        <f t="shared" si="69"/>
        <v/>
      </c>
    </row>
    <row r="642" spans="1:39">
      <c r="A642" t="str">
        <f>IF(ISBLANK(Record!A643),"",Record!A643)</f>
        <v/>
      </c>
      <c r="B642" t="str">
        <f>IF(ISBLANK(Record!B643),"",Record!B643)</f>
        <v/>
      </c>
      <c r="C642" s="227" t="str">
        <f>IF(ISBLANK(Record!C643),"",Record!C643)</f>
        <v/>
      </c>
      <c r="D642" t="str">
        <f>IF(ISBLANK(Record!D643),"",Record!D643)</f>
        <v/>
      </c>
      <c r="E642" t="str">
        <f>IF(ISBLANK(Record!E643),"",Record!E643)</f>
        <v/>
      </c>
      <c r="M642" t="str">
        <f t="shared" si="63"/>
        <v xml:space="preserve">          </v>
      </c>
      <c r="N642" s="227" t="str">
        <f t="shared" si="64"/>
        <v/>
      </c>
      <c r="X642" t="str">
        <f t="shared" si="65"/>
        <v xml:space="preserve">          </v>
      </c>
      <c r="Y642" s="227" t="str">
        <f t="shared" si="66"/>
        <v/>
      </c>
      <c r="Z642" t="str">
        <f t="shared" si="67"/>
        <v/>
      </c>
      <c r="AL642" t="str">
        <f t="shared" si="68"/>
        <v/>
      </c>
      <c r="AM642" t="str">
        <f t="shared" si="69"/>
        <v/>
      </c>
    </row>
    <row r="643" spans="1:39">
      <c r="A643" t="str">
        <f>IF(ISBLANK(Record!A644),"",Record!A644)</f>
        <v/>
      </c>
      <c r="B643" t="str">
        <f>IF(ISBLANK(Record!B644),"",Record!B644)</f>
        <v/>
      </c>
      <c r="C643" s="227" t="str">
        <f>IF(ISBLANK(Record!C644),"",Record!C644)</f>
        <v/>
      </c>
      <c r="D643" t="str">
        <f>IF(ISBLANK(Record!D644),"",Record!D644)</f>
        <v/>
      </c>
      <c r="E643" t="str">
        <f>IF(ISBLANK(Record!E644),"",Record!E644)</f>
        <v/>
      </c>
      <c r="M643" t="str">
        <f t="shared" ref="M643:M706" si="70">RIGHT("                                   " &amp; A643,10)</f>
        <v xml:space="preserve">          </v>
      </c>
      <c r="N643" s="227" t="str">
        <f t="shared" ref="N643:N706" si="71">RIGHT(C643,16)</f>
        <v/>
      </c>
      <c r="X643" t="str">
        <f t="shared" ref="X643:X706" si="72">RIGHT("                                   " &amp; A643,10)</f>
        <v xml:space="preserve">          </v>
      </c>
      <c r="Y643" s="227" t="str">
        <f t="shared" ref="Y643:Y706" si="73">RIGHT(C643,16)</f>
        <v/>
      </c>
      <c r="Z643" t="str">
        <f t="shared" ref="Z643:Z706" si="74">RIGHT(D643,8)</f>
        <v/>
      </c>
      <c r="AL643" t="str">
        <f t="shared" ref="AL643:AL706" si="75">D643</f>
        <v/>
      </c>
      <c r="AM643" t="str">
        <f t="shared" ref="AM643:AM706" si="76">IF(E643&lt;&gt;AL643,E643,E643)</f>
        <v/>
      </c>
    </row>
    <row r="644" spans="1:39">
      <c r="A644" t="str">
        <f>IF(ISBLANK(Record!A645),"",Record!A645)</f>
        <v/>
      </c>
      <c r="B644" t="str">
        <f>IF(ISBLANK(Record!B645),"",Record!B645)</f>
        <v/>
      </c>
      <c r="C644" s="227" t="str">
        <f>IF(ISBLANK(Record!C645),"",Record!C645)</f>
        <v/>
      </c>
      <c r="D644" t="str">
        <f>IF(ISBLANK(Record!D645),"",Record!D645)</f>
        <v/>
      </c>
      <c r="E644" t="str">
        <f>IF(ISBLANK(Record!E645),"",Record!E645)</f>
        <v/>
      </c>
      <c r="M644" t="str">
        <f t="shared" si="70"/>
        <v xml:space="preserve">          </v>
      </c>
      <c r="N644" s="227" t="str">
        <f t="shared" si="71"/>
        <v/>
      </c>
      <c r="X644" t="str">
        <f t="shared" si="72"/>
        <v xml:space="preserve">          </v>
      </c>
      <c r="Y644" s="227" t="str">
        <f t="shared" si="73"/>
        <v/>
      </c>
      <c r="Z644" t="str">
        <f t="shared" si="74"/>
        <v/>
      </c>
      <c r="AL644" t="str">
        <f t="shared" si="75"/>
        <v/>
      </c>
      <c r="AM644" t="str">
        <f t="shared" si="76"/>
        <v/>
      </c>
    </row>
    <row r="645" spans="1:39">
      <c r="A645" t="str">
        <f>IF(ISBLANK(Record!A646),"",Record!A646)</f>
        <v/>
      </c>
      <c r="B645" t="str">
        <f>IF(ISBLANK(Record!B646),"",Record!B646)</f>
        <v/>
      </c>
      <c r="C645" s="227" t="str">
        <f>IF(ISBLANK(Record!C646),"",Record!C646)</f>
        <v/>
      </c>
      <c r="D645" t="str">
        <f>IF(ISBLANK(Record!D646),"",Record!D646)</f>
        <v/>
      </c>
      <c r="E645" t="str">
        <f>IF(ISBLANK(Record!E646),"",Record!E646)</f>
        <v/>
      </c>
      <c r="M645" t="str">
        <f t="shared" si="70"/>
        <v xml:space="preserve">          </v>
      </c>
      <c r="N645" s="227" t="str">
        <f t="shared" si="71"/>
        <v/>
      </c>
      <c r="X645" t="str">
        <f t="shared" si="72"/>
        <v xml:space="preserve">          </v>
      </c>
      <c r="Y645" s="227" t="str">
        <f t="shared" si="73"/>
        <v/>
      </c>
      <c r="Z645" t="str">
        <f t="shared" si="74"/>
        <v/>
      </c>
      <c r="AL645" t="str">
        <f t="shared" si="75"/>
        <v/>
      </c>
      <c r="AM645" t="str">
        <f t="shared" si="76"/>
        <v/>
      </c>
    </row>
    <row r="646" spans="1:39">
      <c r="A646" t="str">
        <f>IF(ISBLANK(Record!A647),"",Record!A647)</f>
        <v/>
      </c>
      <c r="B646" t="str">
        <f>IF(ISBLANK(Record!B647),"",Record!B647)</f>
        <v/>
      </c>
      <c r="C646" s="227" t="str">
        <f>IF(ISBLANK(Record!C647),"",Record!C647)</f>
        <v/>
      </c>
      <c r="D646" t="str">
        <f>IF(ISBLANK(Record!D647),"",Record!D647)</f>
        <v/>
      </c>
      <c r="E646" t="str">
        <f>IF(ISBLANK(Record!E647),"",Record!E647)</f>
        <v/>
      </c>
      <c r="M646" t="str">
        <f t="shared" si="70"/>
        <v xml:space="preserve">          </v>
      </c>
      <c r="N646" s="227" t="str">
        <f t="shared" si="71"/>
        <v/>
      </c>
      <c r="X646" t="str">
        <f t="shared" si="72"/>
        <v xml:space="preserve">          </v>
      </c>
      <c r="Y646" s="227" t="str">
        <f t="shared" si="73"/>
        <v/>
      </c>
      <c r="Z646" t="str">
        <f t="shared" si="74"/>
        <v/>
      </c>
      <c r="AL646" t="str">
        <f t="shared" si="75"/>
        <v/>
      </c>
      <c r="AM646" t="str">
        <f t="shared" si="76"/>
        <v/>
      </c>
    </row>
    <row r="647" spans="1:39">
      <c r="A647" t="str">
        <f>IF(ISBLANK(Record!A648),"",Record!A648)</f>
        <v/>
      </c>
      <c r="B647" t="str">
        <f>IF(ISBLANK(Record!B648),"",Record!B648)</f>
        <v/>
      </c>
      <c r="C647" s="227" t="str">
        <f>IF(ISBLANK(Record!C648),"",Record!C648)</f>
        <v/>
      </c>
      <c r="D647" t="str">
        <f>IF(ISBLANK(Record!D648),"",Record!D648)</f>
        <v/>
      </c>
      <c r="E647" t="str">
        <f>IF(ISBLANK(Record!E648),"",Record!E648)</f>
        <v/>
      </c>
      <c r="M647" t="str">
        <f t="shared" si="70"/>
        <v xml:space="preserve">          </v>
      </c>
      <c r="N647" s="227" t="str">
        <f t="shared" si="71"/>
        <v/>
      </c>
      <c r="X647" t="str">
        <f t="shared" si="72"/>
        <v xml:space="preserve">          </v>
      </c>
      <c r="Y647" s="227" t="str">
        <f t="shared" si="73"/>
        <v/>
      </c>
      <c r="Z647" t="str">
        <f t="shared" si="74"/>
        <v/>
      </c>
      <c r="AL647" t="str">
        <f t="shared" si="75"/>
        <v/>
      </c>
      <c r="AM647" t="str">
        <f t="shared" si="76"/>
        <v/>
      </c>
    </row>
    <row r="648" spans="1:39">
      <c r="A648" t="str">
        <f>IF(ISBLANK(Record!A649),"",Record!A649)</f>
        <v/>
      </c>
      <c r="B648" t="str">
        <f>IF(ISBLANK(Record!B649),"",Record!B649)</f>
        <v/>
      </c>
      <c r="C648" s="227" t="str">
        <f>IF(ISBLANK(Record!C649),"",Record!C649)</f>
        <v/>
      </c>
      <c r="D648" t="str">
        <f>IF(ISBLANK(Record!D649),"",Record!D649)</f>
        <v/>
      </c>
      <c r="E648" t="str">
        <f>IF(ISBLANK(Record!E649),"",Record!E649)</f>
        <v/>
      </c>
      <c r="M648" t="str">
        <f t="shared" si="70"/>
        <v xml:space="preserve">          </v>
      </c>
      <c r="N648" s="227" t="str">
        <f t="shared" si="71"/>
        <v/>
      </c>
      <c r="X648" t="str">
        <f t="shared" si="72"/>
        <v xml:space="preserve">          </v>
      </c>
      <c r="Y648" s="227" t="str">
        <f t="shared" si="73"/>
        <v/>
      </c>
      <c r="Z648" t="str">
        <f t="shared" si="74"/>
        <v/>
      </c>
      <c r="AL648" t="str">
        <f t="shared" si="75"/>
        <v/>
      </c>
      <c r="AM648" t="str">
        <f t="shared" si="76"/>
        <v/>
      </c>
    </row>
    <row r="649" spans="1:39">
      <c r="A649" t="str">
        <f>IF(ISBLANK(Record!A650),"",Record!A650)</f>
        <v/>
      </c>
      <c r="B649" t="str">
        <f>IF(ISBLANK(Record!B650),"",Record!B650)</f>
        <v/>
      </c>
      <c r="C649" s="227" t="str">
        <f>IF(ISBLANK(Record!C650),"",Record!C650)</f>
        <v/>
      </c>
      <c r="D649" t="str">
        <f>IF(ISBLANK(Record!D650),"",Record!D650)</f>
        <v/>
      </c>
      <c r="E649" t="str">
        <f>IF(ISBLANK(Record!E650),"",Record!E650)</f>
        <v/>
      </c>
      <c r="M649" t="str">
        <f t="shared" si="70"/>
        <v xml:space="preserve">          </v>
      </c>
      <c r="N649" s="227" t="str">
        <f t="shared" si="71"/>
        <v/>
      </c>
      <c r="X649" t="str">
        <f t="shared" si="72"/>
        <v xml:space="preserve">          </v>
      </c>
      <c r="Y649" s="227" t="str">
        <f t="shared" si="73"/>
        <v/>
      </c>
      <c r="Z649" t="str">
        <f t="shared" si="74"/>
        <v/>
      </c>
      <c r="AL649" t="str">
        <f t="shared" si="75"/>
        <v/>
      </c>
      <c r="AM649" t="str">
        <f t="shared" si="76"/>
        <v/>
      </c>
    </row>
    <row r="650" spans="1:39">
      <c r="A650" t="str">
        <f>IF(ISBLANK(Record!A651),"",Record!A651)</f>
        <v/>
      </c>
      <c r="B650" t="str">
        <f>IF(ISBLANK(Record!B651),"",Record!B651)</f>
        <v/>
      </c>
      <c r="C650" s="227" t="str">
        <f>IF(ISBLANK(Record!C651),"",Record!C651)</f>
        <v/>
      </c>
      <c r="D650" t="str">
        <f>IF(ISBLANK(Record!D651),"",Record!D651)</f>
        <v/>
      </c>
      <c r="E650" t="str">
        <f>IF(ISBLANK(Record!E651),"",Record!E651)</f>
        <v/>
      </c>
      <c r="M650" t="str">
        <f t="shared" si="70"/>
        <v xml:space="preserve">          </v>
      </c>
      <c r="N650" s="227" t="str">
        <f t="shared" si="71"/>
        <v/>
      </c>
      <c r="X650" t="str">
        <f t="shared" si="72"/>
        <v xml:space="preserve">          </v>
      </c>
      <c r="Y650" s="227" t="str">
        <f t="shared" si="73"/>
        <v/>
      </c>
      <c r="Z650" t="str">
        <f t="shared" si="74"/>
        <v/>
      </c>
      <c r="AL650" t="str">
        <f t="shared" si="75"/>
        <v/>
      </c>
      <c r="AM650" t="str">
        <f t="shared" si="76"/>
        <v/>
      </c>
    </row>
    <row r="651" spans="1:39">
      <c r="A651" t="str">
        <f>IF(ISBLANK(Record!A652),"",Record!A652)</f>
        <v/>
      </c>
      <c r="B651" t="str">
        <f>IF(ISBLANK(Record!B652),"",Record!B652)</f>
        <v/>
      </c>
      <c r="C651" s="227" t="str">
        <f>IF(ISBLANK(Record!C652),"",Record!C652)</f>
        <v/>
      </c>
      <c r="D651" t="str">
        <f>IF(ISBLANK(Record!D652),"",Record!D652)</f>
        <v/>
      </c>
      <c r="E651" t="str">
        <f>IF(ISBLANK(Record!E652),"",Record!E652)</f>
        <v/>
      </c>
      <c r="M651" t="str">
        <f t="shared" si="70"/>
        <v xml:space="preserve">          </v>
      </c>
      <c r="N651" s="227" t="str">
        <f t="shared" si="71"/>
        <v/>
      </c>
      <c r="X651" t="str">
        <f t="shared" si="72"/>
        <v xml:space="preserve">          </v>
      </c>
      <c r="Y651" s="227" t="str">
        <f t="shared" si="73"/>
        <v/>
      </c>
      <c r="Z651" t="str">
        <f t="shared" si="74"/>
        <v/>
      </c>
      <c r="AL651" t="str">
        <f t="shared" si="75"/>
        <v/>
      </c>
      <c r="AM651" t="str">
        <f t="shared" si="76"/>
        <v/>
      </c>
    </row>
    <row r="652" spans="1:39">
      <c r="A652" t="str">
        <f>IF(ISBLANK(Record!A653),"",Record!A653)</f>
        <v/>
      </c>
      <c r="B652" t="str">
        <f>IF(ISBLANK(Record!B653),"",Record!B653)</f>
        <v/>
      </c>
      <c r="C652" s="227" t="str">
        <f>IF(ISBLANK(Record!C653),"",Record!C653)</f>
        <v/>
      </c>
      <c r="D652" t="str">
        <f>IF(ISBLANK(Record!D653),"",Record!D653)</f>
        <v/>
      </c>
      <c r="E652" t="str">
        <f>IF(ISBLANK(Record!E653),"",Record!E653)</f>
        <v/>
      </c>
      <c r="M652" t="str">
        <f t="shared" si="70"/>
        <v xml:space="preserve">          </v>
      </c>
      <c r="N652" s="227" t="str">
        <f t="shared" si="71"/>
        <v/>
      </c>
      <c r="X652" t="str">
        <f t="shared" si="72"/>
        <v xml:space="preserve">          </v>
      </c>
      <c r="Y652" s="227" t="str">
        <f t="shared" si="73"/>
        <v/>
      </c>
      <c r="Z652" t="str">
        <f t="shared" si="74"/>
        <v/>
      </c>
      <c r="AL652" t="str">
        <f t="shared" si="75"/>
        <v/>
      </c>
      <c r="AM652" t="str">
        <f t="shared" si="76"/>
        <v/>
      </c>
    </row>
    <row r="653" spans="1:39">
      <c r="A653" t="str">
        <f>IF(ISBLANK(Record!A654),"",Record!A654)</f>
        <v/>
      </c>
      <c r="B653" t="str">
        <f>IF(ISBLANK(Record!B654),"",Record!B654)</f>
        <v/>
      </c>
      <c r="C653" s="227" t="str">
        <f>IF(ISBLANK(Record!C654),"",Record!C654)</f>
        <v/>
      </c>
      <c r="D653" t="str">
        <f>IF(ISBLANK(Record!D654),"",Record!D654)</f>
        <v/>
      </c>
      <c r="E653" t="str">
        <f>IF(ISBLANK(Record!E654),"",Record!E654)</f>
        <v/>
      </c>
      <c r="M653" t="str">
        <f t="shared" si="70"/>
        <v xml:space="preserve">          </v>
      </c>
      <c r="N653" s="227" t="str">
        <f t="shared" si="71"/>
        <v/>
      </c>
      <c r="X653" t="str">
        <f t="shared" si="72"/>
        <v xml:space="preserve">          </v>
      </c>
      <c r="Y653" s="227" t="str">
        <f t="shared" si="73"/>
        <v/>
      </c>
      <c r="Z653" t="str">
        <f t="shared" si="74"/>
        <v/>
      </c>
      <c r="AL653" t="str">
        <f t="shared" si="75"/>
        <v/>
      </c>
      <c r="AM653" t="str">
        <f t="shared" si="76"/>
        <v/>
      </c>
    </row>
    <row r="654" spans="1:39">
      <c r="A654" t="str">
        <f>IF(ISBLANK(Record!A655),"",Record!A655)</f>
        <v/>
      </c>
      <c r="B654" t="str">
        <f>IF(ISBLANK(Record!B655),"",Record!B655)</f>
        <v/>
      </c>
      <c r="C654" s="227" t="str">
        <f>IF(ISBLANK(Record!C655),"",Record!C655)</f>
        <v/>
      </c>
      <c r="D654" t="str">
        <f>IF(ISBLANK(Record!D655),"",Record!D655)</f>
        <v/>
      </c>
      <c r="E654" t="str">
        <f>IF(ISBLANK(Record!E655),"",Record!E655)</f>
        <v/>
      </c>
      <c r="M654" t="str">
        <f t="shared" si="70"/>
        <v xml:space="preserve">          </v>
      </c>
      <c r="N654" s="227" t="str">
        <f t="shared" si="71"/>
        <v/>
      </c>
      <c r="X654" t="str">
        <f t="shared" si="72"/>
        <v xml:space="preserve">          </v>
      </c>
      <c r="Y654" s="227" t="str">
        <f t="shared" si="73"/>
        <v/>
      </c>
      <c r="Z654" t="str">
        <f t="shared" si="74"/>
        <v/>
      </c>
      <c r="AL654" t="str">
        <f t="shared" si="75"/>
        <v/>
      </c>
      <c r="AM654" t="str">
        <f t="shared" si="76"/>
        <v/>
      </c>
    </row>
    <row r="655" spans="1:39">
      <c r="A655" t="str">
        <f>IF(ISBLANK(Record!A656),"",Record!A656)</f>
        <v/>
      </c>
      <c r="B655" t="str">
        <f>IF(ISBLANK(Record!B656),"",Record!B656)</f>
        <v/>
      </c>
      <c r="C655" s="227" t="str">
        <f>IF(ISBLANK(Record!C656),"",Record!C656)</f>
        <v/>
      </c>
      <c r="D655" t="str">
        <f>IF(ISBLANK(Record!D656),"",Record!D656)</f>
        <v/>
      </c>
      <c r="E655" t="str">
        <f>IF(ISBLANK(Record!E656),"",Record!E656)</f>
        <v/>
      </c>
      <c r="M655" t="str">
        <f t="shared" si="70"/>
        <v xml:space="preserve">          </v>
      </c>
      <c r="N655" s="227" t="str">
        <f t="shared" si="71"/>
        <v/>
      </c>
      <c r="X655" t="str">
        <f t="shared" si="72"/>
        <v xml:space="preserve">          </v>
      </c>
      <c r="Y655" s="227" t="str">
        <f t="shared" si="73"/>
        <v/>
      </c>
      <c r="Z655" t="str">
        <f t="shared" si="74"/>
        <v/>
      </c>
      <c r="AL655" t="str">
        <f t="shared" si="75"/>
        <v/>
      </c>
      <c r="AM655" t="str">
        <f t="shared" si="76"/>
        <v/>
      </c>
    </row>
    <row r="656" spans="1:39">
      <c r="A656" t="str">
        <f>IF(ISBLANK(Record!A657),"",Record!A657)</f>
        <v/>
      </c>
      <c r="B656" t="str">
        <f>IF(ISBLANK(Record!B657),"",Record!B657)</f>
        <v/>
      </c>
      <c r="C656" s="227" t="str">
        <f>IF(ISBLANK(Record!C657),"",Record!C657)</f>
        <v/>
      </c>
      <c r="D656" t="str">
        <f>IF(ISBLANK(Record!D657),"",Record!D657)</f>
        <v/>
      </c>
      <c r="E656" t="str">
        <f>IF(ISBLANK(Record!E657),"",Record!E657)</f>
        <v/>
      </c>
      <c r="M656" t="str">
        <f t="shared" si="70"/>
        <v xml:space="preserve">          </v>
      </c>
      <c r="N656" s="227" t="str">
        <f t="shared" si="71"/>
        <v/>
      </c>
      <c r="X656" t="str">
        <f t="shared" si="72"/>
        <v xml:space="preserve">          </v>
      </c>
      <c r="Y656" s="227" t="str">
        <f t="shared" si="73"/>
        <v/>
      </c>
      <c r="Z656" t="str">
        <f t="shared" si="74"/>
        <v/>
      </c>
      <c r="AL656" t="str">
        <f t="shared" si="75"/>
        <v/>
      </c>
      <c r="AM656" t="str">
        <f t="shared" si="76"/>
        <v/>
      </c>
    </row>
    <row r="657" spans="1:39">
      <c r="A657" t="str">
        <f>IF(ISBLANK(Record!A658),"",Record!A658)</f>
        <v/>
      </c>
      <c r="B657" t="str">
        <f>IF(ISBLANK(Record!B658),"",Record!B658)</f>
        <v/>
      </c>
      <c r="C657" s="227" t="str">
        <f>IF(ISBLANK(Record!C658),"",Record!C658)</f>
        <v/>
      </c>
      <c r="D657" t="str">
        <f>IF(ISBLANK(Record!D658),"",Record!D658)</f>
        <v/>
      </c>
      <c r="E657" t="str">
        <f>IF(ISBLANK(Record!E658),"",Record!E658)</f>
        <v/>
      </c>
      <c r="M657" t="str">
        <f t="shared" si="70"/>
        <v xml:space="preserve">          </v>
      </c>
      <c r="N657" s="227" t="str">
        <f t="shared" si="71"/>
        <v/>
      </c>
      <c r="X657" t="str">
        <f t="shared" si="72"/>
        <v xml:space="preserve">          </v>
      </c>
      <c r="Y657" s="227" t="str">
        <f t="shared" si="73"/>
        <v/>
      </c>
      <c r="Z657" t="str">
        <f t="shared" si="74"/>
        <v/>
      </c>
      <c r="AL657" t="str">
        <f t="shared" si="75"/>
        <v/>
      </c>
      <c r="AM657" t="str">
        <f t="shared" si="76"/>
        <v/>
      </c>
    </row>
    <row r="658" spans="1:39">
      <c r="A658" t="str">
        <f>IF(ISBLANK(Record!A659),"",Record!A659)</f>
        <v/>
      </c>
      <c r="B658" t="str">
        <f>IF(ISBLANK(Record!B659),"",Record!B659)</f>
        <v/>
      </c>
      <c r="C658" s="227" t="str">
        <f>IF(ISBLANK(Record!C659),"",Record!C659)</f>
        <v/>
      </c>
      <c r="D658" t="str">
        <f>IF(ISBLANK(Record!D659),"",Record!D659)</f>
        <v/>
      </c>
      <c r="E658" t="str">
        <f>IF(ISBLANK(Record!E659),"",Record!E659)</f>
        <v/>
      </c>
      <c r="M658" t="str">
        <f t="shared" si="70"/>
        <v xml:space="preserve">          </v>
      </c>
      <c r="N658" s="227" t="str">
        <f t="shared" si="71"/>
        <v/>
      </c>
      <c r="X658" t="str">
        <f t="shared" si="72"/>
        <v xml:space="preserve">          </v>
      </c>
      <c r="Y658" s="227" t="str">
        <f t="shared" si="73"/>
        <v/>
      </c>
      <c r="Z658" t="str">
        <f t="shared" si="74"/>
        <v/>
      </c>
      <c r="AL658" t="str">
        <f t="shared" si="75"/>
        <v/>
      </c>
      <c r="AM658" t="str">
        <f t="shared" si="76"/>
        <v/>
      </c>
    </row>
    <row r="659" spans="1:39">
      <c r="A659" t="str">
        <f>IF(ISBLANK(Record!A660),"",Record!A660)</f>
        <v/>
      </c>
      <c r="B659" t="str">
        <f>IF(ISBLANK(Record!B660),"",Record!B660)</f>
        <v/>
      </c>
      <c r="C659" s="227" t="str">
        <f>IF(ISBLANK(Record!C660),"",Record!C660)</f>
        <v/>
      </c>
      <c r="D659" t="str">
        <f>IF(ISBLANK(Record!D660),"",Record!D660)</f>
        <v/>
      </c>
      <c r="E659" t="str">
        <f>IF(ISBLANK(Record!E660),"",Record!E660)</f>
        <v/>
      </c>
      <c r="M659" t="str">
        <f t="shared" si="70"/>
        <v xml:space="preserve">          </v>
      </c>
      <c r="N659" s="227" t="str">
        <f t="shared" si="71"/>
        <v/>
      </c>
      <c r="X659" t="str">
        <f t="shared" si="72"/>
        <v xml:space="preserve">          </v>
      </c>
      <c r="Y659" s="227" t="str">
        <f t="shared" si="73"/>
        <v/>
      </c>
      <c r="Z659" t="str">
        <f t="shared" si="74"/>
        <v/>
      </c>
      <c r="AL659" t="str">
        <f t="shared" si="75"/>
        <v/>
      </c>
      <c r="AM659" t="str">
        <f t="shared" si="76"/>
        <v/>
      </c>
    </row>
    <row r="660" spans="1:39">
      <c r="A660" t="str">
        <f>IF(ISBLANK(Record!A661),"",Record!A661)</f>
        <v/>
      </c>
      <c r="B660" t="str">
        <f>IF(ISBLANK(Record!B661),"",Record!B661)</f>
        <v/>
      </c>
      <c r="C660" s="227" t="str">
        <f>IF(ISBLANK(Record!C661),"",Record!C661)</f>
        <v/>
      </c>
      <c r="D660" t="str">
        <f>IF(ISBLANK(Record!D661),"",Record!D661)</f>
        <v/>
      </c>
      <c r="E660" t="str">
        <f>IF(ISBLANK(Record!E661),"",Record!E661)</f>
        <v/>
      </c>
      <c r="M660" t="str">
        <f t="shared" si="70"/>
        <v xml:space="preserve">          </v>
      </c>
      <c r="N660" s="227" t="str">
        <f t="shared" si="71"/>
        <v/>
      </c>
      <c r="X660" t="str">
        <f t="shared" si="72"/>
        <v xml:space="preserve">          </v>
      </c>
      <c r="Y660" s="227" t="str">
        <f t="shared" si="73"/>
        <v/>
      </c>
      <c r="Z660" t="str">
        <f t="shared" si="74"/>
        <v/>
      </c>
      <c r="AL660" t="str">
        <f t="shared" si="75"/>
        <v/>
      </c>
      <c r="AM660" t="str">
        <f t="shared" si="76"/>
        <v/>
      </c>
    </row>
    <row r="661" spans="1:39">
      <c r="A661" t="str">
        <f>IF(ISBLANK(Record!A662),"",Record!A662)</f>
        <v/>
      </c>
      <c r="B661" t="str">
        <f>IF(ISBLANK(Record!B662),"",Record!B662)</f>
        <v/>
      </c>
      <c r="C661" s="227" t="str">
        <f>IF(ISBLANK(Record!C662),"",Record!C662)</f>
        <v/>
      </c>
      <c r="D661" t="str">
        <f>IF(ISBLANK(Record!D662),"",Record!D662)</f>
        <v/>
      </c>
      <c r="E661" t="str">
        <f>IF(ISBLANK(Record!E662),"",Record!E662)</f>
        <v/>
      </c>
      <c r="M661" t="str">
        <f t="shared" si="70"/>
        <v xml:space="preserve">          </v>
      </c>
      <c r="N661" s="227" t="str">
        <f t="shared" si="71"/>
        <v/>
      </c>
      <c r="X661" t="str">
        <f t="shared" si="72"/>
        <v xml:space="preserve">          </v>
      </c>
      <c r="Y661" s="227" t="str">
        <f t="shared" si="73"/>
        <v/>
      </c>
      <c r="Z661" t="str">
        <f t="shared" si="74"/>
        <v/>
      </c>
      <c r="AL661" t="str">
        <f t="shared" si="75"/>
        <v/>
      </c>
      <c r="AM661" t="str">
        <f t="shared" si="76"/>
        <v/>
      </c>
    </row>
    <row r="662" spans="1:39">
      <c r="A662" t="str">
        <f>IF(ISBLANK(Record!A663),"",Record!A663)</f>
        <v/>
      </c>
      <c r="B662" t="str">
        <f>IF(ISBLANK(Record!B663),"",Record!B663)</f>
        <v/>
      </c>
      <c r="C662" s="227" t="str">
        <f>IF(ISBLANK(Record!C663),"",Record!C663)</f>
        <v/>
      </c>
      <c r="D662" t="str">
        <f>IF(ISBLANK(Record!D663),"",Record!D663)</f>
        <v/>
      </c>
      <c r="E662" t="str">
        <f>IF(ISBLANK(Record!E663),"",Record!E663)</f>
        <v/>
      </c>
      <c r="M662" t="str">
        <f t="shared" si="70"/>
        <v xml:space="preserve">          </v>
      </c>
      <c r="N662" s="227" t="str">
        <f t="shared" si="71"/>
        <v/>
      </c>
      <c r="X662" t="str">
        <f t="shared" si="72"/>
        <v xml:space="preserve">          </v>
      </c>
      <c r="Y662" s="227" t="str">
        <f t="shared" si="73"/>
        <v/>
      </c>
      <c r="Z662" t="str">
        <f t="shared" si="74"/>
        <v/>
      </c>
      <c r="AL662" t="str">
        <f t="shared" si="75"/>
        <v/>
      </c>
      <c r="AM662" t="str">
        <f t="shared" si="76"/>
        <v/>
      </c>
    </row>
    <row r="663" spans="1:39">
      <c r="A663" t="str">
        <f>IF(ISBLANK(Record!A664),"",Record!A664)</f>
        <v/>
      </c>
      <c r="B663" t="str">
        <f>IF(ISBLANK(Record!B664),"",Record!B664)</f>
        <v/>
      </c>
      <c r="C663" s="227" t="str">
        <f>IF(ISBLANK(Record!C664),"",Record!C664)</f>
        <v/>
      </c>
      <c r="D663" t="str">
        <f>IF(ISBLANK(Record!D664),"",Record!D664)</f>
        <v/>
      </c>
      <c r="E663" t="str">
        <f>IF(ISBLANK(Record!E664),"",Record!E664)</f>
        <v/>
      </c>
      <c r="M663" t="str">
        <f t="shared" si="70"/>
        <v xml:space="preserve">          </v>
      </c>
      <c r="N663" s="227" t="str">
        <f t="shared" si="71"/>
        <v/>
      </c>
      <c r="X663" t="str">
        <f t="shared" si="72"/>
        <v xml:space="preserve">          </v>
      </c>
      <c r="Y663" s="227" t="str">
        <f t="shared" si="73"/>
        <v/>
      </c>
      <c r="Z663" t="str">
        <f t="shared" si="74"/>
        <v/>
      </c>
      <c r="AL663" t="str">
        <f t="shared" si="75"/>
        <v/>
      </c>
      <c r="AM663" t="str">
        <f t="shared" si="76"/>
        <v/>
      </c>
    </row>
    <row r="664" spans="1:39">
      <c r="A664" t="str">
        <f>IF(ISBLANK(Record!A665),"",Record!A665)</f>
        <v/>
      </c>
      <c r="B664" t="str">
        <f>IF(ISBLANK(Record!B665),"",Record!B665)</f>
        <v/>
      </c>
      <c r="C664" s="227" t="str">
        <f>IF(ISBLANK(Record!C665),"",Record!C665)</f>
        <v/>
      </c>
      <c r="D664" t="str">
        <f>IF(ISBLANK(Record!D665),"",Record!D665)</f>
        <v/>
      </c>
      <c r="E664" t="str">
        <f>IF(ISBLANK(Record!E665),"",Record!E665)</f>
        <v/>
      </c>
      <c r="M664" t="str">
        <f t="shared" si="70"/>
        <v xml:space="preserve">          </v>
      </c>
      <c r="N664" s="227" t="str">
        <f t="shared" si="71"/>
        <v/>
      </c>
      <c r="X664" t="str">
        <f t="shared" si="72"/>
        <v xml:space="preserve">          </v>
      </c>
      <c r="Y664" s="227" t="str">
        <f t="shared" si="73"/>
        <v/>
      </c>
      <c r="Z664" t="str">
        <f t="shared" si="74"/>
        <v/>
      </c>
      <c r="AL664" t="str">
        <f t="shared" si="75"/>
        <v/>
      </c>
      <c r="AM664" t="str">
        <f t="shared" si="76"/>
        <v/>
      </c>
    </row>
    <row r="665" spans="1:39">
      <c r="A665" t="str">
        <f>IF(ISBLANK(Record!A666),"",Record!A666)</f>
        <v/>
      </c>
      <c r="B665" t="str">
        <f>IF(ISBLANK(Record!B666),"",Record!B666)</f>
        <v/>
      </c>
      <c r="C665" s="227" t="str">
        <f>IF(ISBLANK(Record!C666),"",Record!C666)</f>
        <v/>
      </c>
      <c r="D665" t="str">
        <f>IF(ISBLANK(Record!D666),"",Record!D666)</f>
        <v/>
      </c>
      <c r="E665" t="str">
        <f>IF(ISBLANK(Record!E666),"",Record!E666)</f>
        <v/>
      </c>
      <c r="M665" t="str">
        <f t="shared" si="70"/>
        <v xml:space="preserve">          </v>
      </c>
      <c r="N665" s="227" t="str">
        <f t="shared" si="71"/>
        <v/>
      </c>
      <c r="X665" t="str">
        <f t="shared" si="72"/>
        <v xml:space="preserve">          </v>
      </c>
      <c r="Y665" s="227" t="str">
        <f t="shared" si="73"/>
        <v/>
      </c>
      <c r="Z665" t="str">
        <f t="shared" si="74"/>
        <v/>
      </c>
      <c r="AL665" t="str">
        <f t="shared" si="75"/>
        <v/>
      </c>
      <c r="AM665" t="str">
        <f t="shared" si="76"/>
        <v/>
      </c>
    </row>
    <row r="666" spans="1:39">
      <c r="A666" t="str">
        <f>IF(ISBLANK(Record!A667),"",Record!A667)</f>
        <v/>
      </c>
      <c r="B666" t="str">
        <f>IF(ISBLANK(Record!B667),"",Record!B667)</f>
        <v/>
      </c>
      <c r="C666" s="227" t="str">
        <f>IF(ISBLANK(Record!C667),"",Record!C667)</f>
        <v/>
      </c>
      <c r="D666" t="str">
        <f>IF(ISBLANK(Record!D667),"",Record!D667)</f>
        <v/>
      </c>
      <c r="E666" t="str">
        <f>IF(ISBLANK(Record!E667),"",Record!E667)</f>
        <v/>
      </c>
      <c r="M666" t="str">
        <f t="shared" si="70"/>
        <v xml:space="preserve">          </v>
      </c>
      <c r="N666" s="227" t="str">
        <f t="shared" si="71"/>
        <v/>
      </c>
      <c r="X666" t="str">
        <f t="shared" si="72"/>
        <v xml:space="preserve">          </v>
      </c>
      <c r="Y666" s="227" t="str">
        <f t="shared" si="73"/>
        <v/>
      </c>
      <c r="Z666" t="str">
        <f t="shared" si="74"/>
        <v/>
      </c>
      <c r="AL666" t="str">
        <f t="shared" si="75"/>
        <v/>
      </c>
      <c r="AM666" t="str">
        <f t="shared" si="76"/>
        <v/>
      </c>
    </row>
    <row r="667" spans="1:39">
      <c r="A667" t="str">
        <f>IF(ISBLANK(Record!A668),"",Record!A668)</f>
        <v/>
      </c>
      <c r="B667" t="str">
        <f>IF(ISBLANK(Record!B668),"",Record!B668)</f>
        <v/>
      </c>
      <c r="C667" s="227" t="str">
        <f>IF(ISBLANK(Record!C668),"",Record!C668)</f>
        <v/>
      </c>
      <c r="D667" t="str">
        <f>IF(ISBLANK(Record!D668),"",Record!D668)</f>
        <v/>
      </c>
      <c r="E667" t="str">
        <f>IF(ISBLANK(Record!E668),"",Record!E668)</f>
        <v/>
      </c>
      <c r="M667" t="str">
        <f t="shared" si="70"/>
        <v xml:space="preserve">          </v>
      </c>
      <c r="N667" s="227" t="str">
        <f t="shared" si="71"/>
        <v/>
      </c>
      <c r="X667" t="str">
        <f t="shared" si="72"/>
        <v xml:space="preserve">          </v>
      </c>
      <c r="Y667" s="227" t="str">
        <f t="shared" si="73"/>
        <v/>
      </c>
      <c r="Z667" t="str">
        <f t="shared" si="74"/>
        <v/>
      </c>
      <c r="AL667" t="str">
        <f t="shared" si="75"/>
        <v/>
      </c>
      <c r="AM667" t="str">
        <f t="shared" si="76"/>
        <v/>
      </c>
    </row>
    <row r="668" spans="1:39">
      <c r="A668" t="str">
        <f>IF(ISBLANK(Record!A669),"",Record!A669)</f>
        <v/>
      </c>
      <c r="B668" t="str">
        <f>IF(ISBLANK(Record!B669),"",Record!B669)</f>
        <v/>
      </c>
      <c r="C668" s="227" t="str">
        <f>IF(ISBLANK(Record!C669),"",Record!C669)</f>
        <v/>
      </c>
      <c r="D668" t="str">
        <f>IF(ISBLANK(Record!D669),"",Record!D669)</f>
        <v/>
      </c>
      <c r="E668" t="str">
        <f>IF(ISBLANK(Record!E669),"",Record!E669)</f>
        <v/>
      </c>
      <c r="M668" t="str">
        <f t="shared" si="70"/>
        <v xml:space="preserve">          </v>
      </c>
      <c r="N668" s="227" t="str">
        <f t="shared" si="71"/>
        <v/>
      </c>
      <c r="X668" t="str">
        <f t="shared" si="72"/>
        <v xml:space="preserve">          </v>
      </c>
      <c r="Y668" s="227" t="str">
        <f t="shared" si="73"/>
        <v/>
      </c>
      <c r="Z668" t="str">
        <f t="shared" si="74"/>
        <v/>
      </c>
      <c r="AL668" t="str">
        <f t="shared" si="75"/>
        <v/>
      </c>
      <c r="AM668" t="str">
        <f t="shared" si="76"/>
        <v/>
      </c>
    </row>
    <row r="669" spans="1:39">
      <c r="A669" t="str">
        <f>IF(ISBLANK(Record!A670),"",Record!A670)</f>
        <v/>
      </c>
      <c r="B669" t="str">
        <f>IF(ISBLANK(Record!B670),"",Record!B670)</f>
        <v/>
      </c>
      <c r="C669" s="227" t="str">
        <f>IF(ISBLANK(Record!C670),"",Record!C670)</f>
        <v/>
      </c>
      <c r="D669" t="str">
        <f>IF(ISBLANK(Record!D670),"",Record!D670)</f>
        <v/>
      </c>
      <c r="E669" t="str">
        <f>IF(ISBLANK(Record!E670),"",Record!E670)</f>
        <v/>
      </c>
      <c r="M669" t="str">
        <f t="shared" si="70"/>
        <v xml:space="preserve">          </v>
      </c>
      <c r="N669" s="227" t="str">
        <f t="shared" si="71"/>
        <v/>
      </c>
      <c r="X669" t="str">
        <f t="shared" si="72"/>
        <v xml:space="preserve">          </v>
      </c>
      <c r="Y669" s="227" t="str">
        <f t="shared" si="73"/>
        <v/>
      </c>
      <c r="Z669" t="str">
        <f t="shared" si="74"/>
        <v/>
      </c>
      <c r="AL669" t="str">
        <f t="shared" si="75"/>
        <v/>
      </c>
      <c r="AM669" t="str">
        <f t="shared" si="76"/>
        <v/>
      </c>
    </row>
    <row r="670" spans="1:39">
      <c r="A670" t="str">
        <f>IF(ISBLANK(Record!A671),"",Record!A671)</f>
        <v/>
      </c>
      <c r="B670" t="str">
        <f>IF(ISBLANK(Record!B671),"",Record!B671)</f>
        <v/>
      </c>
      <c r="C670" s="227" t="str">
        <f>IF(ISBLANK(Record!C671),"",Record!C671)</f>
        <v/>
      </c>
      <c r="D670" t="str">
        <f>IF(ISBLANK(Record!D671),"",Record!D671)</f>
        <v/>
      </c>
      <c r="E670" t="str">
        <f>IF(ISBLANK(Record!E671),"",Record!E671)</f>
        <v/>
      </c>
      <c r="M670" t="str">
        <f t="shared" si="70"/>
        <v xml:space="preserve">          </v>
      </c>
      <c r="N670" s="227" t="str">
        <f t="shared" si="71"/>
        <v/>
      </c>
      <c r="X670" t="str">
        <f t="shared" si="72"/>
        <v xml:space="preserve">          </v>
      </c>
      <c r="Y670" s="227" t="str">
        <f t="shared" si="73"/>
        <v/>
      </c>
      <c r="Z670" t="str">
        <f t="shared" si="74"/>
        <v/>
      </c>
      <c r="AL670" t="str">
        <f t="shared" si="75"/>
        <v/>
      </c>
      <c r="AM670" t="str">
        <f t="shared" si="76"/>
        <v/>
      </c>
    </row>
    <row r="671" spans="1:39">
      <c r="A671" t="str">
        <f>IF(ISBLANK(Record!A672),"",Record!A672)</f>
        <v/>
      </c>
      <c r="B671" t="str">
        <f>IF(ISBLANK(Record!B672),"",Record!B672)</f>
        <v/>
      </c>
      <c r="C671" s="227" t="str">
        <f>IF(ISBLANK(Record!C672),"",Record!C672)</f>
        <v/>
      </c>
      <c r="D671" t="str">
        <f>IF(ISBLANK(Record!D672),"",Record!D672)</f>
        <v/>
      </c>
      <c r="E671" t="str">
        <f>IF(ISBLANK(Record!E672),"",Record!E672)</f>
        <v/>
      </c>
      <c r="M671" t="str">
        <f t="shared" si="70"/>
        <v xml:space="preserve">          </v>
      </c>
      <c r="N671" s="227" t="str">
        <f t="shared" si="71"/>
        <v/>
      </c>
      <c r="X671" t="str">
        <f t="shared" si="72"/>
        <v xml:space="preserve">          </v>
      </c>
      <c r="Y671" s="227" t="str">
        <f t="shared" si="73"/>
        <v/>
      </c>
      <c r="Z671" t="str">
        <f t="shared" si="74"/>
        <v/>
      </c>
      <c r="AL671" t="str">
        <f t="shared" si="75"/>
        <v/>
      </c>
      <c r="AM671" t="str">
        <f t="shared" si="76"/>
        <v/>
      </c>
    </row>
    <row r="672" spans="1:39">
      <c r="A672" t="str">
        <f>IF(ISBLANK(Record!A673),"",Record!A673)</f>
        <v/>
      </c>
      <c r="B672" t="str">
        <f>IF(ISBLANK(Record!B673),"",Record!B673)</f>
        <v/>
      </c>
      <c r="C672" s="227" t="str">
        <f>IF(ISBLANK(Record!C673),"",Record!C673)</f>
        <v/>
      </c>
      <c r="D672" t="str">
        <f>IF(ISBLANK(Record!D673),"",Record!D673)</f>
        <v/>
      </c>
      <c r="E672" t="str">
        <f>IF(ISBLANK(Record!E673),"",Record!E673)</f>
        <v/>
      </c>
      <c r="M672" t="str">
        <f t="shared" si="70"/>
        <v xml:space="preserve">          </v>
      </c>
      <c r="N672" s="227" t="str">
        <f t="shared" si="71"/>
        <v/>
      </c>
      <c r="X672" t="str">
        <f t="shared" si="72"/>
        <v xml:space="preserve">          </v>
      </c>
      <c r="Y672" s="227" t="str">
        <f t="shared" si="73"/>
        <v/>
      </c>
      <c r="Z672" t="str">
        <f t="shared" si="74"/>
        <v/>
      </c>
      <c r="AL672" t="str">
        <f t="shared" si="75"/>
        <v/>
      </c>
      <c r="AM672" t="str">
        <f t="shared" si="76"/>
        <v/>
      </c>
    </row>
    <row r="673" spans="1:39">
      <c r="A673" t="str">
        <f>IF(ISBLANK(Record!A674),"",Record!A674)</f>
        <v/>
      </c>
      <c r="B673" t="str">
        <f>IF(ISBLANK(Record!B674),"",Record!B674)</f>
        <v/>
      </c>
      <c r="C673" s="227" t="str">
        <f>IF(ISBLANK(Record!C674),"",Record!C674)</f>
        <v/>
      </c>
      <c r="D673" t="str">
        <f>IF(ISBLANK(Record!D674),"",Record!D674)</f>
        <v/>
      </c>
      <c r="E673" t="str">
        <f>IF(ISBLANK(Record!E674),"",Record!E674)</f>
        <v/>
      </c>
      <c r="M673" t="str">
        <f t="shared" si="70"/>
        <v xml:space="preserve">          </v>
      </c>
      <c r="N673" s="227" t="str">
        <f t="shared" si="71"/>
        <v/>
      </c>
      <c r="X673" t="str">
        <f t="shared" si="72"/>
        <v xml:space="preserve">          </v>
      </c>
      <c r="Y673" s="227" t="str">
        <f t="shared" si="73"/>
        <v/>
      </c>
      <c r="Z673" t="str">
        <f t="shared" si="74"/>
        <v/>
      </c>
      <c r="AL673" t="str">
        <f t="shared" si="75"/>
        <v/>
      </c>
      <c r="AM673" t="str">
        <f t="shared" si="76"/>
        <v/>
      </c>
    </row>
    <row r="674" spans="1:39">
      <c r="A674" t="str">
        <f>IF(ISBLANK(Record!A675),"",Record!A675)</f>
        <v/>
      </c>
      <c r="B674" t="str">
        <f>IF(ISBLANK(Record!B675),"",Record!B675)</f>
        <v/>
      </c>
      <c r="C674" s="227" t="str">
        <f>IF(ISBLANK(Record!C675),"",Record!C675)</f>
        <v/>
      </c>
      <c r="D674" t="str">
        <f>IF(ISBLANK(Record!D675),"",Record!D675)</f>
        <v/>
      </c>
      <c r="E674" t="str">
        <f>IF(ISBLANK(Record!E675),"",Record!E675)</f>
        <v/>
      </c>
      <c r="M674" t="str">
        <f t="shared" si="70"/>
        <v xml:space="preserve">          </v>
      </c>
      <c r="N674" s="227" t="str">
        <f t="shared" si="71"/>
        <v/>
      </c>
      <c r="X674" t="str">
        <f t="shared" si="72"/>
        <v xml:space="preserve">          </v>
      </c>
      <c r="Y674" s="227" t="str">
        <f t="shared" si="73"/>
        <v/>
      </c>
      <c r="Z674" t="str">
        <f t="shared" si="74"/>
        <v/>
      </c>
      <c r="AL674" t="str">
        <f t="shared" si="75"/>
        <v/>
      </c>
      <c r="AM674" t="str">
        <f t="shared" si="76"/>
        <v/>
      </c>
    </row>
    <row r="675" spans="1:39">
      <c r="A675" t="str">
        <f>IF(ISBLANK(Record!A676),"",Record!A676)</f>
        <v/>
      </c>
      <c r="B675" t="str">
        <f>IF(ISBLANK(Record!B676),"",Record!B676)</f>
        <v/>
      </c>
      <c r="C675" s="227" t="str">
        <f>IF(ISBLANK(Record!C676),"",Record!C676)</f>
        <v/>
      </c>
      <c r="D675" t="str">
        <f>IF(ISBLANK(Record!D676),"",Record!D676)</f>
        <v/>
      </c>
      <c r="E675" t="str">
        <f>IF(ISBLANK(Record!E676),"",Record!E676)</f>
        <v/>
      </c>
      <c r="M675" t="str">
        <f t="shared" si="70"/>
        <v xml:space="preserve">          </v>
      </c>
      <c r="N675" s="227" t="str">
        <f t="shared" si="71"/>
        <v/>
      </c>
      <c r="X675" t="str">
        <f t="shared" si="72"/>
        <v xml:space="preserve">          </v>
      </c>
      <c r="Y675" s="227" t="str">
        <f t="shared" si="73"/>
        <v/>
      </c>
      <c r="Z675" t="str">
        <f t="shared" si="74"/>
        <v/>
      </c>
      <c r="AL675" t="str">
        <f t="shared" si="75"/>
        <v/>
      </c>
      <c r="AM675" t="str">
        <f t="shared" si="76"/>
        <v/>
      </c>
    </row>
    <row r="676" spans="1:39">
      <c r="A676" t="str">
        <f>IF(ISBLANK(Record!A677),"",Record!A677)</f>
        <v/>
      </c>
      <c r="B676" t="str">
        <f>IF(ISBLANK(Record!B677),"",Record!B677)</f>
        <v/>
      </c>
      <c r="C676" s="227" t="str">
        <f>IF(ISBLANK(Record!C677),"",Record!C677)</f>
        <v/>
      </c>
      <c r="D676" t="str">
        <f>IF(ISBLANK(Record!D677),"",Record!D677)</f>
        <v/>
      </c>
      <c r="E676" t="str">
        <f>IF(ISBLANK(Record!E677),"",Record!E677)</f>
        <v/>
      </c>
      <c r="M676" t="str">
        <f t="shared" si="70"/>
        <v xml:space="preserve">          </v>
      </c>
      <c r="N676" s="227" t="str">
        <f t="shared" si="71"/>
        <v/>
      </c>
      <c r="X676" t="str">
        <f t="shared" si="72"/>
        <v xml:space="preserve">          </v>
      </c>
      <c r="Y676" s="227" t="str">
        <f t="shared" si="73"/>
        <v/>
      </c>
      <c r="Z676" t="str">
        <f t="shared" si="74"/>
        <v/>
      </c>
      <c r="AL676" t="str">
        <f t="shared" si="75"/>
        <v/>
      </c>
      <c r="AM676" t="str">
        <f t="shared" si="76"/>
        <v/>
      </c>
    </row>
    <row r="677" spans="1:39">
      <c r="A677" t="str">
        <f>IF(ISBLANK(Record!A678),"",Record!A678)</f>
        <v/>
      </c>
      <c r="B677" t="str">
        <f>IF(ISBLANK(Record!B678),"",Record!B678)</f>
        <v/>
      </c>
      <c r="C677" s="227" t="str">
        <f>IF(ISBLANK(Record!C678),"",Record!C678)</f>
        <v/>
      </c>
      <c r="D677" t="str">
        <f>IF(ISBLANK(Record!D678),"",Record!D678)</f>
        <v/>
      </c>
      <c r="E677" t="str">
        <f>IF(ISBLANK(Record!E678),"",Record!E678)</f>
        <v/>
      </c>
      <c r="M677" t="str">
        <f t="shared" si="70"/>
        <v xml:space="preserve">          </v>
      </c>
      <c r="N677" s="227" t="str">
        <f t="shared" si="71"/>
        <v/>
      </c>
      <c r="X677" t="str">
        <f t="shared" si="72"/>
        <v xml:space="preserve">          </v>
      </c>
      <c r="Y677" s="227" t="str">
        <f t="shared" si="73"/>
        <v/>
      </c>
      <c r="Z677" t="str">
        <f t="shared" si="74"/>
        <v/>
      </c>
      <c r="AL677" t="str">
        <f t="shared" si="75"/>
        <v/>
      </c>
      <c r="AM677" t="str">
        <f t="shared" si="76"/>
        <v/>
      </c>
    </row>
    <row r="678" spans="1:39">
      <c r="A678" t="str">
        <f>IF(ISBLANK(Record!A679),"",Record!A679)</f>
        <v/>
      </c>
      <c r="B678" t="str">
        <f>IF(ISBLANK(Record!B679),"",Record!B679)</f>
        <v/>
      </c>
      <c r="C678" s="227" t="str">
        <f>IF(ISBLANK(Record!C679),"",Record!C679)</f>
        <v/>
      </c>
      <c r="D678" t="str">
        <f>IF(ISBLANK(Record!D679),"",Record!D679)</f>
        <v/>
      </c>
      <c r="E678" t="str">
        <f>IF(ISBLANK(Record!E679),"",Record!E679)</f>
        <v/>
      </c>
      <c r="M678" t="str">
        <f t="shared" si="70"/>
        <v xml:space="preserve">          </v>
      </c>
      <c r="N678" s="227" t="str">
        <f t="shared" si="71"/>
        <v/>
      </c>
      <c r="X678" t="str">
        <f t="shared" si="72"/>
        <v xml:space="preserve">          </v>
      </c>
      <c r="Y678" s="227" t="str">
        <f t="shared" si="73"/>
        <v/>
      </c>
      <c r="Z678" t="str">
        <f t="shared" si="74"/>
        <v/>
      </c>
      <c r="AL678" t="str">
        <f t="shared" si="75"/>
        <v/>
      </c>
      <c r="AM678" t="str">
        <f t="shared" si="76"/>
        <v/>
      </c>
    </row>
    <row r="679" spans="1:39">
      <c r="A679" t="str">
        <f>IF(ISBLANK(Record!A680),"",Record!A680)</f>
        <v/>
      </c>
      <c r="B679" t="str">
        <f>IF(ISBLANK(Record!B680),"",Record!B680)</f>
        <v/>
      </c>
      <c r="C679" s="227" t="str">
        <f>IF(ISBLANK(Record!C680),"",Record!C680)</f>
        <v/>
      </c>
      <c r="D679" t="str">
        <f>IF(ISBLANK(Record!D680),"",Record!D680)</f>
        <v/>
      </c>
      <c r="E679" t="str">
        <f>IF(ISBLANK(Record!E680),"",Record!E680)</f>
        <v/>
      </c>
      <c r="M679" t="str">
        <f t="shared" si="70"/>
        <v xml:space="preserve">          </v>
      </c>
      <c r="N679" s="227" t="str">
        <f t="shared" si="71"/>
        <v/>
      </c>
      <c r="X679" t="str">
        <f t="shared" si="72"/>
        <v xml:space="preserve">          </v>
      </c>
      <c r="Y679" s="227" t="str">
        <f t="shared" si="73"/>
        <v/>
      </c>
      <c r="Z679" t="str">
        <f t="shared" si="74"/>
        <v/>
      </c>
      <c r="AL679" t="str">
        <f t="shared" si="75"/>
        <v/>
      </c>
      <c r="AM679" t="str">
        <f t="shared" si="76"/>
        <v/>
      </c>
    </row>
    <row r="680" spans="1:39">
      <c r="A680" t="str">
        <f>IF(ISBLANK(Record!A681),"",Record!A681)</f>
        <v/>
      </c>
      <c r="B680" t="str">
        <f>IF(ISBLANK(Record!B681),"",Record!B681)</f>
        <v/>
      </c>
      <c r="C680" s="227" t="str">
        <f>IF(ISBLANK(Record!C681),"",Record!C681)</f>
        <v/>
      </c>
      <c r="D680" t="str">
        <f>IF(ISBLANK(Record!D681),"",Record!D681)</f>
        <v/>
      </c>
      <c r="E680" t="str">
        <f>IF(ISBLANK(Record!E681),"",Record!E681)</f>
        <v/>
      </c>
      <c r="M680" t="str">
        <f t="shared" si="70"/>
        <v xml:space="preserve">          </v>
      </c>
      <c r="N680" s="227" t="str">
        <f t="shared" si="71"/>
        <v/>
      </c>
      <c r="X680" t="str">
        <f t="shared" si="72"/>
        <v xml:space="preserve">          </v>
      </c>
      <c r="Y680" s="227" t="str">
        <f t="shared" si="73"/>
        <v/>
      </c>
      <c r="Z680" t="str">
        <f t="shared" si="74"/>
        <v/>
      </c>
      <c r="AL680" t="str">
        <f t="shared" si="75"/>
        <v/>
      </c>
      <c r="AM680" t="str">
        <f t="shared" si="76"/>
        <v/>
      </c>
    </row>
    <row r="681" spans="1:39">
      <c r="A681" t="str">
        <f>IF(ISBLANK(Record!A682),"",Record!A682)</f>
        <v/>
      </c>
      <c r="B681" t="str">
        <f>IF(ISBLANK(Record!B682),"",Record!B682)</f>
        <v/>
      </c>
      <c r="C681" s="227" t="str">
        <f>IF(ISBLANK(Record!C682),"",Record!C682)</f>
        <v/>
      </c>
      <c r="D681" t="str">
        <f>IF(ISBLANK(Record!D682),"",Record!D682)</f>
        <v/>
      </c>
      <c r="E681" t="str">
        <f>IF(ISBLANK(Record!E682),"",Record!E682)</f>
        <v/>
      </c>
      <c r="M681" t="str">
        <f t="shared" si="70"/>
        <v xml:space="preserve">          </v>
      </c>
      <c r="N681" s="227" t="str">
        <f t="shared" si="71"/>
        <v/>
      </c>
      <c r="X681" t="str">
        <f t="shared" si="72"/>
        <v xml:space="preserve">          </v>
      </c>
      <c r="Y681" s="227" t="str">
        <f t="shared" si="73"/>
        <v/>
      </c>
      <c r="Z681" t="str">
        <f t="shared" si="74"/>
        <v/>
      </c>
      <c r="AL681" t="str">
        <f t="shared" si="75"/>
        <v/>
      </c>
      <c r="AM681" t="str">
        <f t="shared" si="76"/>
        <v/>
      </c>
    </row>
    <row r="682" spans="1:39">
      <c r="A682" t="str">
        <f>IF(ISBLANK(Record!A683),"",Record!A683)</f>
        <v/>
      </c>
      <c r="B682" t="str">
        <f>IF(ISBLANK(Record!B683),"",Record!B683)</f>
        <v/>
      </c>
      <c r="C682" s="227" t="str">
        <f>IF(ISBLANK(Record!C683),"",Record!C683)</f>
        <v/>
      </c>
      <c r="D682" t="str">
        <f>IF(ISBLANK(Record!D683),"",Record!D683)</f>
        <v/>
      </c>
      <c r="E682" t="str">
        <f>IF(ISBLANK(Record!E683),"",Record!E683)</f>
        <v/>
      </c>
      <c r="M682" t="str">
        <f t="shared" si="70"/>
        <v xml:space="preserve">          </v>
      </c>
      <c r="N682" s="227" t="str">
        <f t="shared" si="71"/>
        <v/>
      </c>
      <c r="X682" t="str">
        <f t="shared" si="72"/>
        <v xml:space="preserve">          </v>
      </c>
      <c r="Y682" s="227" t="str">
        <f t="shared" si="73"/>
        <v/>
      </c>
      <c r="Z682" t="str">
        <f t="shared" si="74"/>
        <v/>
      </c>
      <c r="AL682" t="str">
        <f t="shared" si="75"/>
        <v/>
      </c>
      <c r="AM682" t="str">
        <f t="shared" si="76"/>
        <v/>
      </c>
    </row>
    <row r="683" spans="1:39">
      <c r="A683" t="str">
        <f>IF(ISBLANK(Record!A684),"",Record!A684)</f>
        <v/>
      </c>
      <c r="B683" t="str">
        <f>IF(ISBLANK(Record!B684),"",Record!B684)</f>
        <v/>
      </c>
      <c r="C683" s="227" t="str">
        <f>IF(ISBLANK(Record!C684),"",Record!C684)</f>
        <v/>
      </c>
      <c r="D683" t="str">
        <f>IF(ISBLANK(Record!D684),"",Record!D684)</f>
        <v/>
      </c>
      <c r="E683" t="str">
        <f>IF(ISBLANK(Record!E684),"",Record!E684)</f>
        <v/>
      </c>
      <c r="M683" t="str">
        <f t="shared" si="70"/>
        <v xml:space="preserve">          </v>
      </c>
      <c r="N683" s="227" t="str">
        <f t="shared" si="71"/>
        <v/>
      </c>
      <c r="X683" t="str">
        <f t="shared" si="72"/>
        <v xml:space="preserve">          </v>
      </c>
      <c r="Y683" s="227" t="str">
        <f t="shared" si="73"/>
        <v/>
      </c>
      <c r="Z683" t="str">
        <f t="shared" si="74"/>
        <v/>
      </c>
      <c r="AL683" t="str">
        <f t="shared" si="75"/>
        <v/>
      </c>
      <c r="AM683" t="str">
        <f t="shared" si="76"/>
        <v/>
      </c>
    </row>
    <row r="684" spans="1:39">
      <c r="A684" t="str">
        <f>IF(ISBLANK(Record!A685),"",Record!A685)</f>
        <v/>
      </c>
      <c r="B684" t="str">
        <f>IF(ISBLANK(Record!B685),"",Record!B685)</f>
        <v/>
      </c>
      <c r="C684" s="227" t="str">
        <f>IF(ISBLANK(Record!C685),"",Record!C685)</f>
        <v/>
      </c>
      <c r="D684" t="str">
        <f>IF(ISBLANK(Record!D685),"",Record!D685)</f>
        <v/>
      </c>
      <c r="E684" t="str">
        <f>IF(ISBLANK(Record!E685),"",Record!E685)</f>
        <v/>
      </c>
      <c r="M684" t="str">
        <f t="shared" si="70"/>
        <v xml:space="preserve">          </v>
      </c>
      <c r="N684" s="227" t="str">
        <f t="shared" si="71"/>
        <v/>
      </c>
      <c r="X684" t="str">
        <f t="shared" si="72"/>
        <v xml:space="preserve">          </v>
      </c>
      <c r="Y684" s="227" t="str">
        <f t="shared" si="73"/>
        <v/>
      </c>
      <c r="Z684" t="str">
        <f t="shared" si="74"/>
        <v/>
      </c>
      <c r="AL684" t="str">
        <f t="shared" si="75"/>
        <v/>
      </c>
      <c r="AM684" t="str">
        <f t="shared" si="76"/>
        <v/>
      </c>
    </row>
    <row r="685" spans="1:39">
      <c r="A685" t="str">
        <f>IF(ISBLANK(Record!A686),"",Record!A686)</f>
        <v/>
      </c>
      <c r="B685" t="str">
        <f>IF(ISBLANK(Record!B686),"",Record!B686)</f>
        <v/>
      </c>
      <c r="C685" s="227" t="str">
        <f>IF(ISBLANK(Record!C686),"",Record!C686)</f>
        <v/>
      </c>
      <c r="D685" t="str">
        <f>IF(ISBLANK(Record!D686),"",Record!D686)</f>
        <v/>
      </c>
      <c r="E685" t="str">
        <f>IF(ISBLANK(Record!E686),"",Record!E686)</f>
        <v/>
      </c>
      <c r="M685" t="str">
        <f t="shared" si="70"/>
        <v xml:space="preserve">          </v>
      </c>
      <c r="N685" s="227" t="str">
        <f t="shared" si="71"/>
        <v/>
      </c>
      <c r="X685" t="str">
        <f t="shared" si="72"/>
        <v xml:space="preserve">          </v>
      </c>
      <c r="Y685" s="227" t="str">
        <f t="shared" si="73"/>
        <v/>
      </c>
      <c r="Z685" t="str">
        <f t="shared" si="74"/>
        <v/>
      </c>
      <c r="AL685" t="str">
        <f t="shared" si="75"/>
        <v/>
      </c>
      <c r="AM685" t="str">
        <f t="shared" si="76"/>
        <v/>
      </c>
    </row>
    <row r="686" spans="1:39">
      <c r="A686" t="str">
        <f>IF(ISBLANK(Record!A687),"",Record!A687)</f>
        <v/>
      </c>
      <c r="B686" t="str">
        <f>IF(ISBLANK(Record!B687),"",Record!B687)</f>
        <v/>
      </c>
      <c r="C686" s="227" t="str">
        <f>IF(ISBLANK(Record!C687),"",Record!C687)</f>
        <v/>
      </c>
      <c r="D686" t="str">
        <f>IF(ISBLANK(Record!D687),"",Record!D687)</f>
        <v/>
      </c>
      <c r="E686" t="str">
        <f>IF(ISBLANK(Record!E687),"",Record!E687)</f>
        <v/>
      </c>
      <c r="M686" t="str">
        <f t="shared" si="70"/>
        <v xml:space="preserve">          </v>
      </c>
      <c r="N686" s="227" t="str">
        <f t="shared" si="71"/>
        <v/>
      </c>
      <c r="X686" t="str">
        <f t="shared" si="72"/>
        <v xml:space="preserve">          </v>
      </c>
      <c r="Y686" s="227" t="str">
        <f t="shared" si="73"/>
        <v/>
      </c>
      <c r="Z686" t="str">
        <f t="shared" si="74"/>
        <v/>
      </c>
      <c r="AL686" t="str">
        <f t="shared" si="75"/>
        <v/>
      </c>
      <c r="AM686" t="str">
        <f t="shared" si="76"/>
        <v/>
      </c>
    </row>
    <row r="687" spans="1:39">
      <c r="A687" t="str">
        <f>IF(ISBLANK(Record!A688),"",Record!A688)</f>
        <v/>
      </c>
      <c r="B687" t="str">
        <f>IF(ISBLANK(Record!B688),"",Record!B688)</f>
        <v/>
      </c>
      <c r="C687" s="227" t="str">
        <f>IF(ISBLANK(Record!C688),"",Record!C688)</f>
        <v/>
      </c>
      <c r="D687" t="str">
        <f>IF(ISBLANK(Record!D688),"",Record!D688)</f>
        <v/>
      </c>
      <c r="E687" t="str">
        <f>IF(ISBLANK(Record!E688),"",Record!E688)</f>
        <v/>
      </c>
      <c r="M687" t="str">
        <f t="shared" si="70"/>
        <v xml:space="preserve">          </v>
      </c>
      <c r="N687" s="227" t="str">
        <f t="shared" si="71"/>
        <v/>
      </c>
      <c r="X687" t="str">
        <f t="shared" si="72"/>
        <v xml:space="preserve">          </v>
      </c>
      <c r="Y687" s="227" t="str">
        <f t="shared" si="73"/>
        <v/>
      </c>
      <c r="Z687" t="str">
        <f t="shared" si="74"/>
        <v/>
      </c>
      <c r="AL687" t="str">
        <f t="shared" si="75"/>
        <v/>
      </c>
      <c r="AM687" t="str">
        <f t="shared" si="76"/>
        <v/>
      </c>
    </row>
    <row r="688" spans="1:39">
      <c r="A688" t="str">
        <f>IF(ISBLANK(Record!A689),"",Record!A689)</f>
        <v/>
      </c>
      <c r="B688" t="str">
        <f>IF(ISBLANK(Record!B689),"",Record!B689)</f>
        <v/>
      </c>
      <c r="C688" s="227" t="str">
        <f>IF(ISBLANK(Record!C689),"",Record!C689)</f>
        <v/>
      </c>
      <c r="D688" t="str">
        <f>IF(ISBLANK(Record!D689),"",Record!D689)</f>
        <v/>
      </c>
      <c r="E688" t="str">
        <f>IF(ISBLANK(Record!E689),"",Record!E689)</f>
        <v/>
      </c>
      <c r="M688" t="str">
        <f t="shared" si="70"/>
        <v xml:space="preserve">          </v>
      </c>
      <c r="N688" s="227" t="str">
        <f t="shared" si="71"/>
        <v/>
      </c>
      <c r="X688" t="str">
        <f t="shared" si="72"/>
        <v xml:space="preserve">          </v>
      </c>
      <c r="Y688" s="227" t="str">
        <f t="shared" si="73"/>
        <v/>
      </c>
      <c r="Z688" t="str">
        <f t="shared" si="74"/>
        <v/>
      </c>
      <c r="AL688" t="str">
        <f t="shared" si="75"/>
        <v/>
      </c>
      <c r="AM688" t="str">
        <f t="shared" si="76"/>
        <v/>
      </c>
    </row>
    <row r="689" spans="1:39">
      <c r="A689" t="str">
        <f>IF(ISBLANK(Record!A690),"",Record!A690)</f>
        <v/>
      </c>
      <c r="B689" t="str">
        <f>IF(ISBLANK(Record!B690),"",Record!B690)</f>
        <v/>
      </c>
      <c r="C689" s="227" t="str">
        <f>IF(ISBLANK(Record!C690),"",Record!C690)</f>
        <v/>
      </c>
      <c r="D689" t="str">
        <f>IF(ISBLANK(Record!D690),"",Record!D690)</f>
        <v/>
      </c>
      <c r="E689" t="str">
        <f>IF(ISBLANK(Record!E690),"",Record!E690)</f>
        <v/>
      </c>
      <c r="M689" t="str">
        <f t="shared" si="70"/>
        <v xml:space="preserve">          </v>
      </c>
      <c r="N689" s="227" t="str">
        <f t="shared" si="71"/>
        <v/>
      </c>
      <c r="X689" t="str">
        <f t="shared" si="72"/>
        <v xml:space="preserve">          </v>
      </c>
      <c r="Y689" s="227" t="str">
        <f t="shared" si="73"/>
        <v/>
      </c>
      <c r="Z689" t="str">
        <f t="shared" si="74"/>
        <v/>
      </c>
      <c r="AL689" t="str">
        <f t="shared" si="75"/>
        <v/>
      </c>
      <c r="AM689" t="str">
        <f t="shared" si="76"/>
        <v/>
      </c>
    </row>
    <row r="690" spans="1:39">
      <c r="A690" t="str">
        <f>IF(ISBLANK(Record!A691),"",Record!A691)</f>
        <v/>
      </c>
      <c r="B690" t="str">
        <f>IF(ISBLANK(Record!B691),"",Record!B691)</f>
        <v/>
      </c>
      <c r="C690" s="227" t="str">
        <f>IF(ISBLANK(Record!C691),"",Record!C691)</f>
        <v/>
      </c>
      <c r="D690" t="str">
        <f>IF(ISBLANK(Record!D691),"",Record!D691)</f>
        <v/>
      </c>
      <c r="E690" t="str">
        <f>IF(ISBLANK(Record!E691),"",Record!E691)</f>
        <v/>
      </c>
      <c r="M690" t="str">
        <f t="shared" si="70"/>
        <v xml:space="preserve">          </v>
      </c>
      <c r="N690" s="227" t="str">
        <f t="shared" si="71"/>
        <v/>
      </c>
      <c r="X690" t="str">
        <f t="shared" si="72"/>
        <v xml:space="preserve">          </v>
      </c>
      <c r="Y690" s="227" t="str">
        <f t="shared" si="73"/>
        <v/>
      </c>
      <c r="Z690" t="str">
        <f t="shared" si="74"/>
        <v/>
      </c>
      <c r="AL690" t="str">
        <f t="shared" si="75"/>
        <v/>
      </c>
      <c r="AM690" t="str">
        <f t="shared" si="76"/>
        <v/>
      </c>
    </row>
    <row r="691" spans="1:39">
      <c r="A691" t="str">
        <f>IF(ISBLANK(Record!A692),"",Record!A692)</f>
        <v/>
      </c>
      <c r="B691" t="str">
        <f>IF(ISBLANK(Record!B692),"",Record!B692)</f>
        <v/>
      </c>
      <c r="C691" s="227" t="str">
        <f>IF(ISBLANK(Record!C692),"",Record!C692)</f>
        <v/>
      </c>
      <c r="D691" t="str">
        <f>IF(ISBLANK(Record!D692),"",Record!D692)</f>
        <v/>
      </c>
      <c r="E691" t="str">
        <f>IF(ISBLANK(Record!E692),"",Record!E692)</f>
        <v/>
      </c>
      <c r="M691" t="str">
        <f t="shared" si="70"/>
        <v xml:space="preserve">          </v>
      </c>
      <c r="N691" s="227" t="str">
        <f t="shared" si="71"/>
        <v/>
      </c>
      <c r="X691" t="str">
        <f t="shared" si="72"/>
        <v xml:space="preserve">          </v>
      </c>
      <c r="Y691" s="227" t="str">
        <f t="shared" si="73"/>
        <v/>
      </c>
      <c r="Z691" t="str">
        <f t="shared" si="74"/>
        <v/>
      </c>
      <c r="AL691" t="str">
        <f t="shared" si="75"/>
        <v/>
      </c>
      <c r="AM691" t="str">
        <f t="shared" si="76"/>
        <v/>
      </c>
    </row>
    <row r="692" spans="1:39">
      <c r="A692" t="str">
        <f>IF(ISBLANK(Record!A693),"",Record!A693)</f>
        <v/>
      </c>
      <c r="B692" t="str">
        <f>IF(ISBLANK(Record!B693),"",Record!B693)</f>
        <v/>
      </c>
      <c r="C692" s="227" t="str">
        <f>IF(ISBLANK(Record!C693),"",Record!C693)</f>
        <v/>
      </c>
      <c r="D692" t="str">
        <f>IF(ISBLANK(Record!D693),"",Record!D693)</f>
        <v/>
      </c>
      <c r="E692" t="str">
        <f>IF(ISBLANK(Record!E693),"",Record!E693)</f>
        <v/>
      </c>
      <c r="M692" t="str">
        <f t="shared" si="70"/>
        <v xml:space="preserve">          </v>
      </c>
      <c r="N692" s="227" t="str">
        <f t="shared" si="71"/>
        <v/>
      </c>
      <c r="X692" t="str">
        <f t="shared" si="72"/>
        <v xml:space="preserve">          </v>
      </c>
      <c r="Y692" s="227" t="str">
        <f t="shared" si="73"/>
        <v/>
      </c>
      <c r="Z692" t="str">
        <f t="shared" si="74"/>
        <v/>
      </c>
      <c r="AL692" t="str">
        <f t="shared" si="75"/>
        <v/>
      </c>
      <c r="AM692" t="str">
        <f t="shared" si="76"/>
        <v/>
      </c>
    </row>
    <row r="693" spans="1:39">
      <c r="A693" t="str">
        <f>IF(ISBLANK(Record!A694),"",Record!A694)</f>
        <v/>
      </c>
      <c r="B693" t="str">
        <f>IF(ISBLANK(Record!B694),"",Record!B694)</f>
        <v/>
      </c>
      <c r="C693" s="227" t="str">
        <f>IF(ISBLANK(Record!C694),"",Record!C694)</f>
        <v/>
      </c>
      <c r="D693" t="str">
        <f>IF(ISBLANK(Record!D694),"",Record!D694)</f>
        <v/>
      </c>
      <c r="E693" t="str">
        <f>IF(ISBLANK(Record!E694),"",Record!E694)</f>
        <v/>
      </c>
      <c r="M693" t="str">
        <f t="shared" si="70"/>
        <v xml:space="preserve">          </v>
      </c>
      <c r="N693" s="227" t="str">
        <f t="shared" si="71"/>
        <v/>
      </c>
      <c r="X693" t="str">
        <f t="shared" si="72"/>
        <v xml:space="preserve">          </v>
      </c>
      <c r="Y693" s="227" t="str">
        <f t="shared" si="73"/>
        <v/>
      </c>
      <c r="Z693" t="str">
        <f t="shared" si="74"/>
        <v/>
      </c>
      <c r="AL693" t="str">
        <f t="shared" si="75"/>
        <v/>
      </c>
      <c r="AM693" t="str">
        <f t="shared" si="76"/>
        <v/>
      </c>
    </row>
    <row r="694" spans="1:39">
      <c r="A694" t="str">
        <f>IF(ISBLANK(Record!A695),"",Record!A695)</f>
        <v/>
      </c>
      <c r="B694" t="str">
        <f>IF(ISBLANK(Record!B695),"",Record!B695)</f>
        <v/>
      </c>
      <c r="C694" s="227" t="str">
        <f>IF(ISBLANK(Record!C695),"",Record!C695)</f>
        <v/>
      </c>
      <c r="D694" t="str">
        <f>IF(ISBLANK(Record!D695),"",Record!D695)</f>
        <v/>
      </c>
      <c r="E694" t="str">
        <f>IF(ISBLANK(Record!E695),"",Record!E695)</f>
        <v/>
      </c>
      <c r="M694" t="str">
        <f t="shared" si="70"/>
        <v xml:space="preserve">          </v>
      </c>
      <c r="N694" s="227" t="str">
        <f t="shared" si="71"/>
        <v/>
      </c>
      <c r="X694" t="str">
        <f t="shared" si="72"/>
        <v xml:space="preserve">          </v>
      </c>
      <c r="Y694" s="227" t="str">
        <f t="shared" si="73"/>
        <v/>
      </c>
      <c r="Z694" t="str">
        <f t="shared" si="74"/>
        <v/>
      </c>
      <c r="AL694" t="str">
        <f t="shared" si="75"/>
        <v/>
      </c>
      <c r="AM694" t="str">
        <f t="shared" si="76"/>
        <v/>
      </c>
    </row>
    <row r="695" spans="1:39">
      <c r="A695" t="str">
        <f>IF(ISBLANK(Record!A696),"",Record!A696)</f>
        <v/>
      </c>
      <c r="B695" t="str">
        <f>IF(ISBLANK(Record!B696),"",Record!B696)</f>
        <v/>
      </c>
      <c r="C695" s="227" t="str">
        <f>IF(ISBLANK(Record!C696),"",Record!C696)</f>
        <v/>
      </c>
      <c r="D695" t="str">
        <f>IF(ISBLANK(Record!D696),"",Record!D696)</f>
        <v/>
      </c>
      <c r="E695" t="str">
        <f>IF(ISBLANK(Record!E696),"",Record!E696)</f>
        <v/>
      </c>
      <c r="M695" t="str">
        <f t="shared" si="70"/>
        <v xml:space="preserve">          </v>
      </c>
      <c r="N695" s="227" t="str">
        <f t="shared" si="71"/>
        <v/>
      </c>
      <c r="X695" t="str">
        <f t="shared" si="72"/>
        <v xml:space="preserve">          </v>
      </c>
      <c r="Y695" s="227" t="str">
        <f t="shared" si="73"/>
        <v/>
      </c>
      <c r="Z695" t="str">
        <f t="shared" si="74"/>
        <v/>
      </c>
      <c r="AL695" t="str">
        <f t="shared" si="75"/>
        <v/>
      </c>
      <c r="AM695" t="str">
        <f t="shared" si="76"/>
        <v/>
      </c>
    </row>
    <row r="696" spans="1:39">
      <c r="A696" t="str">
        <f>IF(ISBLANK(Record!A697),"",Record!A697)</f>
        <v/>
      </c>
      <c r="B696" t="str">
        <f>IF(ISBLANK(Record!B697),"",Record!B697)</f>
        <v/>
      </c>
      <c r="C696" s="227" t="str">
        <f>IF(ISBLANK(Record!C697),"",Record!C697)</f>
        <v/>
      </c>
      <c r="D696" t="str">
        <f>IF(ISBLANK(Record!D697),"",Record!D697)</f>
        <v/>
      </c>
      <c r="E696" t="str">
        <f>IF(ISBLANK(Record!E697),"",Record!E697)</f>
        <v/>
      </c>
      <c r="M696" t="str">
        <f t="shared" si="70"/>
        <v xml:space="preserve">          </v>
      </c>
      <c r="N696" s="227" t="str">
        <f t="shared" si="71"/>
        <v/>
      </c>
      <c r="X696" t="str">
        <f t="shared" si="72"/>
        <v xml:space="preserve">          </v>
      </c>
      <c r="Y696" s="227" t="str">
        <f t="shared" si="73"/>
        <v/>
      </c>
      <c r="Z696" t="str">
        <f t="shared" si="74"/>
        <v/>
      </c>
      <c r="AL696" t="str">
        <f t="shared" si="75"/>
        <v/>
      </c>
      <c r="AM696" t="str">
        <f t="shared" si="76"/>
        <v/>
      </c>
    </row>
    <row r="697" spans="1:39">
      <c r="A697" t="str">
        <f>IF(ISBLANK(Record!A698),"",Record!A698)</f>
        <v/>
      </c>
      <c r="B697" t="str">
        <f>IF(ISBLANK(Record!B698),"",Record!B698)</f>
        <v/>
      </c>
      <c r="C697" s="227" t="str">
        <f>IF(ISBLANK(Record!C698),"",Record!C698)</f>
        <v/>
      </c>
      <c r="D697" t="str">
        <f>IF(ISBLANK(Record!D698),"",Record!D698)</f>
        <v/>
      </c>
      <c r="E697" t="str">
        <f>IF(ISBLANK(Record!E698),"",Record!E698)</f>
        <v/>
      </c>
      <c r="M697" t="str">
        <f t="shared" si="70"/>
        <v xml:space="preserve">          </v>
      </c>
      <c r="N697" s="227" t="str">
        <f t="shared" si="71"/>
        <v/>
      </c>
      <c r="X697" t="str">
        <f t="shared" si="72"/>
        <v xml:space="preserve">          </v>
      </c>
      <c r="Y697" s="227" t="str">
        <f t="shared" si="73"/>
        <v/>
      </c>
      <c r="Z697" t="str">
        <f t="shared" si="74"/>
        <v/>
      </c>
      <c r="AL697" t="str">
        <f t="shared" si="75"/>
        <v/>
      </c>
      <c r="AM697" t="str">
        <f t="shared" si="76"/>
        <v/>
      </c>
    </row>
    <row r="698" spans="1:39">
      <c r="A698" t="str">
        <f>IF(ISBLANK(Record!A699),"",Record!A699)</f>
        <v/>
      </c>
      <c r="B698" t="str">
        <f>IF(ISBLANK(Record!B699),"",Record!B699)</f>
        <v/>
      </c>
      <c r="C698" s="227" t="str">
        <f>IF(ISBLANK(Record!C699),"",Record!C699)</f>
        <v/>
      </c>
      <c r="D698" t="str">
        <f>IF(ISBLANK(Record!D699),"",Record!D699)</f>
        <v/>
      </c>
      <c r="E698" t="str">
        <f>IF(ISBLANK(Record!E699),"",Record!E699)</f>
        <v/>
      </c>
      <c r="M698" t="str">
        <f t="shared" si="70"/>
        <v xml:space="preserve">          </v>
      </c>
      <c r="N698" s="227" t="str">
        <f t="shared" si="71"/>
        <v/>
      </c>
      <c r="X698" t="str">
        <f t="shared" si="72"/>
        <v xml:space="preserve">          </v>
      </c>
      <c r="Y698" s="227" t="str">
        <f t="shared" si="73"/>
        <v/>
      </c>
      <c r="Z698" t="str">
        <f t="shared" si="74"/>
        <v/>
      </c>
      <c r="AL698" t="str">
        <f t="shared" si="75"/>
        <v/>
      </c>
      <c r="AM698" t="str">
        <f t="shared" si="76"/>
        <v/>
      </c>
    </row>
    <row r="699" spans="1:39">
      <c r="A699" t="str">
        <f>IF(ISBLANK(Record!A700),"",Record!A700)</f>
        <v/>
      </c>
      <c r="B699" t="str">
        <f>IF(ISBLANK(Record!B700),"",Record!B700)</f>
        <v/>
      </c>
      <c r="C699" s="227" t="str">
        <f>IF(ISBLANK(Record!C700),"",Record!C700)</f>
        <v/>
      </c>
      <c r="D699" t="str">
        <f>IF(ISBLANK(Record!D700),"",Record!D700)</f>
        <v/>
      </c>
      <c r="E699" t="str">
        <f>IF(ISBLANK(Record!E700),"",Record!E700)</f>
        <v/>
      </c>
      <c r="M699" t="str">
        <f t="shared" si="70"/>
        <v xml:space="preserve">          </v>
      </c>
      <c r="N699" s="227" t="str">
        <f t="shared" si="71"/>
        <v/>
      </c>
      <c r="X699" t="str">
        <f t="shared" si="72"/>
        <v xml:space="preserve">          </v>
      </c>
      <c r="Y699" s="227" t="str">
        <f t="shared" si="73"/>
        <v/>
      </c>
      <c r="Z699" t="str">
        <f t="shared" si="74"/>
        <v/>
      </c>
      <c r="AL699" t="str">
        <f t="shared" si="75"/>
        <v/>
      </c>
      <c r="AM699" t="str">
        <f t="shared" si="76"/>
        <v/>
      </c>
    </row>
    <row r="700" spans="1:39">
      <c r="A700" t="str">
        <f>IF(ISBLANK(Record!A701),"",Record!A701)</f>
        <v/>
      </c>
      <c r="B700" t="str">
        <f>IF(ISBLANK(Record!B701),"",Record!B701)</f>
        <v/>
      </c>
      <c r="C700" s="227" t="str">
        <f>IF(ISBLANK(Record!C701),"",Record!C701)</f>
        <v/>
      </c>
      <c r="D700" t="str">
        <f>IF(ISBLANK(Record!D701),"",Record!D701)</f>
        <v/>
      </c>
      <c r="E700" t="str">
        <f>IF(ISBLANK(Record!E701),"",Record!E701)</f>
        <v/>
      </c>
      <c r="M700" t="str">
        <f t="shared" si="70"/>
        <v xml:space="preserve">          </v>
      </c>
      <c r="N700" s="227" t="str">
        <f t="shared" si="71"/>
        <v/>
      </c>
      <c r="X700" t="str">
        <f t="shared" si="72"/>
        <v xml:space="preserve">          </v>
      </c>
      <c r="Y700" s="227" t="str">
        <f t="shared" si="73"/>
        <v/>
      </c>
      <c r="Z700" t="str">
        <f t="shared" si="74"/>
        <v/>
      </c>
      <c r="AL700" t="str">
        <f t="shared" si="75"/>
        <v/>
      </c>
      <c r="AM700" t="str">
        <f t="shared" si="76"/>
        <v/>
      </c>
    </row>
    <row r="701" spans="1:39">
      <c r="A701" t="str">
        <f>IF(ISBLANK(Record!A702),"",Record!A702)</f>
        <v/>
      </c>
      <c r="B701" t="str">
        <f>IF(ISBLANK(Record!B702),"",Record!B702)</f>
        <v/>
      </c>
      <c r="C701" s="227" t="str">
        <f>IF(ISBLANK(Record!C702),"",Record!C702)</f>
        <v/>
      </c>
      <c r="D701" t="str">
        <f>IF(ISBLANK(Record!D702),"",Record!D702)</f>
        <v/>
      </c>
      <c r="E701" t="str">
        <f>IF(ISBLANK(Record!E702),"",Record!E702)</f>
        <v/>
      </c>
      <c r="M701" t="str">
        <f t="shared" si="70"/>
        <v xml:space="preserve">          </v>
      </c>
      <c r="N701" s="227" t="str">
        <f t="shared" si="71"/>
        <v/>
      </c>
      <c r="X701" t="str">
        <f t="shared" si="72"/>
        <v xml:space="preserve">          </v>
      </c>
      <c r="Y701" s="227" t="str">
        <f t="shared" si="73"/>
        <v/>
      </c>
      <c r="Z701" t="str">
        <f t="shared" si="74"/>
        <v/>
      </c>
      <c r="AL701" t="str">
        <f t="shared" si="75"/>
        <v/>
      </c>
      <c r="AM701" t="str">
        <f t="shared" si="76"/>
        <v/>
      </c>
    </row>
    <row r="702" spans="1:39">
      <c r="A702" t="str">
        <f>IF(ISBLANK(Record!A703),"",Record!A703)</f>
        <v/>
      </c>
      <c r="B702" t="str">
        <f>IF(ISBLANK(Record!B703),"",Record!B703)</f>
        <v/>
      </c>
      <c r="C702" s="227" t="str">
        <f>IF(ISBLANK(Record!C703),"",Record!C703)</f>
        <v/>
      </c>
      <c r="D702" t="str">
        <f>IF(ISBLANK(Record!D703),"",Record!D703)</f>
        <v/>
      </c>
      <c r="E702" t="str">
        <f>IF(ISBLANK(Record!E703),"",Record!E703)</f>
        <v/>
      </c>
      <c r="M702" t="str">
        <f t="shared" si="70"/>
        <v xml:space="preserve">          </v>
      </c>
      <c r="N702" s="227" t="str">
        <f t="shared" si="71"/>
        <v/>
      </c>
      <c r="X702" t="str">
        <f t="shared" si="72"/>
        <v xml:space="preserve">          </v>
      </c>
      <c r="Y702" s="227" t="str">
        <f t="shared" si="73"/>
        <v/>
      </c>
      <c r="Z702" t="str">
        <f t="shared" si="74"/>
        <v/>
      </c>
      <c r="AL702" t="str">
        <f t="shared" si="75"/>
        <v/>
      </c>
      <c r="AM702" t="str">
        <f t="shared" si="76"/>
        <v/>
      </c>
    </row>
    <row r="703" spans="1:39">
      <c r="A703" t="str">
        <f>IF(ISBLANK(Record!A704),"",Record!A704)</f>
        <v/>
      </c>
      <c r="B703" t="str">
        <f>IF(ISBLANK(Record!B704),"",Record!B704)</f>
        <v/>
      </c>
      <c r="C703" s="227" t="str">
        <f>IF(ISBLANK(Record!C704),"",Record!C704)</f>
        <v/>
      </c>
      <c r="D703" t="str">
        <f>IF(ISBLANK(Record!D704),"",Record!D704)</f>
        <v/>
      </c>
      <c r="E703" t="str">
        <f>IF(ISBLANK(Record!E704),"",Record!E704)</f>
        <v/>
      </c>
      <c r="M703" t="str">
        <f t="shared" si="70"/>
        <v xml:space="preserve">          </v>
      </c>
      <c r="N703" s="227" t="str">
        <f t="shared" si="71"/>
        <v/>
      </c>
      <c r="X703" t="str">
        <f t="shared" si="72"/>
        <v xml:space="preserve">          </v>
      </c>
      <c r="Y703" s="227" t="str">
        <f t="shared" si="73"/>
        <v/>
      </c>
      <c r="Z703" t="str">
        <f t="shared" si="74"/>
        <v/>
      </c>
      <c r="AL703" t="str">
        <f t="shared" si="75"/>
        <v/>
      </c>
      <c r="AM703" t="str">
        <f t="shared" si="76"/>
        <v/>
      </c>
    </row>
    <row r="704" spans="1:39">
      <c r="A704" t="str">
        <f>IF(ISBLANK(Record!A705),"",Record!A705)</f>
        <v/>
      </c>
      <c r="B704" t="str">
        <f>IF(ISBLANK(Record!B705),"",Record!B705)</f>
        <v/>
      </c>
      <c r="C704" s="227" t="str">
        <f>IF(ISBLANK(Record!C705),"",Record!C705)</f>
        <v/>
      </c>
      <c r="D704" t="str">
        <f>IF(ISBLANK(Record!D705),"",Record!D705)</f>
        <v/>
      </c>
      <c r="E704" t="str">
        <f>IF(ISBLANK(Record!E705),"",Record!E705)</f>
        <v/>
      </c>
      <c r="M704" t="str">
        <f t="shared" si="70"/>
        <v xml:space="preserve">          </v>
      </c>
      <c r="N704" s="227" t="str">
        <f t="shared" si="71"/>
        <v/>
      </c>
      <c r="X704" t="str">
        <f t="shared" si="72"/>
        <v xml:space="preserve">          </v>
      </c>
      <c r="Y704" s="227" t="str">
        <f t="shared" si="73"/>
        <v/>
      </c>
      <c r="Z704" t="str">
        <f t="shared" si="74"/>
        <v/>
      </c>
      <c r="AL704" t="str">
        <f t="shared" si="75"/>
        <v/>
      </c>
      <c r="AM704" t="str">
        <f t="shared" si="76"/>
        <v/>
      </c>
    </row>
    <row r="705" spans="1:39">
      <c r="A705" t="str">
        <f>IF(ISBLANK(Record!A706),"",Record!A706)</f>
        <v/>
      </c>
      <c r="B705" t="str">
        <f>IF(ISBLANK(Record!B706),"",Record!B706)</f>
        <v/>
      </c>
      <c r="C705" s="227" t="str">
        <f>IF(ISBLANK(Record!C706),"",Record!C706)</f>
        <v/>
      </c>
      <c r="D705" t="str">
        <f>IF(ISBLANK(Record!D706),"",Record!D706)</f>
        <v/>
      </c>
      <c r="E705" t="str">
        <f>IF(ISBLANK(Record!E706),"",Record!E706)</f>
        <v/>
      </c>
      <c r="M705" t="str">
        <f t="shared" si="70"/>
        <v xml:space="preserve">          </v>
      </c>
      <c r="N705" s="227" t="str">
        <f t="shared" si="71"/>
        <v/>
      </c>
      <c r="X705" t="str">
        <f t="shared" si="72"/>
        <v xml:space="preserve">          </v>
      </c>
      <c r="Y705" s="227" t="str">
        <f t="shared" si="73"/>
        <v/>
      </c>
      <c r="Z705" t="str">
        <f t="shared" si="74"/>
        <v/>
      </c>
      <c r="AL705" t="str">
        <f t="shared" si="75"/>
        <v/>
      </c>
      <c r="AM705" t="str">
        <f t="shared" si="76"/>
        <v/>
      </c>
    </row>
    <row r="706" spans="1:39">
      <c r="A706" t="str">
        <f>IF(ISBLANK(Record!A707),"",Record!A707)</f>
        <v/>
      </c>
      <c r="B706" t="str">
        <f>IF(ISBLANK(Record!B707),"",Record!B707)</f>
        <v/>
      </c>
      <c r="C706" s="227" t="str">
        <f>IF(ISBLANK(Record!C707),"",Record!C707)</f>
        <v/>
      </c>
      <c r="D706" t="str">
        <f>IF(ISBLANK(Record!D707),"",Record!D707)</f>
        <v/>
      </c>
      <c r="E706" t="str">
        <f>IF(ISBLANK(Record!E707),"",Record!E707)</f>
        <v/>
      </c>
      <c r="M706" t="str">
        <f t="shared" si="70"/>
        <v xml:space="preserve">          </v>
      </c>
      <c r="N706" s="227" t="str">
        <f t="shared" si="71"/>
        <v/>
      </c>
      <c r="X706" t="str">
        <f t="shared" si="72"/>
        <v xml:space="preserve">          </v>
      </c>
      <c r="Y706" s="227" t="str">
        <f t="shared" si="73"/>
        <v/>
      </c>
      <c r="Z706" t="str">
        <f t="shared" si="74"/>
        <v/>
      </c>
      <c r="AL706" t="str">
        <f t="shared" si="75"/>
        <v/>
      </c>
      <c r="AM706" t="str">
        <f t="shared" si="76"/>
        <v/>
      </c>
    </row>
    <row r="707" spans="1:39">
      <c r="A707" t="str">
        <f>IF(ISBLANK(Record!A708),"",Record!A708)</f>
        <v/>
      </c>
      <c r="B707" t="str">
        <f>IF(ISBLANK(Record!B708),"",Record!B708)</f>
        <v/>
      </c>
      <c r="C707" s="227" t="str">
        <f>IF(ISBLANK(Record!C708),"",Record!C708)</f>
        <v/>
      </c>
      <c r="D707" t="str">
        <f>IF(ISBLANK(Record!D708),"",Record!D708)</f>
        <v/>
      </c>
      <c r="E707" t="str">
        <f>IF(ISBLANK(Record!E708),"",Record!E708)</f>
        <v/>
      </c>
      <c r="M707" t="str">
        <f t="shared" ref="M707:M770" si="77">RIGHT("                                   " &amp; A707,10)</f>
        <v xml:space="preserve">          </v>
      </c>
      <c r="N707" s="227" t="str">
        <f t="shared" ref="N707:N770" si="78">RIGHT(C707,16)</f>
        <v/>
      </c>
      <c r="X707" t="str">
        <f t="shared" ref="X707:X770" si="79">RIGHT("                                   " &amp; A707,10)</f>
        <v xml:space="preserve">          </v>
      </c>
      <c r="Y707" s="227" t="str">
        <f t="shared" ref="Y707:Y770" si="80">RIGHT(C707,16)</f>
        <v/>
      </c>
      <c r="Z707" t="str">
        <f t="shared" ref="Z707:Z770" si="81">RIGHT(D707,8)</f>
        <v/>
      </c>
      <c r="AL707" t="str">
        <f t="shared" ref="AL707:AL770" si="82">D707</f>
        <v/>
      </c>
      <c r="AM707" t="str">
        <f t="shared" ref="AM707:AM770" si="83">IF(E707&lt;&gt;AL707,E707,E707)</f>
        <v/>
      </c>
    </row>
    <row r="708" spans="1:39">
      <c r="A708" t="str">
        <f>IF(ISBLANK(Record!A709),"",Record!A709)</f>
        <v/>
      </c>
      <c r="B708" t="str">
        <f>IF(ISBLANK(Record!B709),"",Record!B709)</f>
        <v/>
      </c>
      <c r="C708" s="227" t="str">
        <f>IF(ISBLANK(Record!C709),"",Record!C709)</f>
        <v/>
      </c>
      <c r="D708" t="str">
        <f>IF(ISBLANK(Record!D709),"",Record!D709)</f>
        <v/>
      </c>
      <c r="E708" t="str">
        <f>IF(ISBLANK(Record!E709),"",Record!E709)</f>
        <v/>
      </c>
      <c r="M708" t="str">
        <f t="shared" si="77"/>
        <v xml:space="preserve">          </v>
      </c>
      <c r="N708" s="227" t="str">
        <f t="shared" si="78"/>
        <v/>
      </c>
      <c r="X708" t="str">
        <f t="shared" si="79"/>
        <v xml:space="preserve">          </v>
      </c>
      <c r="Y708" s="227" t="str">
        <f t="shared" si="80"/>
        <v/>
      </c>
      <c r="Z708" t="str">
        <f t="shared" si="81"/>
        <v/>
      </c>
      <c r="AL708" t="str">
        <f t="shared" si="82"/>
        <v/>
      </c>
      <c r="AM708" t="str">
        <f t="shared" si="83"/>
        <v/>
      </c>
    </row>
    <row r="709" spans="1:39">
      <c r="A709" t="str">
        <f>IF(ISBLANK(Record!A710),"",Record!A710)</f>
        <v/>
      </c>
      <c r="B709" t="str">
        <f>IF(ISBLANK(Record!B710),"",Record!B710)</f>
        <v/>
      </c>
      <c r="C709" s="227" t="str">
        <f>IF(ISBLANK(Record!C710),"",Record!C710)</f>
        <v/>
      </c>
      <c r="D709" t="str">
        <f>IF(ISBLANK(Record!D710),"",Record!D710)</f>
        <v/>
      </c>
      <c r="E709" t="str">
        <f>IF(ISBLANK(Record!E710),"",Record!E710)</f>
        <v/>
      </c>
      <c r="M709" t="str">
        <f t="shared" si="77"/>
        <v xml:space="preserve">          </v>
      </c>
      <c r="N709" s="227" t="str">
        <f t="shared" si="78"/>
        <v/>
      </c>
      <c r="X709" t="str">
        <f t="shared" si="79"/>
        <v xml:space="preserve">          </v>
      </c>
      <c r="Y709" s="227" t="str">
        <f t="shared" si="80"/>
        <v/>
      </c>
      <c r="Z709" t="str">
        <f t="shared" si="81"/>
        <v/>
      </c>
      <c r="AL709" t="str">
        <f t="shared" si="82"/>
        <v/>
      </c>
      <c r="AM709" t="str">
        <f t="shared" si="83"/>
        <v/>
      </c>
    </row>
    <row r="710" spans="1:39">
      <c r="A710" t="str">
        <f>IF(ISBLANK(Record!A711),"",Record!A711)</f>
        <v/>
      </c>
      <c r="B710" t="str">
        <f>IF(ISBLANK(Record!B711),"",Record!B711)</f>
        <v/>
      </c>
      <c r="C710" s="227" t="str">
        <f>IF(ISBLANK(Record!C711),"",Record!C711)</f>
        <v/>
      </c>
      <c r="D710" t="str">
        <f>IF(ISBLANK(Record!D711),"",Record!D711)</f>
        <v/>
      </c>
      <c r="E710" t="str">
        <f>IF(ISBLANK(Record!E711),"",Record!E711)</f>
        <v/>
      </c>
      <c r="M710" t="str">
        <f t="shared" si="77"/>
        <v xml:space="preserve">          </v>
      </c>
      <c r="N710" s="227" t="str">
        <f t="shared" si="78"/>
        <v/>
      </c>
      <c r="X710" t="str">
        <f t="shared" si="79"/>
        <v xml:space="preserve">          </v>
      </c>
      <c r="Y710" s="227" t="str">
        <f t="shared" si="80"/>
        <v/>
      </c>
      <c r="Z710" t="str">
        <f t="shared" si="81"/>
        <v/>
      </c>
      <c r="AL710" t="str">
        <f t="shared" si="82"/>
        <v/>
      </c>
      <c r="AM710" t="str">
        <f t="shared" si="83"/>
        <v/>
      </c>
    </row>
    <row r="711" spans="1:39">
      <c r="A711" t="str">
        <f>IF(ISBLANK(Record!A712),"",Record!A712)</f>
        <v/>
      </c>
      <c r="B711" t="str">
        <f>IF(ISBLANK(Record!B712),"",Record!B712)</f>
        <v/>
      </c>
      <c r="C711" s="227" t="str">
        <f>IF(ISBLANK(Record!C712),"",Record!C712)</f>
        <v/>
      </c>
      <c r="D711" t="str">
        <f>IF(ISBLANK(Record!D712),"",Record!D712)</f>
        <v/>
      </c>
      <c r="E711" t="str">
        <f>IF(ISBLANK(Record!E712),"",Record!E712)</f>
        <v/>
      </c>
      <c r="M711" t="str">
        <f t="shared" si="77"/>
        <v xml:space="preserve">          </v>
      </c>
      <c r="N711" s="227" t="str">
        <f t="shared" si="78"/>
        <v/>
      </c>
      <c r="X711" t="str">
        <f t="shared" si="79"/>
        <v xml:space="preserve">          </v>
      </c>
      <c r="Y711" s="227" t="str">
        <f t="shared" si="80"/>
        <v/>
      </c>
      <c r="Z711" t="str">
        <f t="shared" si="81"/>
        <v/>
      </c>
      <c r="AL711" t="str">
        <f t="shared" si="82"/>
        <v/>
      </c>
      <c r="AM711" t="str">
        <f t="shared" si="83"/>
        <v/>
      </c>
    </row>
    <row r="712" spans="1:39">
      <c r="A712" t="str">
        <f>IF(ISBLANK(Record!A713),"",Record!A713)</f>
        <v/>
      </c>
      <c r="B712" t="str">
        <f>IF(ISBLANK(Record!B713),"",Record!B713)</f>
        <v/>
      </c>
      <c r="C712" s="227" t="str">
        <f>IF(ISBLANK(Record!C713),"",Record!C713)</f>
        <v/>
      </c>
      <c r="D712" t="str">
        <f>IF(ISBLANK(Record!D713),"",Record!D713)</f>
        <v/>
      </c>
      <c r="E712" t="str">
        <f>IF(ISBLANK(Record!E713),"",Record!E713)</f>
        <v/>
      </c>
      <c r="M712" t="str">
        <f t="shared" si="77"/>
        <v xml:space="preserve">          </v>
      </c>
      <c r="N712" s="227" t="str">
        <f t="shared" si="78"/>
        <v/>
      </c>
      <c r="X712" t="str">
        <f t="shared" si="79"/>
        <v xml:space="preserve">          </v>
      </c>
      <c r="Y712" s="227" t="str">
        <f t="shared" si="80"/>
        <v/>
      </c>
      <c r="Z712" t="str">
        <f t="shared" si="81"/>
        <v/>
      </c>
      <c r="AL712" t="str">
        <f t="shared" si="82"/>
        <v/>
      </c>
      <c r="AM712" t="str">
        <f t="shared" si="83"/>
        <v/>
      </c>
    </row>
    <row r="713" spans="1:39">
      <c r="A713" t="str">
        <f>IF(ISBLANK(Record!A714),"",Record!A714)</f>
        <v/>
      </c>
      <c r="B713" t="str">
        <f>IF(ISBLANK(Record!B714),"",Record!B714)</f>
        <v/>
      </c>
      <c r="C713" s="227" t="str">
        <f>IF(ISBLANK(Record!C714),"",Record!C714)</f>
        <v/>
      </c>
      <c r="D713" t="str">
        <f>IF(ISBLANK(Record!D714),"",Record!D714)</f>
        <v/>
      </c>
      <c r="E713" t="str">
        <f>IF(ISBLANK(Record!E714),"",Record!E714)</f>
        <v/>
      </c>
      <c r="M713" t="str">
        <f t="shared" si="77"/>
        <v xml:space="preserve">          </v>
      </c>
      <c r="N713" s="227" t="str">
        <f t="shared" si="78"/>
        <v/>
      </c>
      <c r="X713" t="str">
        <f t="shared" si="79"/>
        <v xml:space="preserve">          </v>
      </c>
      <c r="Y713" s="227" t="str">
        <f t="shared" si="80"/>
        <v/>
      </c>
      <c r="Z713" t="str">
        <f t="shared" si="81"/>
        <v/>
      </c>
      <c r="AL713" t="str">
        <f t="shared" si="82"/>
        <v/>
      </c>
      <c r="AM713" t="str">
        <f t="shared" si="83"/>
        <v/>
      </c>
    </row>
    <row r="714" spans="1:39">
      <c r="A714" t="str">
        <f>IF(ISBLANK(Record!A715),"",Record!A715)</f>
        <v/>
      </c>
      <c r="B714" t="str">
        <f>IF(ISBLANK(Record!B715),"",Record!B715)</f>
        <v/>
      </c>
      <c r="C714" s="227" t="str">
        <f>IF(ISBLANK(Record!C715),"",Record!C715)</f>
        <v/>
      </c>
      <c r="D714" t="str">
        <f>IF(ISBLANK(Record!D715),"",Record!D715)</f>
        <v/>
      </c>
      <c r="E714" t="str">
        <f>IF(ISBLANK(Record!E715),"",Record!E715)</f>
        <v/>
      </c>
      <c r="M714" t="str">
        <f t="shared" si="77"/>
        <v xml:space="preserve">          </v>
      </c>
      <c r="N714" s="227" t="str">
        <f t="shared" si="78"/>
        <v/>
      </c>
      <c r="X714" t="str">
        <f t="shared" si="79"/>
        <v xml:space="preserve">          </v>
      </c>
      <c r="Y714" s="227" t="str">
        <f t="shared" si="80"/>
        <v/>
      </c>
      <c r="Z714" t="str">
        <f t="shared" si="81"/>
        <v/>
      </c>
      <c r="AL714" t="str">
        <f t="shared" si="82"/>
        <v/>
      </c>
      <c r="AM714" t="str">
        <f t="shared" si="83"/>
        <v/>
      </c>
    </row>
    <row r="715" spans="1:39">
      <c r="A715" t="str">
        <f>IF(ISBLANK(Record!A716),"",Record!A716)</f>
        <v/>
      </c>
      <c r="B715" t="str">
        <f>IF(ISBLANK(Record!B716),"",Record!B716)</f>
        <v/>
      </c>
      <c r="C715" s="227" t="str">
        <f>IF(ISBLANK(Record!C716),"",Record!C716)</f>
        <v/>
      </c>
      <c r="D715" t="str">
        <f>IF(ISBLANK(Record!D716),"",Record!D716)</f>
        <v/>
      </c>
      <c r="E715" t="str">
        <f>IF(ISBLANK(Record!E716),"",Record!E716)</f>
        <v/>
      </c>
      <c r="M715" t="str">
        <f t="shared" si="77"/>
        <v xml:space="preserve">          </v>
      </c>
      <c r="N715" s="227" t="str">
        <f t="shared" si="78"/>
        <v/>
      </c>
      <c r="X715" t="str">
        <f t="shared" si="79"/>
        <v xml:space="preserve">          </v>
      </c>
      <c r="Y715" s="227" t="str">
        <f t="shared" si="80"/>
        <v/>
      </c>
      <c r="Z715" t="str">
        <f t="shared" si="81"/>
        <v/>
      </c>
      <c r="AL715" t="str">
        <f t="shared" si="82"/>
        <v/>
      </c>
      <c r="AM715" t="str">
        <f t="shared" si="83"/>
        <v/>
      </c>
    </row>
    <row r="716" spans="1:39">
      <c r="A716" t="str">
        <f>IF(ISBLANK(Record!A717),"",Record!A717)</f>
        <v/>
      </c>
      <c r="B716" t="str">
        <f>IF(ISBLANK(Record!B717),"",Record!B717)</f>
        <v/>
      </c>
      <c r="C716" s="227" t="str">
        <f>IF(ISBLANK(Record!C717),"",Record!C717)</f>
        <v/>
      </c>
      <c r="D716" t="str">
        <f>IF(ISBLANK(Record!D717),"",Record!D717)</f>
        <v/>
      </c>
      <c r="E716" t="str">
        <f>IF(ISBLANK(Record!E717),"",Record!E717)</f>
        <v/>
      </c>
      <c r="M716" t="str">
        <f t="shared" si="77"/>
        <v xml:space="preserve">          </v>
      </c>
      <c r="N716" s="227" t="str">
        <f t="shared" si="78"/>
        <v/>
      </c>
      <c r="X716" t="str">
        <f t="shared" si="79"/>
        <v xml:space="preserve">          </v>
      </c>
      <c r="Y716" s="227" t="str">
        <f t="shared" si="80"/>
        <v/>
      </c>
      <c r="Z716" t="str">
        <f t="shared" si="81"/>
        <v/>
      </c>
      <c r="AL716" t="str">
        <f t="shared" si="82"/>
        <v/>
      </c>
      <c r="AM716" t="str">
        <f t="shared" si="83"/>
        <v/>
      </c>
    </row>
    <row r="717" spans="1:39">
      <c r="A717" t="str">
        <f>IF(ISBLANK(Record!A718),"",Record!A718)</f>
        <v/>
      </c>
      <c r="B717" t="str">
        <f>IF(ISBLANK(Record!B718),"",Record!B718)</f>
        <v/>
      </c>
      <c r="C717" s="227" t="str">
        <f>IF(ISBLANK(Record!C718),"",Record!C718)</f>
        <v/>
      </c>
      <c r="D717" t="str">
        <f>IF(ISBLANK(Record!D718),"",Record!D718)</f>
        <v/>
      </c>
      <c r="E717" t="str">
        <f>IF(ISBLANK(Record!E718),"",Record!E718)</f>
        <v/>
      </c>
      <c r="M717" t="str">
        <f t="shared" si="77"/>
        <v xml:space="preserve">          </v>
      </c>
      <c r="N717" s="227" t="str">
        <f t="shared" si="78"/>
        <v/>
      </c>
      <c r="X717" t="str">
        <f t="shared" si="79"/>
        <v xml:space="preserve">          </v>
      </c>
      <c r="Y717" s="227" t="str">
        <f t="shared" si="80"/>
        <v/>
      </c>
      <c r="Z717" t="str">
        <f t="shared" si="81"/>
        <v/>
      </c>
      <c r="AL717" t="str">
        <f t="shared" si="82"/>
        <v/>
      </c>
      <c r="AM717" t="str">
        <f t="shared" si="83"/>
        <v/>
      </c>
    </row>
    <row r="718" spans="1:39">
      <c r="A718" t="str">
        <f>IF(ISBLANK(Record!A719),"",Record!A719)</f>
        <v/>
      </c>
      <c r="B718" t="str">
        <f>IF(ISBLANK(Record!B719),"",Record!B719)</f>
        <v/>
      </c>
      <c r="C718" s="227" t="str">
        <f>IF(ISBLANK(Record!C719),"",Record!C719)</f>
        <v/>
      </c>
      <c r="D718" t="str">
        <f>IF(ISBLANK(Record!D719),"",Record!D719)</f>
        <v/>
      </c>
      <c r="E718" t="str">
        <f>IF(ISBLANK(Record!E719),"",Record!E719)</f>
        <v/>
      </c>
      <c r="M718" t="str">
        <f t="shared" si="77"/>
        <v xml:space="preserve">          </v>
      </c>
      <c r="N718" s="227" t="str">
        <f t="shared" si="78"/>
        <v/>
      </c>
      <c r="X718" t="str">
        <f t="shared" si="79"/>
        <v xml:space="preserve">          </v>
      </c>
      <c r="Y718" s="227" t="str">
        <f t="shared" si="80"/>
        <v/>
      </c>
      <c r="Z718" t="str">
        <f t="shared" si="81"/>
        <v/>
      </c>
      <c r="AL718" t="str">
        <f t="shared" si="82"/>
        <v/>
      </c>
      <c r="AM718" t="str">
        <f t="shared" si="83"/>
        <v/>
      </c>
    </row>
    <row r="719" spans="1:39">
      <c r="A719" t="str">
        <f>IF(ISBLANK(Record!A720),"",Record!A720)</f>
        <v/>
      </c>
      <c r="B719" t="str">
        <f>IF(ISBLANK(Record!B720),"",Record!B720)</f>
        <v/>
      </c>
      <c r="C719" s="227" t="str">
        <f>IF(ISBLANK(Record!C720),"",Record!C720)</f>
        <v/>
      </c>
      <c r="D719" t="str">
        <f>IF(ISBLANK(Record!D720),"",Record!D720)</f>
        <v/>
      </c>
      <c r="E719" t="str">
        <f>IF(ISBLANK(Record!E720),"",Record!E720)</f>
        <v/>
      </c>
      <c r="M719" t="str">
        <f t="shared" si="77"/>
        <v xml:space="preserve">          </v>
      </c>
      <c r="N719" s="227" t="str">
        <f t="shared" si="78"/>
        <v/>
      </c>
      <c r="X719" t="str">
        <f t="shared" si="79"/>
        <v xml:space="preserve">          </v>
      </c>
      <c r="Y719" s="227" t="str">
        <f t="shared" si="80"/>
        <v/>
      </c>
      <c r="Z719" t="str">
        <f t="shared" si="81"/>
        <v/>
      </c>
      <c r="AL719" t="str">
        <f t="shared" si="82"/>
        <v/>
      </c>
      <c r="AM719" t="str">
        <f t="shared" si="83"/>
        <v/>
      </c>
    </row>
    <row r="720" spans="1:39">
      <c r="A720" t="str">
        <f>IF(ISBLANK(Record!A721),"",Record!A721)</f>
        <v/>
      </c>
      <c r="B720" t="str">
        <f>IF(ISBLANK(Record!B721),"",Record!B721)</f>
        <v/>
      </c>
      <c r="C720" s="227" t="str">
        <f>IF(ISBLANK(Record!C721),"",Record!C721)</f>
        <v/>
      </c>
      <c r="D720" t="str">
        <f>IF(ISBLANK(Record!D721),"",Record!D721)</f>
        <v/>
      </c>
      <c r="E720" t="str">
        <f>IF(ISBLANK(Record!E721),"",Record!E721)</f>
        <v/>
      </c>
      <c r="M720" t="str">
        <f t="shared" si="77"/>
        <v xml:space="preserve">          </v>
      </c>
      <c r="N720" s="227" t="str">
        <f t="shared" si="78"/>
        <v/>
      </c>
      <c r="X720" t="str">
        <f t="shared" si="79"/>
        <v xml:space="preserve">          </v>
      </c>
      <c r="Y720" s="227" t="str">
        <f t="shared" si="80"/>
        <v/>
      </c>
      <c r="Z720" t="str">
        <f t="shared" si="81"/>
        <v/>
      </c>
      <c r="AL720" t="str">
        <f t="shared" si="82"/>
        <v/>
      </c>
      <c r="AM720" t="str">
        <f t="shared" si="83"/>
        <v/>
      </c>
    </row>
    <row r="721" spans="1:39">
      <c r="A721" t="str">
        <f>IF(ISBLANK(Record!A722),"",Record!A722)</f>
        <v/>
      </c>
      <c r="B721" t="str">
        <f>IF(ISBLANK(Record!B722),"",Record!B722)</f>
        <v/>
      </c>
      <c r="C721" s="227" t="str">
        <f>IF(ISBLANK(Record!C722),"",Record!C722)</f>
        <v/>
      </c>
      <c r="D721" t="str">
        <f>IF(ISBLANK(Record!D722),"",Record!D722)</f>
        <v/>
      </c>
      <c r="E721" t="str">
        <f>IF(ISBLANK(Record!E722),"",Record!E722)</f>
        <v/>
      </c>
      <c r="M721" t="str">
        <f t="shared" si="77"/>
        <v xml:space="preserve">          </v>
      </c>
      <c r="N721" s="227" t="str">
        <f t="shared" si="78"/>
        <v/>
      </c>
      <c r="X721" t="str">
        <f t="shared" si="79"/>
        <v xml:space="preserve">          </v>
      </c>
      <c r="Y721" s="227" t="str">
        <f t="shared" si="80"/>
        <v/>
      </c>
      <c r="Z721" t="str">
        <f t="shared" si="81"/>
        <v/>
      </c>
      <c r="AL721" t="str">
        <f t="shared" si="82"/>
        <v/>
      </c>
      <c r="AM721" t="str">
        <f t="shared" si="83"/>
        <v/>
      </c>
    </row>
    <row r="722" spans="1:39">
      <c r="A722" t="str">
        <f>IF(ISBLANK(Record!A723),"",Record!A723)</f>
        <v/>
      </c>
      <c r="B722" t="str">
        <f>IF(ISBLANK(Record!B723),"",Record!B723)</f>
        <v/>
      </c>
      <c r="C722" s="227" t="str">
        <f>IF(ISBLANK(Record!C723),"",Record!C723)</f>
        <v/>
      </c>
      <c r="D722" t="str">
        <f>IF(ISBLANK(Record!D723),"",Record!D723)</f>
        <v/>
      </c>
      <c r="E722" t="str">
        <f>IF(ISBLANK(Record!E723),"",Record!E723)</f>
        <v/>
      </c>
      <c r="M722" t="str">
        <f t="shared" si="77"/>
        <v xml:space="preserve">          </v>
      </c>
      <c r="N722" s="227" t="str">
        <f t="shared" si="78"/>
        <v/>
      </c>
      <c r="X722" t="str">
        <f t="shared" si="79"/>
        <v xml:space="preserve">          </v>
      </c>
      <c r="Y722" s="227" t="str">
        <f t="shared" si="80"/>
        <v/>
      </c>
      <c r="Z722" t="str">
        <f t="shared" si="81"/>
        <v/>
      </c>
      <c r="AL722" t="str">
        <f t="shared" si="82"/>
        <v/>
      </c>
      <c r="AM722" t="str">
        <f t="shared" si="83"/>
        <v/>
      </c>
    </row>
    <row r="723" spans="1:39">
      <c r="A723" t="str">
        <f>IF(ISBLANK(Record!A724),"",Record!A724)</f>
        <v/>
      </c>
      <c r="B723" t="str">
        <f>IF(ISBLANK(Record!B724),"",Record!B724)</f>
        <v/>
      </c>
      <c r="C723" s="227" t="str">
        <f>IF(ISBLANK(Record!C724),"",Record!C724)</f>
        <v/>
      </c>
      <c r="D723" t="str">
        <f>IF(ISBLANK(Record!D724),"",Record!D724)</f>
        <v/>
      </c>
      <c r="E723" t="str">
        <f>IF(ISBLANK(Record!E724),"",Record!E724)</f>
        <v/>
      </c>
      <c r="M723" t="str">
        <f t="shared" si="77"/>
        <v xml:space="preserve">          </v>
      </c>
      <c r="N723" s="227" t="str">
        <f t="shared" si="78"/>
        <v/>
      </c>
      <c r="X723" t="str">
        <f t="shared" si="79"/>
        <v xml:space="preserve">          </v>
      </c>
      <c r="Y723" s="227" t="str">
        <f t="shared" si="80"/>
        <v/>
      </c>
      <c r="Z723" t="str">
        <f t="shared" si="81"/>
        <v/>
      </c>
      <c r="AL723" t="str">
        <f t="shared" si="82"/>
        <v/>
      </c>
      <c r="AM723" t="str">
        <f t="shared" si="83"/>
        <v/>
      </c>
    </row>
    <row r="724" spans="1:39">
      <c r="A724" t="str">
        <f>IF(ISBLANK(Record!A725),"",Record!A725)</f>
        <v/>
      </c>
      <c r="B724" t="str">
        <f>IF(ISBLANK(Record!B725),"",Record!B725)</f>
        <v/>
      </c>
      <c r="C724" s="227" t="str">
        <f>IF(ISBLANK(Record!C725),"",Record!C725)</f>
        <v/>
      </c>
      <c r="D724" t="str">
        <f>IF(ISBLANK(Record!D725),"",Record!D725)</f>
        <v/>
      </c>
      <c r="E724" t="str">
        <f>IF(ISBLANK(Record!E725),"",Record!E725)</f>
        <v/>
      </c>
      <c r="M724" t="str">
        <f t="shared" si="77"/>
        <v xml:space="preserve">          </v>
      </c>
      <c r="N724" s="227" t="str">
        <f t="shared" si="78"/>
        <v/>
      </c>
      <c r="X724" t="str">
        <f t="shared" si="79"/>
        <v xml:space="preserve">          </v>
      </c>
      <c r="Y724" s="227" t="str">
        <f t="shared" si="80"/>
        <v/>
      </c>
      <c r="Z724" t="str">
        <f t="shared" si="81"/>
        <v/>
      </c>
      <c r="AL724" t="str">
        <f t="shared" si="82"/>
        <v/>
      </c>
      <c r="AM724" t="str">
        <f t="shared" si="83"/>
        <v/>
      </c>
    </row>
    <row r="725" spans="1:39">
      <c r="A725" t="str">
        <f>IF(ISBLANK(Record!A726),"",Record!A726)</f>
        <v/>
      </c>
      <c r="B725" t="str">
        <f>IF(ISBLANK(Record!B726),"",Record!B726)</f>
        <v/>
      </c>
      <c r="C725" s="227" t="str">
        <f>IF(ISBLANK(Record!C726),"",Record!C726)</f>
        <v/>
      </c>
      <c r="D725" t="str">
        <f>IF(ISBLANK(Record!D726),"",Record!D726)</f>
        <v/>
      </c>
      <c r="E725" t="str">
        <f>IF(ISBLANK(Record!E726),"",Record!E726)</f>
        <v/>
      </c>
      <c r="M725" t="str">
        <f t="shared" si="77"/>
        <v xml:space="preserve">          </v>
      </c>
      <c r="N725" s="227" t="str">
        <f t="shared" si="78"/>
        <v/>
      </c>
      <c r="X725" t="str">
        <f t="shared" si="79"/>
        <v xml:space="preserve">          </v>
      </c>
      <c r="Y725" s="227" t="str">
        <f t="shared" si="80"/>
        <v/>
      </c>
      <c r="Z725" t="str">
        <f t="shared" si="81"/>
        <v/>
      </c>
      <c r="AL725" t="str">
        <f t="shared" si="82"/>
        <v/>
      </c>
      <c r="AM725" t="str">
        <f t="shared" si="83"/>
        <v/>
      </c>
    </row>
    <row r="726" spans="1:39">
      <c r="A726" t="str">
        <f>IF(ISBLANK(Record!A727),"",Record!A727)</f>
        <v/>
      </c>
      <c r="B726" t="str">
        <f>IF(ISBLANK(Record!B727),"",Record!B727)</f>
        <v/>
      </c>
      <c r="C726" s="227" t="str">
        <f>IF(ISBLANK(Record!C727),"",Record!C727)</f>
        <v/>
      </c>
      <c r="D726" t="str">
        <f>IF(ISBLANK(Record!D727),"",Record!D727)</f>
        <v/>
      </c>
      <c r="E726" t="str">
        <f>IF(ISBLANK(Record!E727),"",Record!E727)</f>
        <v/>
      </c>
      <c r="M726" t="str">
        <f t="shared" si="77"/>
        <v xml:space="preserve">          </v>
      </c>
      <c r="N726" s="227" t="str">
        <f t="shared" si="78"/>
        <v/>
      </c>
      <c r="X726" t="str">
        <f t="shared" si="79"/>
        <v xml:space="preserve">          </v>
      </c>
      <c r="Y726" s="227" t="str">
        <f t="shared" si="80"/>
        <v/>
      </c>
      <c r="Z726" t="str">
        <f t="shared" si="81"/>
        <v/>
      </c>
      <c r="AL726" t="str">
        <f t="shared" si="82"/>
        <v/>
      </c>
      <c r="AM726" t="str">
        <f t="shared" si="83"/>
        <v/>
      </c>
    </row>
    <row r="727" spans="1:39">
      <c r="A727" t="str">
        <f>IF(ISBLANK(Record!A728),"",Record!A728)</f>
        <v/>
      </c>
      <c r="B727" t="str">
        <f>IF(ISBLANK(Record!B728),"",Record!B728)</f>
        <v/>
      </c>
      <c r="C727" s="227" t="str">
        <f>IF(ISBLANK(Record!C728),"",Record!C728)</f>
        <v/>
      </c>
      <c r="D727" t="str">
        <f>IF(ISBLANK(Record!D728),"",Record!D728)</f>
        <v/>
      </c>
      <c r="E727" t="str">
        <f>IF(ISBLANK(Record!E728),"",Record!E728)</f>
        <v/>
      </c>
      <c r="M727" t="str">
        <f t="shared" si="77"/>
        <v xml:space="preserve">          </v>
      </c>
      <c r="N727" s="227" t="str">
        <f t="shared" si="78"/>
        <v/>
      </c>
      <c r="X727" t="str">
        <f t="shared" si="79"/>
        <v xml:space="preserve">          </v>
      </c>
      <c r="Y727" s="227" t="str">
        <f t="shared" si="80"/>
        <v/>
      </c>
      <c r="Z727" t="str">
        <f t="shared" si="81"/>
        <v/>
      </c>
      <c r="AL727" t="str">
        <f t="shared" si="82"/>
        <v/>
      </c>
      <c r="AM727" t="str">
        <f t="shared" si="83"/>
        <v/>
      </c>
    </row>
    <row r="728" spans="1:39">
      <c r="A728" t="str">
        <f>IF(ISBLANK(Record!A729),"",Record!A729)</f>
        <v/>
      </c>
      <c r="B728" t="str">
        <f>IF(ISBLANK(Record!B729),"",Record!B729)</f>
        <v/>
      </c>
      <c r="C728" s="227" t="str">
        <f>IF(ISBLANK(Record!C729),"",Record!C729)</f>
        <v/>
      </c>
      <c r="D728" t="str">
        <f>IF(ISBLANK(Record!D729),"",Record!D729)</f>
        <v/>
      </c>
      <c r="E728" t="str">
        <f>IF(ISBLANK(Record!E729),"",Record!E729)</f>
        <v/>
      </c>
      <c r="M728" t="str">
        <f t="shared" si="77"/>
        <v xml:space="preserve">          </v>
      </c>
      <c r="N728" s="227" t="str">
        <f t="shared" si="78"/>
        <v/>
      </c>
      <c r="X728" t="str">
        <f t="shared" si="79"/>
        <v xml:space="preserve">          </v>
      </c>
      <c r="Y728" s="227" t="str">
        <f t="shared" si="80"/>
        <v/>
      </c>
      <c r="Z728" t="str">
        <f t="shared" si="81"/>
        <v/>
      </c>
      <c r="AL728" t="str">
        <f t="shared" si="82"/>
        <v/>
      </c>
      <c r="AM728" t="str">
        <f t="shared" si="83"/>
        <v/>
      </c>
    </row>
    <row r="729" spans="1:39">
      <c r="A729" t="str">
        <f>IF(ISBLANK(Record!A730),"",Record!A730)</f>
        <v/>
      </c>
      <c r="B729" t="str">
        <f>IF(ISBLANK(Record!B730),"",Record!B730)</f>
        <v/>
      </c>
      <c r="C729" s="227" t="str">
        <f>IF(ISBLANK(Record!C730),"",Record!C730)</f>
        <v/>
      </c>
      <c r="D729" t="str">
        <f>IF(ISBLANK(Record!D730),"",Record!D730)</f>
        <v/>
      </c>
      <c r="E729" t="str">
        <f>IF(ISBLANK(Record!E730),"",Record!E730)</f>
        <v/>
      </c>
      <c r="M729" t="str">
        <f t="shared" si="77"/>
        <v xml:space="preserve">          </v>
      </c>
      <c r="N729" s="227" t="str">
        <f t="shared" si="78"/>
        <v/>
      </c>
      <c r="X729" t="str">
        <f t="shared" si="79"/>
        <v xml:space="preserve">          </v>
      </c>
      <c r="Y729" s="227" t="str">
        <f t="shared" si="80"/>
        <v/>
      </c>
      <c r="Z729" t="str">
        <f t="shared" si="81"/>
        <v/>
      </c>
      <c r="AL729" t="str">
        <f t="shared" si="82"/>
        <v/>
      </c>
      <c r="AM729" t="str">
        <f t="shared" si="83"/>
        <v/>
      </c>
    </row>
    <row r="730" spans="1:39">
      <c r="A730" t="str">
        <f>IF(ISBLANK(Record!A731),"",Record!A731)</f>
        <v/>
      </c>
      <c r="B730" t="str">
        <f>IF(ISBLANK(Record!B731),"",Record!B731)</f>
        <v/>
      </c>
      <c r="C730" s="227" t="str">
        <f>IF(ISBLANK(Record!C731),"",Record!C731)</f>
        <v/>
      </c>
      <c r="D730" t="str">
        <f>IF(ISBLANK(Record!D731),"",Record!D731)</f>
        <v/>
      </c>
      <c r="E730" t="str">
        <f>IF(ISBLANK(Record!E731),"",Record!E731)</f>
        <v/>
      </c>
      <c r="M730" t="str">
        <f t="shared" si="77"/>
        <v xml:space="preserve">          </v>
      </c>
      <c r="N730" s="227" t="str">
        <f t="shared" si="78"/>
        <v/>
      </c>
      <c r="X730" t="str">
        <f t="shared" si="79"/>
        <v xml:space="preserve">          </v>
      </c>
      <c r="Y730" s="227" t="str">
        <f t="shared" si="80"/>
        <v/>
      </c>
      <c r="Z730" t="str">
        <f t="shared" si="81"/>
        <v/>
      </c>
      <c r="AL730" t="str">
        <f t="shared" si="82"/>
        <v/>
      </c>
      <c r="AM730" t="str">
        <f t="shared" si="83"/>
        <v/>
      </c>
    </row>
    <row r="731" spans="1:39">
      <c r="A731" t="str">
        <f>IF(ISBLANK(Record!A732),"",Record!A732)</f>
        <v/>
      </c>
      <c r="B731" t="str">
        <f>IF(ISBLANK(Record!B732),"",Record!B732)</f>
        <v/>
      </c>
      <c r="C731" s="227" t="str">
        <f>IF(ISBLANK(Record!C732),"",Record!C732)</f>
        <v/>
      </c>
      <c r="D731" t="str">
        <f>IF(ISBLANK(Record!D732),"",Record!D732)</f>
        <v/>
      </c>
      <c r="E731" t="str">
        <f>IF(ISBLANK(Record!E732),"",Record!E732)</f>
        <v/>
      </c>
      <c r="M731" t="str">
        <f t="shared" si="77"/>
        <v xml:space="preserve">          </v>
      </c>
      <c r="N731" s="227" t="str">
        <f t="shared" si="78"/>
        <v/>
      </c>
      <c r="X731" t="str">
        <f t="shared" si="79"/>
        <v xml:space="preserve">          </v>
      </c>
      <c r="Y731" s="227" t="str">
        <f t="shared" si="80"/>
        <v/>
      </c>
      <c r="Z731" t="str">
        <f t="shared" si="81"/>
        <v/>
      </c>
      <c r="AL731" t="str">
        <f t="shared" si="82"/>
        <v/>
      </c>
      <c r="AM731" t="str">
        <f t="shared" si="83"/>
        <v/>
      </c>
    </row>
    <row r="732" spans="1:39">
      <c r="A732" t="str">
        <f>IF(ISBLANK(Record!A733),"",Record!A733)</f>
        <v/>
      </c>
      <c r="B732" t="str">
        <f>IF(ISBLANK(Record!B733),"",Record!B733)</f>
        <v/>
      </c>
      <c r="C732" s="227" t="str">
        <f>IF(ISBLANK(Record!C733),"",Record!C733)</f>
        <v/>
      </c>
      <c r="D732" t="str">
        <f>IF(ISBLANK(Record!D733),"",Record!D733)</f>
        <v/>
      </c>
      <c r="E732" t="str">
        <f>IF(ISBLANK(Record!E733),"",Record!E733)</f>
        <v/>
      </c>
      <c r="M732" t="str">
        <f t="shared" si="77"/>
        <v xml:space="preserve">          </v>
      </c>
      <c r="N732" s="227" t="str">
        <f t="shared" si="78"/>
        <v/>
      </c>
      <c r="X732" t="str">
        <f t="shared" si="79"/>
        <v xml:space="preserve">          </v>
      </c>
      <c r="Y732" s="227" t="str">
        <f t="shared" si="80"/>
        <v/>
      </c>
      <c r="Z732" t="str">
        <f t="shared" si="81"/>
        <v/>
      </c>
      <c r="AL732" t="str">
        <f t="shared" si="82"/>
        <v/>
      </c>
      <c r="AM732" t="str">
        <f t="shared" si="83"/>
        <v/>
      </c>
    </row>
    <row r="733" spans="1:39">
      <c r="A733" t="str">
        <f>IF(ISBLANK(Record!A734),"",Record!A734)</f>
        <v/>
      </c>
      <c r="B733" t="str">
        <f>IF(ISBLANK(Record!B734),"",Record!B734)</f>
        <v/>
      </c>
      <c r="C733" s="227" t="str">
        <f>IF(ISBLANK(Record!C734),"",Record!C734)</f>
        <v/>
      </c>
      <c r="D733" t="str">
        <f>IF(ISBLANK(Record!D734),"",Record!D734)</f>
        <v/>
      </c>
      <c r="E733" t="str">
        <f>IF(ISBLANK(Record!E734),"",Record!E734)</f>
        <v/>
      </c>
      <c r="M733" t="str">
        <f t="shared" si="77"/>
        <v xml:space="preserve">          </v>
      </c>
      <c r="N733" s="227" t="str">
        <f t="shared" si="78"/>
        <v/>
      </c>
      <c r="X733" t="str">
        <f t="shared" si="79"/>
        <v xml:space="preserve">          </v>
      </c>
      <c r="Y733" s="227" t="str">
        <f t="shared" si="80"/>
        <v/>
      </c>
      <c r="Z733" t="str">
        <f t="shared" si="81"/>
        <v/>
      </c>
      <c r="AL733" t="str">
        <f t="shared" si="82"/>
        <v/>
      </c>
      <c r="AM733" t="str">
        <f t="shared" si="83"/>
        <v/>
      </c>
    </row>
    <row r="734" spans="1:39">
      <c r="A734" t="str">
        <f>IF(ISBLANK(Record!A735),"",Record!A735)</f>
        <v/>
      </c>
      <c r="B734" t="str">
        <f>IF(ISBLANK(Record!B735),"",Record!B735)</f>
        <v/>
      </c>
      <c r="C734" s="227" t="str">
        <f>IF(ISBLANK(Record!C735),"",Record!C735)</f>
        <v/>
      </c>
      <c r="D734" t="str">
        <f>IF(ISBLANK(Record!D735),"",Record!D735)</f>
        <v/>
      </c>
      <c r="E734" t="str">
        <f>IF(ISBLANK(Record!E735),"",Record!E735)</f>
        <v/>
      </c>
      <c r="M734" t="str">
        <f t="shared" si="77"/>
        <v xml:space="preserve">          </v>
      </c>
      <c r="N734" s="227" t="str">
        <f t="shared" si="78"/>
        <v/>
      </c>
      <c r="X734" t="str">
        <f t="shared" si="79"/>
        <v xml:space="preserve">          </v>
      </c>
      <c r="Y734" s="227" t="str">
        <f t="shared" si="80"/>
        <v/>
      </c>
      <c r="Z734" t="str">
        <f t="shared" si="81"/>
        <v/>
      </c>
      <c r="AL734" t="str">
        <f t="shared" si="82"/>
        <v/>
      </c>
      <c r="AM734" t="str">
        <f t="shared" si="83"/>
        <v/>
      </c>
    </row>
    <row r="735" spans="1:39">
      <c r="A735" t="str">
        <f>IF(ISBLANK(Record!A736),"",Record!A736)</f>
        <v/>
      </c>
      <c r="B735" t="str">
        <f>IF(ISBLANK(Record!B736),"",Record!B736)</f>
        <v/>
      </c>
      <c r="C735" s="227" t="str">
        <f>IF(ISBLANK(Record!C736),"",Record!C736)</f>
        <v/>
      </c>
      <c r="D735" t="str">
        <f>IF(ISBLANK(Record!D736),"",Record!D736)</f>
        <v/>
      </c>
      <c r="E735" t="str">
        <f>IF(ISBLANK(Record!E736),"",Record!E736)</f>
        <v/>
      </c>
      <c r="M735" t="str">
        <f t="shared" si="77"/>
        <v xml:space="preserve">          </v>
      </c>
      <c r="N735" s="227" t="str">
        <f t="shared" si="78"/>
        <v/>
      </c>
      <c r="X735" t="str">
        <f t="shared" si="79"/>
        <v xml:space="preserve">          </v>
      </c>
      <c r="Y735" s="227" t="str">
        <f t="shared" si="80"/>
        <v/>
      </c>
      <c r="Z735" t="str">
        <f t="shared" si="81"/>
        <v/>
      </c>
      <c r="AL735" t="str">
        <f t="shared" si="82"/>
        <v/>
      </c>
      <c r="AM735" t="str">
        <f t="shared" si="83"/>
        <v/>
      </c>
    </row>
    <row r="736" spans="1:39">
      <c r="A736" t="str">
        <f>IF(ISBLANK(Record!A737),"",Record!A737)</f>
        <v/>
      </c>
      <c r="B736" t="str">
        <f>IF(ISBLANK(Record!B737),"",Record!B737)</f>
        <v/>
      </c>
      <c r="C736" s="227" t="str">
        <f>IF(ISBLANK(Record!C737),"",Record!C737)</f>
        <v/>
      </c>
      <c r="D736" t="str">
        <f>IF(ISBLANK(Record!D737),"",Record!D737)</f>
        <v/>
      </c>
      <c r="E736" t="str">
        <f>IF(ISBLANK(Record!E737),"",Record!E737)</f>
        <v/>
      </c>
      <c r="M736" t="str">
        <f t="shared" si="77"/>
        <v xml:space="preserve">          </v>
      </c>
      <c r="N736" s="227" t="str">
        <f t="shared" si="78"/>
        <v/>
      </c>
      <c r="X736" t="str">
        <f t="shared" si="79"/>
        <v xml:space="preserve">          </v>
      </c>
      <c r="Y736" s="227" t="str">
        <f t="shared" si="80"/>
        <v/>
      </c>
      <c r="Z736" t="str">
        <f t="shared" si="81"/>
        <v/>
      </c>
      <c r="AL736" t="str">
        <f t="shared" si="82"/>
        <v/>
      </c>
      <c r="AM736" t="str">
        <f t="shared" si="83"/>
        <v/>
      </c>
    </row>
    <row r="737" spans="1:39">
      <c r="A737" t="str">
        <f>IF(ISBLANK(Record!A738),"",Record!A738)</f>
        <v/>
      </c>
      <c r="B737" t="str">
        <f>IF(ISBLANK(Record!B738),"",Record!B738)</f>
        <v/>
      </c>
      <c r="C737" s="227" t="str">
        <f>IF(ISBLANK(Record!C738),"",Record!C738)</f>
        <v/>
      </c>
      <c r="D737" t="str">
        <f>IF(ISBLANK(Record!D738),"",Record!D738)</f>
        <v/>
      </c>
      <c r="E737" t="str">
        <f>IF(ISBLANK(Record!E738),"",Record!E738)</f>
        <v/>
      </c>
      <c r="M737" t="str">
        <f t="shared" si="77"/>
        <v xml:space="preserve">          </v>
      </c>
      <c r="N737" s="227" t="str">
        <f t="shared" si="78"/>
        <v/>
      </c>
      <c r="X737" t="str">
        <f t="shared" si="79"/>
        <v xml:space="preserve">          </v>
      </c>
      <c r="Y737" s="227" t="str">
        <f t="shared" si="80"/>
        <v/>
      </c>
      <c r="Z737" t="str">
        <f t="shared" si="81"/>
        <v/>
      </c>
      <c r="AL737" t="str">
        <f t="shared" si="82"/>
        <v/>
      </c>
      <c r="AM737" t="str">
        <f t="shared" si="83"/>
        <v/>
      </c>
    </row>
    <row r="738" spans="1:39">
      <c r="A738" t="str">
        <f>IF(ISBLANK(Record!A739),"",Record!A739)</f>
        <v/>
      </c>
      <c r="B738" t="str">
        <f>IF(ISBLANK(Record!B739),"",Record!B739)</f>
        <v/>
      </c>
      <c r="C738" s="227" t="str">
        <f>IF(ISBLANK(Record!C739),"",Record!C739)</f>
        <v/>
      </c>
      <c r="D738" t="str">
        <f>IF(ISBLANK(Record!D739),"",Record!D739)</f>
        <v/>
      </c>
      <c r="E738" t="str">
        <f>IF(ISBLANK(Record!E739),"",Record!E739)</f>
        <v/>
      </c>
      <c r="M738" t="str">
        <f t="shared" si="77"/>
        <v xml:space="preserve">          </v>
      </c>
      <c r="N738" s="227" t="str">
        <f t="shared" si="78"/>
        <v/>
      </c>
      <c r="X738" t="str">
        <f t="shared" si="79"/>
        <v xml:space="preserve">          </v>
      </c>
      <c r="Y738" s="227" t="str">
        <f t="shared" si="80"/>
        <v/>
      </c>
      <c r="Z738" t="str">
        <f t="shared" si="81"/>
        <v/>
      </c>
      <c r="AL738" t="str">
        <f t="shared" si="82"/>
        <v/>
      </c>
      <c r="AM738" t="str">
        <f t="shared" si="83"/>
        <v/>
      </c>
    </row>
    <row r="739" spans="1:39">
      <c r="A739" t="str">
        <f>IF(ISBLANK(Record!A740),"",Record!A740)</f>
        <v/>
      </c>
      <c r="B739" t="str">
        <f>IF(ISBLANK(Record!B740),"",Record!B740)</f>
        <v/>
      </c>
      <c r="C739" s="227" t="str">
        <f>IF(ISBLANK(Record!C740),"",Record!C740)</f>
        <v/>
      </c>
      <c r="D739" t="str">
        <f>IF(ISBLANK(Record!D740),"",Record!D740)</f>
        <v/>
      </c>
      <c r="E739" t="str">
        <f>IF(ISBLANK(Record!E740),"",Record!E740)</f>
        <v/>
      </c>
      <c r="M739" t="str">
        <f t="shared" si="77"/>
        <v xml:space="preserve">          </v>
      </c>
      <c r="N739" s="227" t="str">
        <f t="shared" si="78"/>
        <v/>
      </c>
      <c r="X739" t="str">
        <f t="shared" si="79"/>
        <v xml:space="preserve">          </v>
      </c>
      <c r="Y739" s="227" t="str">
        <f t="shared" si="80"/>
        <v/>
      </c>
      <c r="Z739" t="str">
        <f t="shared" si="81"/>
        <v/>
      </c>
      <c r="AL739" t="str">
        <f t="shared" si="82"/>
        <v/>
      </c>
      <c r="AM739" t="str">
        <f t="shared" si="83"/>
        <v/>
      </c>
    </row>
    <row r="740" spans="1:39">
      <c r="A740" t="str">
        <f>IF(ISBLANK(Record!A741),"",Record!A741)</f>
        <v/>
      </c>
      <c r="B740" t="str">
        <f>IF(ISBLANK(Record!B741),"",Record!B741)</f>
        <v/>
      </c>
      <c r="C740" s="227" t="str">
        <f>IF(ISBLANK(Record!C741),"",Record!C741)</f>
        <v/>
      </c>
      <c r="D740" t="str">
        <f>IF(ISBLANK(Record!D741),"",Record!D741)</f>
        <v/>
      </c>
      <c r="E740" t="str">
        <f>IF(ISBLANK(Record!E741),"",Record!E741)</f>
        <v/>
      </c>
      <c r="M740" t="str">
        <f t="shared" si="77"/>
        <v xml:space="preserve">          </v>
      </c>
      <c r="N740" s="227" t="str">
        <f t="shared" si="78"/>
        <v/>
      </c>
      <c r="X740" t="str">
        <f t="shared" si="79"/>
        <v xml:space="preserve">          </v>
      </c>
      <c r="Y740" s="227" t="str">
        <f t="shared" si="80"/>
        <v/>
      </c>
      <c r="Z740" t="str">
        <f t="shared" si="81"/>
        <v/>
      </c>
      <c r="AL740" t="str">
        <f t="shared" si="82"/>
        <v/>
      </c>
      <c r="AM740" t="str">
        <f t="shared" si="83"/>
        <v/>
      </c>
    </row>
    <row r="741" spans="1:39">
      <c r="A741" t="str">
        <f>IF(ISBLANK(Record!A742),"",Record!A742)</f>
        <v/>
      </c>
      <c r="B741" t="str">
        <f>IF(ISBLANK(Record!B742),"",Record!B742)</f>
        <v/>
      </c>
      <c r="C741" s="227" t="str">
        <f>IF(ISBLANK(Record!C742),"",Record!C742)</f>
        <v/>
      </c>
      <c r="D741" t="str">
        <f>IF(ISBLANK(Record!D742),"",Record!D742)</f>
        <v/>
      </c>
      <c r="E741" t="str">
        <f>IF(ISBLANK(Record!E742),"",Record!E742)</f>
        <v/>
      </c>
      <c r="M741" t="str">
        <f t="shared" si="77"/>
        <v xml:space="preserve">          </v>
      </c>
      <c r="N741" s="227" t="str">
        <f t="shared" si="78"/>
        <v/>
      </c>
      <c r="X741" t="str">
        <f t="shared" si="79"/>
        <v xml:space="preserve">          </v>
      </c>
      <c r="Y741" s="227" t="str">
        <f t="shared" si="80"/>
        <v/>
      </c>
      <c r="Z741" t="str">
        <f t="shared" si="81"/>
        <v/>
      </c>
      <c r="AL741" t="str">
        <f t="shared" si="82"/>
        <v/>
      </c>
      <c r="AM741" t="str">
        <f t="shared" si="83"/>
        <v/>
      </c>
    </row>
    <row r="742" spans="1:39">
      <c r="A742" t="str">
        <f>IF(ISBLANK(Record!A743),"",Record!A743)</f>
        <v/>
      </c>
      <c r="B742" t="str">
        <f>IF(ISBLANK(Record!B743),"",Record!B743)</f>
        <v/>
      </c>
      <c r="C742" s="227" t="str">
        <f>IF(ISBLANK(Record!C743),"",Record!C743)</f>
        <v/>
      </c>
      <c r="D742" t="str">
        <f>IF(ISBLANK(Record!D743),"",Record!D743)</f>
        <v/>
      </c>
      <c r="E742" t="str">
        <f>IF(ISBLANK(Record!E743),"",Record!E743)</f>
        <v/>
      </c>
      <c r="M742" t="str">
        <f t="shared" si="77"/>
        <v xml:space="preserve">          </v>
      </c>
      <c r="N742" s="227" t="str">
        <f t="shared" si="78"/>
        <v/>
      </c>
      <c r="X742" t="str">
        <f t="shared" si="79"/>
        <v xml:space="preserve">          </v>
      </c>
      <c r="Y742" s="227" t="str">
        <f t="shared" si="80"/>
        <v/>
      </c>
      <c r="Z742" t="str">
        <f t="shared" si="81"/>
        <v/>
      </c>
      <c r="AL742" t="str">
        <f t="shared" si="82"/>
        <v/>
      </c>
      <c r="AM742" t="str">
        <f t="shared" si="83"/>
        <v/>
      </c>
    </row>
    <row r="743" spans="1:39">
      <c r="A743" t="str">
        <f>IF(ISBLANK(Record!A744),"",Record!A744)</f>
        <v/>
      </c>
      <c r="B743" t="str">
        <f>IF(ISBLANK(Record!B744),"",Record!B744)</f>
        <v/>
      </c>
      <c r="C743" s="227" t="str">
        <f>IF(ISBLANK(Record!C744),"",Record!C744)</f>
        <v/>
      </c>
      <c r="D743" t="str">
        <f>IF(ISBLANK(Record!D744),"",Record!D744)</f>
        <v/>
      </c>
      <c r="E743" t="str">
        <f>IF(ISBLANK(Record!E744),"",Record!E744)</f>
        <v/>
      </c>
      <c r="M743" t="str">
        <f t="shared" si="77"/>
        <v xml:space="preserve">          </v>
      </c>
      <c r="N743" s="227" t="str">
        <f t="shared" si="78"/>
        <v/>
      </c>
      <c r="X743" t="str">
        <f t="shared" si="79"/>
        <v xml:space="preserve">          </v>
      </c>
      <c r="Y743" s="227" t="str">
        <f t="shared" si="80"/>
        <v/>
      </c>
      <c r="Z743" t="str">
        <f t="shared" si="81"/>
        <v/>
      </c>
      <c r="AL743" t="str">
        <f t="shared" si="82"/>
        <v/>
      </c>
      <c r="AM743" t="str">
        <f t="shared" si="83"/>
        <v/>
      </c>
    </row>
    <row r="744" spans="1:39">
      <c r="A744" t="str">
        <f>IF(ISBLANK(Record!A745),"",Record!A745)</f>
        <v/>
      </c>
      <c r="B744" t="str">
        <f>IF(ISBLANK(Record!B745),"",Record!B745)</f>
        <v/>
      </c>
      <c r="C744" s="227" t="str">
        <f>IF(ISBLANK(Record!C745),"",Record!C745)</f>
        <v/>
      </c>
      <c r="D744" t="str">
        <f>IF(ISBLANK(Record!D745),"",Record!D745)</f>
        <v/>
      </c>
      <c r="E744" t="str">
        <f>IF(ISBLANK(Record!E745),"",Record!E745)</f>
        <v/>
      </c>
      <c r="M744" t="str">
        <f t="shared" si="77"/>
        <v xml:space="preserve">          </v>
      </c>
      <c r="N744" s="227" t="str">
        <f t="shared" si="78"/>
        <v/>
      </c>
      <c r="X744" t="str">
        <f t="shared" si="79"/>
        <v xml:space="preserve">          </v>
      </c>
      <c r="Y744" s="227" t="str">
        <f t="shared" si="80"/>
        <v/>
      </c>
      <c r="Z744" t="str">
        <f t="shared" si="81"/>
        <v/>
      </c>
      <c r="AL744" t="str">
        <f t="shared" si="82"/>
        <v/>
      </c>
      <c r="AM744" t="str">
        <f t="shared" si="83"/>
        <v/>
      </c>
    </row>
    <row r="745" spans="1:39">
      <c r="A745" t="str">
        <f>IF(ISBLANK(Record!A746),"",Record!A746)</f>
        <v/>
      </c>
      <c r="B745" t="str">
        <f>IF(ISBLANK(Record!B746),"",Record!B746)</f>
        <v/>
      </c>
      <c r="C745" s="227" t="str">
        <f>IF(ISBLANK(Record!C746),"",Record!C746)</f>
        <v/>
      </c>
      <c r="D745" t="str">
        <f>IF(ISBLANK(Record!D746),"",Record!D746)</f>
        <v/>
      </c>
      <c r="E745" t="str">
        <f>IF(ISBLANK(Record!E746),"",Record!E746)</f>
        <v/>
      </c>
      <c r="M745" t="str">
        <f t="shared" si="77"/>
        <v xml:space="preserve">          </v>
      </c>
      <c r="N745" s="227" t="str">
        <f t="shared" si="78"/>
        <v/>
      </c>
      <c r="X745" t="str">
        <f t="shared" si="79"/>
        <v xml:space="preserve">          </v>
      </c>
      <c r="Y745" s="227" t="str">
        <f t="shared" si="80"/>
        <v/>
      </c>
      <c r="Z745" t="str">
        <f t="shared" si="81"/>
        <v/>
      </c>
      <c r="AL745" t="str">
        <f t="shared" si="82"/>
        <v/>
      </c>
      <c r="AM745" t="str">
        <f t="shared" si="83"/>
        <v/>
      </c>
    </row>
    <row r="746" spans="1:39">
      <c r="A746" t="str">
        <f>IF(ISBLANK(Record!A747),"",Record!A747)</f>
        <v/>
      </c>
      <c r="B746" t="str">
        <f>IF(ISBLANK(Record!B747),"",Record!B747)</f>
        <v/>
      </c>
      <c r="C746" s="227" t="str">
        <f>IF(ISBLANK(Record!C747),"",Record!C747)</f>
        <v/>
      </c>
      <c r="D746" t="str">
        <f>IF(ISBLANK(Record!D747),"",Record!D747)</f>
        <v/>
      </c>
      <c r="E746" t="str">
        <f>IF(ISBLANK(Record!E747),"",Record!E747)</f>
        <v/>
      </c>
      <c r="M746" t="str">
        <f t="shared" si="77"/>
        <v xml:space="preserve">          </v>
      </c>
      <c r="N746" s="227" t="str">
        <f t="shared" si="78"/>
        <v/>
      </c>
      <c r="X746" t="str">
        <f t="shared" si="79"/>
        <v xml:space="preserve">          </v>
      </c>
      <c r="Y746" s="227" t="str">
        <f t="shared" si="80"/>
        <v/>
      </c>
      <c r="Z746" t="str">
        <f t="shared" si="81"/>
        <v/>
      </c>
      <c r="AL746" t="str">
        <f t="shared" si="82"/>
        <v/>
      </c>
      <c r="AM746" t="str">
        <f t="shared" si="83"/>
        <v/>
      </c>
    </row>
    <row r="747" spans="1:39">
      <c r="A747" t="str">
        <f>IF(ISBLANK(Record!A748),"",Record!A748)</f>
        <v/>
      </c>
      <c r="B747" t="str">
        <f>IF(ISBLANK(Record!B748),"",Record!B748)</f>
        <v/>
      </c>
      <c r="C747" s="227" t="str">
        <f>IF(ISBLANK(Record!C748),"",Record!C748)</f>
        <v/>
      </c>
      <c r="D747" t="str">
        <f>IF(ISBLANK(Record!D748),"",Record!D748)</f>
        <v/>
      </c>
      <c r="E747" t="str">
        <f>IF(ISBLANK(Record!E748),"",Record!E748)</f>
        <v/>
      </c>
      <c r="M747" t="str">
        <f t="shared" si="77"/>
        <v xml:space="preserve">          </v>
      </c>
      <c r="N747" s="227" t="str">
        <f t="shared" si="78"/>
        <v/>
      </c>
      <c r="X747" t="str">
        <f t="shared" si="79"/>
        <v xml:space="preserve">          </v>
      </c>
      <c r="Y747" s="227" t="str">
        <f t="shared" si="80"/>
        <v/>
      </c>
      <c r="Z747" t="str">
        <f t="shared" si="81"/>
        <v/>
      </c>
      <c r="AL747" t="str">
        <f t="shared" si="82"/>
        <v/>
      </c>
      <c r="AM747" t="str">
        <f t="shared" si="83"/>
        <v/>
      </c>
    </row>
    <row r="748" spans="1:39">
      <c r="A748" t="str">
        <f>IF(ISBLANK(Record!A749),"",Record!A749)</f>
        <v/>
      </c>
      <c r="B748" t="str">
        <f>IF(ISBLANK(Record!B749),"",Record!B749)</f>
        <v/>
      </c>
      <c r="C748" s="227" t="str">
        <f>IF(ISBLANK(Record!C749),"",Record!C749)</f>
        <v/>
      </c>
      <c r="D748" t="str">
        <f>IF(ISBLANK(Record!D749),"",Record!D749)</f>
        <v/>
      </c>
      <c r="E748" t="str">
        <f>IF(ISBLANK(Record!E749),"",Record!E749)</f>
        <v/>
      </c>
      <c r="M748" t="str">
        <f t="shared" si="77"/>
        <v xml:space="preserve">          </v>
      </c>
      <c r="N748" s="227" t="str">
        <f t="shared" si="78"/>
        <v/>
      </c>
      <c r="X748" t="str">
        <f t="shared" si="79"/>
        <v xml:space="preserve">          </v>
      </c>
      <c r="Y748" s="227" t="str">
        <f t="shared" si="80"/>
        <v/>
      </c>
      <c r="Z748" t="str">
        <f t="shared" si="81"/>
        <v/>
      </c>
      <c r="AL748" t="str">
        <f t="shared" si="82"/>
        <v/>
      </c>
      <c r="AM748" t="str">
        <f t="shared" si="83"/>
        <v/>
      </c>
    </row>
    <row r="749" spans="1:39">
      <c r="A749" t="str">
        <f>IF(ISBLANK(Record!A750),"",Record!A750)</f>
        <v/>
      </c>
      <c r="B749" t="str">
        <f>IF(ISBLANK(Record!B750),"",Record!B750)</f>
        <v/>
      </c>
      <c r="C749" s="227" t="str">
        <f>IF(ISBLANK(Record!C750),"",Record!C750)</f>
        <v/>
      </c>
      <c r="D749" t="str">
        <f>IF(ISBLANK(Record!D750),"",Record!D750)</f>
        <v/>
      </c>
      <c r="E749" t="str">
        <f>IF(ISBLANK(Record!E750),"",Record!E750)</f>
        <v/>
      </c>
      <c r="M749" t="str">
        <f t="shared" si="77"/>
        <v xml:space="preserve">          </v>
      </c>
      <c r="N749" s="227" t="str">
        <f t="shared" si="78"/>
        <v/>
      </c>
      <c r="X749" t="str">
        <f t="shared" si="79"/>
        <v xml:space="preserve">          </v>
      </c>
      <c r="Y749" s="227" t="str">
        <f t="shared" si="80"/>
        <v/>
      </c>
      <c r="Z749" t="str">
        <f t="shared" si="81"/>
        <v/>
      </c>
      <c r="AL749" t="str">
        <f t="shared" si="82"/>
        <v/>
      </c>
      <c r="AM749" t="str">
        <f t="shared" si="83"/>
        <v/>
      </c>
    </row>
    <row r="750" spans="1:39">
      <c r="A750" t="str">
        <f>IF(ISBLANK(Record!A751),"",Record!A751)</f>
        <v/>
      </c>
      <c r="B750" t="str">
        <f>IF(ISBLANK(Record!B751),"",Record!B751)</f>
        <v/>
      </c>
      <c r="C750" s="227" t="str">
        <f>IF(ISBLANK(Record!C751),"",Record!C751)</f>
        <v/>
      </c>
      <c r="D750" t="str">
        <f>IF(ISBLANK(Record!D751),"",Record!D751)</f>
        <v/>
      </c>
      <c r="E750" t="str">
        <f>IF(ISBLANK(Record!E751),"",Record!E751)</f>
        <v/>
      </c>
      <c r="M750" t="str">
        <f t="shared" si="77"/>
        <v xml:space="preserve">          </v>
      </c>
      <c r="N750" s="227" t="str">
        <f t="shared" si="78"/>
        <v/>
      </c>
      <c r="X750" t="str">
        <f t="shared" si="79"/>
        <v xml:space="preserve">          </v>
      </c>
      <c r="Y750" s="227" t="str">
        <f t="shared" si="80"/>
        <v/>
      </c>
      <c r="Z750" t="str">
        <f t="shared" si="81"/>
        <v/>
      </c>
      <c r="AL750" t="str">
        <f t="shared" si="82"/>
        <v/>
      </c>
      <c r="AM750" t="str">
        <f t="shared" si="83"/>
        <v/>
      </c>
    </row>
    <row r="751" spans="1:39">
      <c r="A751" t="str">
        <f>IF(ISBLANK(Record!A752),"",Record!A752)</f>
        <v/>
      </c>
      <c r="B751" t="str">
        <f>IF(ISBLANK(Record!B752),"",Record!B752)</f>
        <v/>
      </c>
      <c r="C751" s="227" t="str">
        <f>IF(ISBLANK(Record!C752),"",Record!C752)</f>
        <v/>
      </c>
      <c r="D751" t="str">
        <f>IF(ISBLANK(Record!D752),"",Record!D752)</f>
        <v/>
      </c>
      <c r="E751" t="str">
        <f>IF(ISBLANK(Record!E752),"",Record!E752)</f>
        <v/>
      </c>
      <c r="M751" t="str">
        <f t="shared" si="77"/>
        <v xml:space="preserve">          </v>
      </c>
      <c r="N751" s="227" t="str">
        <f t="shared" si="78"/>
        <v/>
      </c>
      <c r="X751" t="str">
        <f t="shared" si="79"/>
        <v xml:space="preserve">          </v>
      </c>
      <c r="Y751" s="227" t="str">
        <f t="shared" si="80"/>
        <v/>
      </c>
      <c r="Z751" t="str">
        <f t="shared" si="81"/>
        <v/>
      </c>
      <c r="AL751" t="str">
        <f t="shared" si="82"/>
        <v/>
      </c>
      <c r="AM751" t="str">
        <f t="shared" si="83"/>
        <v/>
      </c>
    </row>
    <row r="752" spans="1:39">
      <c r="A752" t="str">
        <f>IF(ISBLANK(Record!A753),"",Record!A753)</f>
        <v/>
      </c>
      <c r="B752" t="str">
        <f>IF(ISBLANK(Record!B753),"",Record!B753)</f>
        <v/>
      </c>
      <c r="C752" s="227" t="str">
        <f>IF(ISBLANK(Record!C753),"",Record!C753)</f>
        <v/>
      </c>
      <c r="D752" t="str">
        <f>IF(ISBLANK(Record!D753),"",Record!D753)</f>
        <v/>
      </c>
      <c r="E752" t="str">
        <f>IF(ISBLANK(Record!E753),"",Record!E753)</f>
        <v/>
      </c>
      <c r="M752" t="str">
        <f t="shared" si="77"/>
        <v xml:space="preserve">          </v>
      </c>
      <c r="N752" s="227" t="str">
        <f t="shared" si="78"/>
        <v/>
      </c>
      <c r="X752" t="str">
        <f t="shared" si="79"/>
        <v xml:space="preserve">          </v>
      </c>
      <c r="Y752" s="227" t="str">
        <f t="shared" si="80"/>
        <v/>
      </c>
      <c r="Z752" t="str">
        <f t="shared" si="81"/>
        <v/>
      </c>
      <c r="AL752" t="str">
        <f t="shared" si="82"/>
        <v/>
      </c>
      <c r="AM752" t="str">
        <f t="shared" si="83"/>
        <v/>
      </c>
    </row>
    <row r="753" spans="1:39">
      <c r="A753" t="str">
        <f>IF(ISBLANK(Record!A754),"",Record!A754)</f>
        <v/>
      </c>
      <c r="B753" t="str">
        <f>IF(ISBLANK(Record!B754),"",Record!B754)</f>
        <v/>
      </c>
      <c r="C753" s="227" t="str">
        <f>IF(ISBLANK(Record!C754),"",Record!C754)</f>
        <v/>
      </c>
      <c r="D753" t="str">
        <f>IF(ISBLANK(Record!D754),"",Record!D754)</f>
        <v/>
      </c>
      <c r="E753" t="str">
        <f>IF(ISBLANK(Record!E754),"",Record!E754)</f>
        <v/>
      </c>
      <c r="M753" t="str">
        <f t="shared" si="77"/>
        <v xml:space="preserve">          </v>
      </c>
      <c r="N753" s="227" t="str">
        <f t="shared" si="78"/>
        <v/>
      </c>
      <c r="X753" t="str">
        <f t="shared" si="79"/>
        <v xml:space="preserve">          </v>
      </c>
      <c r="Y753" s="227" t="str">
        <f t="shared" si="80"/>
        <v/>
      </c>
      <c r="Z753" t="str">
        <f t="shared" si="81"/>
        <v/>
      </c>
      <c r="AL753" t="str">
        <f t="shared" si="82"/>
        <v/>
      </c>
      <c r="AM753" t="str">
        <f t="shared" si="83"/>
        <v/>
      </c>
    </row>
    <row r="754" spans="1:39">
      <c r="A754" t="str">
        <f>IF(ISBLANK(Record!A755),"",Record!A755)</f>
        <v/>
      </c>
      <c r="B754" t="str">
        <f>IF(ISBLANK(Record!B755),"",Record!B755)</f>
        <v/>
      </c>
      <c r="C754" s="227" t="str">
        <f>IF(ISBLANK(Record!C755),"",Record!C755)</f>
        <v/>
      </c>
      <c r="D754" t="str">
        <f>IF(ISBLANK(Record!D755),"",Record!D755)</f>
        <v/>
      </c>
      <c r="E754" t="str">
        <f>IF(ISBLANK(Record!E755),"",Record!E755)</f>
        <v/>
      </c>
      <c r="M754" t="str">
        <f t="shared" si="77"/>
        <v xml:space="preserve">          </v>
      </c>
      <c r="N754" s="227" t="str">
        <f t="shared" si="78"/>
        <v/>
      </c>
      <c r="X754" t="str">
        <f t="shared" si="79"/>
        <v xml:space="preserve">          </v>
      </c>
      <c r="Y754" s="227" t="str">
        <f t="shared" si="80"/>
        <v/>
      </c>
      <c r="Z754" t="str">
        <f t="shared" si="81"/>
        <v/>
      </c>
      <c r="AL754" t="str">
        <f t="shared" si="82"/>
        <v/>
      </c>
      <c r="AM754" t="str">
        <f t="shared" si="83"/>
        <v/>
      </c>
    </row>
    <row r="755" spans="1:39">
      <c r="A755" t="str">
        <f>IF(ISBLANK(Record!A756),"",Record!A756)</f>
        <v/>
      </c>
      <c r="B755" t="str">
        <f>IF(ISBLANK(Record!B756),"",Record!B756)</f>
        <v/>
      </c>
      <c r="C755" s="227" t="str">
        <f>IF(ISBLANK(Record!C756),"",Record!C756)</f>
        <v/>
      </c>
      <c r="D755" t="str">
        <f>IF(ISBLANK(Record!D756),"",Record!D756)</f>
        <v/>
      </c>
      <c r="E755" t="str">
        <f>IF(ISBLANK(Record!E756),"",Record!E756)</f>
        <v/>
      </c>
      <c r="M755" t="str">
        <f t="shared" si="77"/>
        <v xml:space="preserve">          </v>
      </c>
      <c r="N755" s="227" t="str">
        <f t="shared" si="78"/>
        <v/>
      </c>
      <c r="X755" t="str">
        <f t="shared" si="79"/>
        <v xml:space="preserve">          </v>
      </c>
      <c r="Y755" s="227" t="str">
        <f t="shared" si="80"/>
        <v/>
      </c>
      <c r="Z755" t="str">
        <f t="shared" si="81"/>
        <v/>
      </c>
      <c r="AL755" t="str">
        <f t="shared" si="82"/>
        <v/>
      </c>
      <c r="AM755" t="str">
        <f t="shared" si="83"/>
        <v/>
      </c>
    </row>
    <row r="756" spans="1:39">
      <c r="A756" t="str">
        <f>IF(ISBLANK(Record!A757),"",Record!A757)</f>
        <v/>
      </c>
      <c r="B756" t="str">
        <f>IF(ISBLANK(Record!B757),"",Record!B757)</f>
        <v/>
      </c>
      <c r="C756" s="227" t="str">
        <f>IF(ISBLANK(Record!C757),"",Record!C757)</f>
        <v/>
      </c>
      <c r="D756" t="str">
        <f>IF(ISBLANK(Record!D757),"",Record!D757)</f>
        <v/>
      </c>
      <c r="E756" t="str">
        <f>IF(ISBLANK(Record!E757),"",Record!E757)</f>
        <v/>
      </c>
      <c r="M756" t="str">
        <f t="shared" si="77"/>
        <v xml:space="preserve">          </v>
      </c>
      <c r="N756" s="227" t="str">
        <f t="shared" si="78"/>
        <v/>
      </c>
      <c r="X756" t="str">
        <f t="shared" si="79"/>
        <v xml:space="preserve">          </v>
      </c>
      <c r="Y756" s="227" t="str">
        <f t="shared" si="80"/>
        <v/>
      </c>
      <c r="Z756" t="str">
        <f t="shared" si="81"/>
        <v/>
      </c>
      <c r="AL756" t="str">
        <f t="shared" si="82"/>
        <v/>
      </c>
      <c r="AM756" t="str">
        <f t="shared" si="83"/>
        <v/>
      </c>
    </row>
    <row r="757" spans="1:39">
      <c r="A757" t="str">
        <f>IF(ISBLANK(Record!A758),"",Record!A758)</f>
        <v/>
      </c>
      <c r="B757" t="str">
        <f>IF(ISBLANK(Record!B758),"",Record!B758)</f>
        <v/>
      </c>
      <c r="C757" s="227" t="str">
        <f>IF(ISBLANK(Record!C758),"",Record!C758)</f>
        <v/>
      </c>
      <c r="D757" t="str">
        <f>IF(ISBLANK(Record!D758),"",Record!D758)</f>
        <v/>
      </c>
      <c r="E757" t="str">
        <f>IF(ISBLANK(Record!E758),"",Record!E758)</f>
        <v/>
      </c>
      <c r="M757" t="str">
        <f t="shared" si="77"/>
        <v xml:space="preserve">          </v>
      </c>
      <c r="N757" s="227" t="str">
        <f t="shared" si="78"/>
        <v/>
      </c>
      <c r="X757" t="str">
        <f t="shared" si="79"/>
        <v xml:space="preserve">          </v>
      </c>
      <c r="Y757" s="227" t="str">
        <f t="shared" si="80"/>
        <v/>
      </c>
      <c r="Z757" t="str">
        <f t="shared" si="81"/>
        <v/>
      </c>
      <c r="AL757" t="str">
        <f t="shared" si="82"/>
        <v/>
      </c>
      <c r="AM757" t="str">
        <f t="shared" si="83"/>
        <v/>
      </c>
    </row>
    <row r="758" spans="1:39">
      <c r="A758" t="str">
        <f>IF(ISBLANK(Record!A759),"",Record!A759)</f>
        <v/>
      </c>
      <c r="B758" t="str">
        <f>IF(ISBLANK(Record!B759),"",Record!B759)</f>
        <v/>
      </c>
      <c r="C758" s="227" t="str">
        <f>IF(ISBLANK(Record!C759),"",Record!C759)</f>
        <v/>
      </c>
      <c r="D758" t="str">
        <f>IF(ISBLANK(Record!D759),"",Record!D759)</f>
        <v/>
      </c>
      <c r="E758" t="str">
        <f>IF(ISBLANK(Record!E759),"",Record!E759)</f>
        <v/>
      </c>
      <c r="M758" t="str">
        <f t="shared" si="77"/>
        <v xml:space="preserve">          </v>
      </c>
      <c r="N758" s="227" t="str">
        <f t="shared" si="78"/>
        <v/>
      </c>
      <c r="X758" t="str">
        <f t="shared" si="79"/>
        <v xml:space="preserve">          </v>
      </c>
      <c r="Y758" s="227" t="str">
        <f t="shared" si="80"/>
        <v/>
      </c>
      <c r="Z758" t="str">
        <f t="shared" si="81"/>
        <v/>
      </c>
      <c r="AL758" t="str">
        <f t="shared" si="82"/>
        <v/>
      </c>
      <c r="AM758" t="str">
        <f t="shared" si="83"/>
        <v/>
      </c>
    </row>
    <row r="759" spans="1:39">
      <c r="A759" t="str">
        <f>IF(ISBLANK(Record!A760),"",Record!A760)</f>
        <v/>
      </c>
      <c r="B759" t="str">
        <f>IF(ISBLANK(Record!B760),"",Record!B760)</f>
        <v/>
      </c>
      <c r="C759" s="227" t="str">
        <f>IF(ISBLANK(Record!C760),"",Record!C760)</f>
        <v/>
      </c>
      <c r="D759" t="str">
        <f>IF(ISBLANK(Record!D760),"",Record!D760)</f>
        <v/>
      </c>
      <c r="E759" t="str">
        <f>IF(ISBLANK(Record!E760),"",Record!E760)</f>
        <v/>
      </c>
      <c r="M759" t="str">
        <f t="shared" si="77"/>
        <v xml:space="preserve">          </v>
      </c>
      <c r="N759" s="227" t="str">
        <f t="shared" si="78"/>
        <v/>
      </c>
      <c r="X759" t="str">
        <f t="shared" si="79"/>
        <v xml:space="preserve">          </v>
      </c>
      <c r="Y759" s="227" t="str">
        <f t="shared" si="80"/>
        <v/>
      </c>
      <c r="Z759" t="str">
        <f t="shared" si="81"/>
        <v/>
      </c>
      <c r="AL759" t="str">
        <f t="shared" si="82"/>
        <v/>
      </c>
      <c r="AM759" t="str">
        <f t="shared" si="83"/>
        <v/>
      </c>
    </row>
    <row r="760" spans="1:39">
      <c r="A760" t="str">
        <f>IF(ISBLANK(Record!A761),"",Record!A761)</f>
        <v/>
      </c>
      <c r="B760" t="str">
        <f>IF(ISBLANK(Record!B761),"",Record!B761)</f>
        <v/>
      </c>
      <c r="C760" s="227" t="str">
        <f>IF(ISBLANK(Record!C761),"",Record!C761)</f>
        <v/>
      </c>
      <c r="D760" t="str">
        <f>IF(ISBLANK(Record!D761),"",Record!D761)</f>
        <v/>
      </c>
      <c r="E760" t="str">
        <f>IF(ISBLANK(Record!E761),"",Record!E761)</f>
        <v/>
      </c>
      <c r="M760" t="str">
        <f t="shared" si="77"/>
        <v xml:space="preserve">          </v>
      </c>
      <c r="N760" s="227" t="str">
        <f t="shared" si="78"/>
        <v/>
      </c>
      <c r="X760" t="str">
        <f t="shared" si="79"/>
        <v xml:space="preserve">          </v>
      </c>
      <c r="Y760" s="227" t="str">
        <f t="shared" si="80"/>
        <v/>
      </c>
      <c r="Z760" t="str">
        <f t="shared" si="81"/>
        <v/>
      </c>
      <c r="AL760" t="str">
        <f t="shared" si="82"/>
        <v/>
      </c>
      <c r="AM760" t="str">
        <f t="shared" si="83"/>
        <v/>
      </c>
    </row>
    <row r="761" spans="1:39">
      <c r="A761" t="str">
        <f>IF(ISBLANK(Record!A762),"",Record!A762)</f>
        <v/>
      </c>
      <c r="B761" t="str">
        <f>IF(ISBLANK(Record!B762),"",Record!B762)</f>
        <v/>
      </c>
      <c r="C761" s="227" t="str">
        <f>IF(ISBLANK(Record!C762),"",Record!C762)</f>
        <v/>
      </c>
      <c r="D761" t="str">
        <f>IF(ISBLANK(Record!D762),"",Record!D762)</f>
        <v/>
      </c>
      <c r="E761" t="str">
        <f>IF(ISBLANK(Record!E762),"",Record!E762)</f>
        <v/>
      </c>
      <c r="M761" t="str">
        <f t="shared" si="77"/>
        <v xml:space="preserve">          </v>
      </c>
      <c r="N761" s="227" t="str">
        <f t="shared" si="78"/>
        <v/>
      </c>
      <c r="X761" t="str">
        <f t="shared" si="79"/>
        <v xml:space="preserve">          </v>
      </c>
      <c r="Y761" s="227" t="str">
        <f t="shared" si="80"/>
        <v/>
      </c>
      <c r="Z761" t="str">
        <f t="shared" si="81"/>
        <v/>
      </c>
      <c r="AL761" t="str">
        <f t="shared" si="82"/>
        <v/>
      </c>
      <c r="AM761" t="str">
        <f t="shared" si="83"/>
        <v/>
      </c>
    </row>
    <row r="762" spans="1:39">
      <c r="A762" t="str">
        <f>IF(ISBLANK(Record!A763),"",Record!A763)</f>
        <v/>
      </c>
      <c r="B762" t="str">
        <f>IF(ISBLANK(Record!B763),"",Record!B763)</f>
        <v/>
      </c>
      <c r="C762" s="227" t="str">
        <f>IF(ISBLANK(Record!C763),"",Record!C763)</f>
        <v/>
      </c>
      <c r="D762" t="str">
        <f>IF(ISBLANK(Record!D763),"",Record!D763)</f>
        <v/>
      </c>
      <c r="E762" t="str">
        <f>IF(ISBLANK(Record!E763),"",Record!E763)</f>
        <v/>
      </c>
      <c r="M762" t="str">
        <f t="shared" si="77"/>
        <v xml:space="preserve">          </v>
      </c>
      <c r="N762" s="227" t="str">
        <f t="shared" si="78"/>
        <v/>
      </c>
      <c r="X762" t="str">
        <f t="shared" si="79"/>
        <v xml:space="preserve">          </v>
      </c>
      <c r="Y762" s="227" t="str">
        <f t="shared" si="80"/>
        <v/>
      </c>
      <c r="Z762" t="str">
        <f t="shared" si="81"/>
        <v/>
      </c>
      <c r="AL762" t="str">
        <f t="shared" si="82"/>
        <v/>
      </c>
      <c r="AM762" t="str">
        <f t="shared" si="83"/>
        <v/>
      </c>
    </row>
    <row r="763" spans="1:39">
      <c r="A763" t="str">
        <f>IF(ISBLANK(Record!A764),"",Record!A764)</f>
        <v/>
      </c>
      <c r="B763" t="str">
        <f>IF(ISBLANK(Record!B764),"",Record!B764)</f>
        <v/>
      </c>
      <c r="C763" s="227" t="str">
        <f>IF(ISBLANK(Record!C764),"",Record!C764)</f>
        <v/>
      </c>
      <c r="D763" t="str">
        <f>IF(ISBLANK(Record!D764),"",Record!D764)</f>
        <v/>
      </c>
      <c r="E763" t="str">
        <f>IF(ISBLANK(Record!E764),"",Record!E764)</f>
        <v/>
      </c>
      <c r="M763" t="str">
        <f t="shared" si="77"/>
        <v xml:space="preserve">          </v>
      </c>
      <c r="N763" s="227" t="str">
        <f t="shared" si="78"/>
        <v/>
      </c>
      <c r="X763" t="str">
        <f t="shared" si="79"/>
        <v xml:space="preserve">          </v>
      </c>
      <c r="Y763" s="227" t="str">
        <f t="shared" si="80"/>
        <v/>
      </c>
      <c r="Z763" t="str">
        <f t="shared" si="81"/>
        <v/>
      </c>
      <c r="AL763" t="str">
        <f t="shared" si="82"/>
        <v/>
      </c>
      <c r="AM763" t="str">
        <f t="shared" si="83"/>
        <v/>
      </c>
    </row>
    <row r="764" spans="1:39">
      <c r="A764" t="str">
        <f>IF(ISBLANK(Record!A765),"",Record!A765)</f>
        <v/>
      </c>
      <c r="B764" t="str">
        <f>IF(ISBLANK(Record!B765),"",Record!B765)</f>
        <v/>
      </c>
      <c r="C764" s="227" t="str">
        <f>IF(ISBLANK(Record!C765),"",Record!C765)</f>
        <v/>
      </c>
      <c r="D764" t="str">
        <f>IF(ISBLANK(Record!D765),"",Record!D765)</f>
        <v/>
      </c>
      <c r="E764" t="str">
        <f>IF(ISBLANK(Record!E765),"",Record!E765)</f>
        <v/>
      </c>
      <c r="M764" t="str">
        <f t="shared" si="77"/>
        <v xml:space="preserve">          </v>
      </c>
      <c r="N764" s="227" t="str">
        <f t="shared" si="78"/>
        <v/>
      </c>
      <c r="X764" t="str">
        <f t="shared" si="79"/>
        <v xml:space="preserve">          </v>
      </c>
      <c r="Y764" s="227" t="str">
        <f t="shared" si="80"/>
        <v/>
      </c>
      <c r="Z764" t="str">
        <f t="shared" si="81"/>
        <v/>
      </c>
      <c r="AL764" t="str">
        <f t="shared" si="82"/>
        <v/>
      </c>
      <c r="AM764" t="str">
        <f t="shared" si="83"/>
        <v/>
      </c>
    </row>
    <row r="765" spans="1:39">
      <c r="A765" t="str">
        <f>IF(ISBLANK(Record!A766),"",Record!A766)</f>
        <v/>
      </c>
      <c r="B765" t="str">
        <f>IF(ISBLANK(Record!B766),"",Record!B766)</f>
        <v/>
      </c>
      <c r="C765" s="227" t="str">
        <f>IF(ISBLANK(Record!C766),"",Record!C766)</f>
        <v/>
      </c>
      <c r="D765" t="str">
        <f>IF(ISBLANK(Record!D766),"",Record!D766)</f>
        <v/>
      </c>
      <c r="E765" t="str">
        <f>IF(ISBLANK(Record!E766),"",Record!E766)</f>
        <v/>
      </c>
      <c r="M765" t="str">
        <f t="shared" si="77"/>
        <v xml:space="preserve">          </v>
      </c>
      <c r="N765" s="227" t="str">
        <f t="shared" si="78"/>
        <v/>
      </c>
      <c r="X765" t="str">
        <f t="shared" si="79"/>
        <v xml:space="preserve">          </v>
      </c>
      <c r="Y765" s="227" t="str">
        <f t="shared" si="80"/>
        <v/>
      </c>
      <c r="Z765" t="str">
        <f t="shared" si="81"/>
        <v/>
      </c>
      <c r="AL765" t="str">
        <f t="shared" si="82"/>
        <v/>
      </c>
      <c r="AM765" t="str">
        <f t="shared" si="83"/>
        <v/>
      </c>
    </row>
    <row r="766" spans="1:39">
      <c r="A766" t="str">
        <f>IF(ISBLANK(Record!A767),"",Record!A767)</f>
        <v/>
      </c>
      <c r="B766" t="str">
        <f>IF(ISBLANK(Record!B767),"",Record!B767)</f>
        <v/>
      </c>
      <c r="C766" s="227" t="str">
        <f>IF(ISBLANK(Record!C767),"",Record!C767)</f>
        <v/>
      </c>
      <c r="D766" t="str">
        <f>IF(ISBLANK(Record!D767),"",Record!D767)</f>
        <v/>
      </c>
      <c r="E766" t="str">
        <f>IF(ISBLANK(Record!E767),"",Record!E767)</f>
        <v/>
      </c>
      <c r="M766" t="str">
        <f t="shared" si="77"/>
        <v xml:space="preserve">          </v>
      </c>
      <c r="N766" s="227" t="str">
        <f t="shared" si="78"/>
        <v/>
      </c>
      <c r="X766" t="str">
        <f t="shared" si="79"/>
        <v xml:space="preserve">          </v>
      </c>
      <c r="Y766" s="227" t="str">
        <f t="shared" si="80"/>
        <v/>
      </c>
      <c r="Z766" t="str">
        <f t="shared" si="81"/>
        <v/>
      </c>
      <c r="AL766" t="str">
        <f t="shared" si="82"/>
        <v/>
      </c>
      <c r="AM766" t="str">
        <f t="shared" si="83"/>
        <v/>
      </c>
    </row>
    <row r="767" spans="1:39">
      <c r="A767" t="str">
        <f>IF(ISBLANK(Record!A768),"",Record!A768)</f>
        <v/>
      </c>
      <c r="B767" t="str">
        <f>IF(ISBLANK(Record!B768),"",Record!B768)</f>
        <v/>
      </c>
      <c r="C767" s="227" t="str">
        <f>IF(ISBLANK(Record!C768),"",Record!C768)</f>
        <v/>
      </c>
      <c r="D767" t="str">
        <f>IF(ISBLANK(Record!D768),"",Record!D768)</f>
        <v/>
      </c>
      <c r="E767" t="str">
        <f>IF(ISBLANK(Record!E768),"",Record!E768)</f>
        <v/>
      </c>
      <c r="M767" t="str">
        <f t="shared" si="77"/>
        <v xml:space="preserve">          </v>
      </c>
      <c r="N767" s="227" t="str">
        <f t="shared" si="78"/>
        <v/>
      </c>
      <c r="X767" t="str">
        <f t="shared" si="79"/>
        <v xml:space="preserve">          </v>
      </c>
      <c r="Y767" s="227" t="str">
        <f t="shared" si="80"/>
        <v/>
      </c>
      <c r="Z767" t="str">
        <f t="shared" si="81"/>
        <v/>
      </c>
      <c r="AL767" t="str">
        <f t="shared" si="82"/>
        <v/>
      </c>
      <c r="AM767" t="str">
        <f t="shared" si="83"/>
        <v/>
      </c>
    </row>
    <row r="768" spans="1:39">
      <c r="A768" t="str">
        <f>IF(ISBLANK(Record!A769),"",Record!A769)</f>
        <v/>
      </c>
      <c r="B768" t="str">
        <f>IF(ISBLANK(Record!B769),"",Record!B769)</f>
        <v/>
      </c>
      <c r="C768" s="227" t="str">
        <f>IF(ISBLANK(Record!C769),"",Record!C769)</f>
        <v/>
      </c>
      <c r="D768" t="str">
        <f>IF(ISBLANK(Record!D769),"",Record!D769)</f>
        <v/>
      </c>
      <c r="E768" t="str">
        <f>IF(ISBLANK(Record!E769),"",Record!E769)</f>
        <v/>
      </c>
      <c r="M768" t="str">
        <f t="shared" si="77"/>
        <v xml:space="preserve">          </v>
      </c>
      <c r="N768" s="227" t="str">
        <f t="shared" si="78"/>
        <v/>
      </c>
      <c r="X768" t="str">
        <f t="shared" si="79"/>
        <v xml:space="preserve">          </v>
      </c>
      <c r="Y768" s="227" t="str">
        <f t="shared" si="80"/>
        <v/>
      </c>
      <c r="Z768" t="str">
        <f t="shared" si="81"/>
        <v/>
      </c>
      <c r="AL768" t="str">
        <f t="shared" si="82"/>
        <v/>
      </c>
      <c r="AM768" t="str">
        <f t="shared" si="83"/>
        <v/>
      </c>
    </row>
    <row r="769" spans="1:39">
      <c r="A769" t="str">
        <f>IF(ISBLANK(Record!A770),"",Record!A770)</f>
        <v/>
      </c>
      <c r="B769" t="str">
        <f>IF(ISBLANK(Record!B770),"",Record!B770)</f>
        <v/>
      </c>
      <c r="C769" s="227" t="str">
        <f>IF(ISBLANK(Record!C770),"",Record!C770)</f>
        <v/>
      </c>
      <c r="D769" t="str">
        <f>IF(ISBLANK(Record!D770),"",Record!D770)</f>
        <v/>
      </c>
      <c r="E769" t="str">
        <f>IF(ISBLANK(Record!E770),"",Record!E770)</f>
        <v/>
      </c>
      <c r="M769" t="str">
        <f t="shared" si="77"/>
        <v xml:space="preserve">          </v>
      </c>
      <c r="N769" s="227" t="str">
        <f t="shared" si="78"/>
        <v/>
      </c>
      <c r="X769" t="str">
        <f t="shared" si="79"/>
        <v xml:space="preserve">          </v>
      </c>
      <c r="Y769" s="227" t="str">
        <f t="shared" si="80"/>
        <v/>
      </c>
      <c r="Z769" t="str">
        <f t="shared" si="81"/>
        <v/>
      </c>
      <c r="AL769" t="str">
        <f t="shared" si="82"/>
        <v/>
      </c>
      <c r="AM769" t="str">
        <f t="shared" si="83"/>
        <v/>
      </c>
    </row>
    <row r="770" spans="1:39">
      <c r="A770" t="str">
        <f>IF(ISBLANK(Record!A771),"",Record!A771)</f>
        <v/>
      </c>
      <c r="B770" t="str">
        <f>IF(ISBLANK(Record!B771),"",Record!B771)</f>
        <v/>
      </c>
      <c r="C770" s="227" t="str">
        <f>IF(ISBLANK(Record!C771),"",Record!C771)</f>
        <v/>
      </c>
      <c r="D770" t="str">
        <f>IF(ISBLANK(Record!D771),"",Record!D771)</f>
        <v/>
      </c>
      <c r="E770" t="str">
        <f>IF(ISBLANK(Record!E771),"",Record!E771)</f>
        <v/>
      </c>
      <c r="M770" t="str">
        <f t="shared" si="77"/>
        <v xml:space="preserve">          </v>
      </c>
      <c r="N770" s="227" t="str">
        <f t="shared" si="78"/>
        <v/>
      </c>
      <c r="X770" t="str">
        <f t="shared" si="79"/>
        <v xml:space="preserve">          </v>
      </c>
      <c r="Y770" s="227" t="str">
        <f t="shared" si="80"/>
        <v/>
      </c>
      <c r="Z770" t="str">
        <f t="shared" si="81"/>
        <v/>
      </c>
      <c r="AL770" t="str">
        <f t="shared" si="82"/>
        <v/>
      </c>
      <c r="AM770" t="str">
        <f t="shared" si="83"/>
        <v/>
      </c>
    </row>
    <row r="771" spans="1:39">
      <c r="A771" t="str">
        <f>IF(ISBLANK(Record!A772),"",Record!A772)</f>
        <v/>
      </c>
      <c r="B771" t="str">
        <f>IF(ISBLANK(Record!B772),"",Record!B772)</f>
        <v/>
      </c>
      <c r="C771" s="227" t="str">
        <f>IF(ISBLANK(Record!C772),"",Record!C772)</f>
        <v/>
      </c>
      <c r="D771" t="str">
        <f>IF(ISBLANK(Record!D772),"",Record!D772)</f>
        <v/>
      </c>
      <c r="E771" t="str">
        <f>IF(ISBLANK(Record!E772),"",Record!E772)</f>
        <v/>
      </c>
      <c r="M771" t="str">
        <f t="shared" ref="M771:M834" si="84">RIGHT("                                   " &amp; A771,10)</f>
        <v xml:space="preserve">          </v>
      </c>
      <c r="N771" s="227" t="str">
        <f t="shared" ref="N771:N834" si="85">RIGHT(C771,16)</f>
        <v/>
      </c>
      <c r="X771" t="str">
        <f t="shared" ref="X771:X834" si="86">RIGHT("                                   " &amp; A771,10)</f>
        <v xml:space="preserve">          </v>
      </c>
      <c r="Y771" s="227" t="str">
        <f t="shared" ref="Y771:Y834" si="87">RIGHT(C771,16)</f>
        <v/>
      </c>
      <c r="Z771" t="str">
        <f t="shared" ref="Z771:Z834" si="88">RIGHT(D771,8)</f>
        <v/>
      </c>
      <c r="AL771" t="str">
        <f t="shared" ref="AL771:AL834" si="89">D771</f>
        <v/>
      </c>
      <c r="AM771" t="str">
        <f t="shared" ref="AM771:AM834" si="90">IF(E771&lt;&gt;AL771,E771,E771)</f>
        <v/>
      </c>
    </row>
    <row r="772" spans="1:39">
      <c r="A772" t="str">
        <f>IF(ISBLANK(Record!A773),"",Record!A773)</f>
        <v/>
      </c>
      <c r="B772" t="str">
        <f>IF(ISBLANK(Record!B773),"",Record!B773)</f>
        <v/>
      </c>
      <c r="C772" s="227" t="str">
        <f>IF(ISBLANK(Record!C773),"",Record!C773)</f>
        <v/>
      </c>
      <c r="D772" t="str">
        <f>IF(ISBLANK(Record!D773),"",Record!D773)</f>
        <v/>
      </c>
      <c r="E772" t="str">
        <f>IF(ISBLANK(Record!E773),"",Record!E773)</f>
        <v/>
      </c>
      <c r="M772" t="str">
        <f t="shared" si="84"/>
        <v xml:space="preserve">          </v>
      </c>
      <c r="N772" s="227" t="str">
        <f t="shared" si="85"/>
        <v/>
      </c>
      <c r="X772" t="str">
        <f t="shared" si="86"/>
        <v xml:space="preserve">          </v>
      </c>
      <c r="Y772" s="227" t="str">
        <f t="shared" si="87"/>
        <v/>
      </c>
      <c r="Z772" t="str">
        <f t="shared" si="88"/>
        <v/>
      </c>
      <c r="AL772" t="str">
        <f t="shared" si="89"/>
        <v/>
      </c>
      <c r="AM772" t="str">
        <f t="shared" si="90"/>
        <v/>
      </c>
    </row>
    <row r="773" spans="1:39">
      <c r="A773" t="str">
        <f>IF(ISBLANK(Record!A774),"",Record!A774)</f>
        <v/>
      </c>
      <c r="B773" t="str">
        <f>IF(ISBLANK(Record!B774),"",Record!B774)</f>
        <v/>
      </c>
      <c r="C773" s="227" t="str">
        <f>IF(ISBLANK(Record!C774),"",Record!C774)</f>
        <v/>
      </c>
      <c r="D773" t="str">
        <f>IF(ISBLANK(Record!D774),"",Record!D774)</f>
        <v/>
      </c>
      <c r="E773" t="str">
        <f>IF(ISBLANK(Record!E774),"",Record!E774)</f>
        <v/>
      </c>
      <c r="M773" t="str">
        <f t="shared" si="84"/>
        <v xml:space="preserve">          </v>
      </c>
      <c r="N773" s="227" t="str">
        <f t="shared" si="85"/>
        <v/>
      </c>
      <c r="X773" t="str">
        <f t="shared" si="86"/>
        <v xml:space="preserve">          </v>
      </c>
      <c r="Y773" s="227" t="str">
        <f t="shared" si="87"/>
        <v/>
      </c>
      <c r="Z773" t="str">
        <f t="shared" si="88"/>
        <v/>
      </c>
      <c r="AL773" t="str">
        <f t="shared" si="89"/>
        <v/>
      </c>
      <c r="AM773" t="str">
        <f t="shared" si="90"/>
        <v/>
      </c>
    </row>
    <row r="774" spans="1:39">
      <c r="A774" t="str">
        <f>IF(ISBLANK(Record!A775),"",Record!A775)</f>
        <v/>
      </c>
      <c r="B774" t="str">
        <f>IF(ISBLANK(Record!B775),"",Record!B775)</f>
        <v/>
      </c>
      <c r="C774" s="227" t="str">
        <f>IF(ISBLANK(Record!C775),"",Record!C775)</f>
        <v/>
      </c>
      <c r="D774" t="str">
        <f>IF(ISBLANK(Record!D775),"",Record!D775)</f>
        <v/>
      </c>
      <c r="E774" t="str">
        <f>IF(ISBLANK(Record!E775),"",Record!E775)</f>
        <v/>
      </c>
      <c r="M774" t="str">
        <f t="shared" si="84"/>
        <v xml:space="preserve">          </v>
      </c>
      <c r="N774" s="227" t="str">
        <f t="shared" si="85"/>
        <v/>
      </c>
      <c r="X774" t="str">
        <f t="shared" si="86"/>
        <v xml:space="preserve">          </v>
      </c>
      <c r="Y774" s="227" t="str">
        <f t="shared" si="87"/>
        <v/>
      </c>
      <c r="Z774" t="str">
        <f t="shared" si="88"/>
        <v/>
      </c>
      <c r="AL774" t="str">
        <f t="shared" si="89"/>
        <v/>
      </c>
      <c r="AM774" t="str">
        <f t="shared" si="90"/>
        <v/>
      </c>
    </row>
    <row r="775" spans="1:39">
      <c r="A775" t="str">
        <f>IF(ISBLANK(Record!A776),"",Record!A776)</f>
        <v/>
      </c>
      <c r="B775" t="str">
        <f>IF(ISBLANK(Record!B776),"",Record!B776)</f>
        <v/>
      </c>
      <c r="C775" s="227" t="str">
        <f>IF(ISBLANK(Record!C776),"",Record!C776)</f>
        <v/>
      </c>
      <c r="D775" t="str">
        <f>IF(ISBLANK(Record!D776),"",Record!D776)</f>
        <v/>
      </c>
      <c r="E775" t="str">
        <f>IF(ISBLANK(Record!E776),"",Record!E776)</f>
        <v/>
      </c>
      <c r="M775" t="str">
        <f t="shared" si="84"/>
        <v xml:space="preserve">          </v>
      </c>
      <c r="N775" s="227" t="str">
        <f t="shared" si="85"/>
        <v/>
      </c>
      <c r="X775" t="str">
        <f t="shared" si="86"/>
        <v xml:space="preserve">          </v>
      </c>
      <c r="Y775" s="227" t="str">
        <f t="shared" si="87"/>
        <v/>
      </c>
      <c r="Z775" t="str">
        <f t="shared" si="88"/>
        <v/>
      </c>
      <c r="AL775" t="str">
        <f t="shared" si="89"/>
        <v/>
      </c>
      <c r="AM775" t="str">
        <f t="shared" si="90"/>
        <v/>
      </c>
    </row>
    <row r="776" spans="1:39">
      <c r="A776" t="str">
        <f>IF(ISBLANK(Record!A777),"",Record!A777)</f>
        <v/>
      </c>
      <c r="B776" t="str">
        <f>IF(ISBLANK(Record!B777),"",Record!B777)</f>
        <v/>
      </c>
      <c r="C776" s="227" t="str">
        <f>IF(ISBLANK(Record!C777),"",Record!C777)</f>
        <v/>
      </c>
      <c r="D776" t="str">
        <f>IF(ISBLANK(Record!D777),"",Record!D777)</f>
        <v/>
      </c>
      <c r="E776" t="str">
        <f>IF(ISBLANK(Record!E777),"",Record!E777)</f>
        <v/>
      </c>
      <c r="M776" t="str">
        <f t="shared" si="84"/>
        <v xml:space="preserve">          </v>
      </c>
      <c r="N776" s="227" t="str">
        <f t="shared" si="85"/>
        <v/>
      </c>
      <c r="X776" t="str">
        <f t="shared" si="86"/>
        <v xml:space="preserve">          </v>
      </c>
      <c r="Y776" s="227" t="str">
        <f t="shared" si="87"/>
        <v/>
      </c>
      <c r="Z776" t="str">
        <f t="shared" si="88"/>
        <v/>
      </c>
      <c r="AL776" t="str">
        <f t="shared" si="89"/>
        <v/>
      </c>
      <c r="AM776" t="str">
        <f t="shared" si="90"/>
        <v/>
      </c>
    </row>
    <row r="777" spans="1:39">
      <c r="A777" t="str">
        <f>IF(ISBLANK(Record!A778),"",Record!A778)</f>
        <v/>
      </c>
      <c r="B777" t="str">
        <f>IF(ISBLANK(Record!B778),"",Record!B778)</f>
        <v/>
      </c>
      <c r="C777" s="227" t="str">
        <f>IF(ISBLANK(Record!C778),"",Record!C778)</f>
        <v/>
      </c>
      <c r="D777" t="str">
        <f>IF(ISBLANK(Record!D778),"",Record!D778)</f>
        <v/>
      </c>
      <c r="E777" t="str">
        <f>IF(ISBLANK(Record!E778),"",Record!E778)</f>
        <v/>
      </c>
      <c r="M777" t="str">
        <f t="shared" si="84"/>
        <v xml:space="preserve">          </v>
      </c>
      <c r="N777" s="227" t="str">
        <f t="shared" si="85"/>
        <v/>
      </c>
      <c r="X777" t="str">
        <f t="shared" si="86"/>
        <v xml:space="preserve">          </v>
      </c>
      <c r="Y777" s="227" t="str">
        <f t="shared" si="87"/>
        <v/>
      </c>
      <c r="Z777" t="str">
        <f t="shared" si="88"/>
        <v/>
      </c>
      <c r="AL777" t="str">
        <f t="shared" si="89"/>
        <v/>
      </c>
      <c r="AM777" t="str">
        <f t="shared" si="90"/>
        <v/>
      </c>
    </row>
    <row r="778" spans="1:39">
      <c r="A778" t="str">
        <f>IF(ISBLANK(Record!A779),"",Record!A779)</f>
        <v/>
      </c>
      <c r="B778" t="str">
        <f>IF(ISBLANK(Record!B779),"",Record!B779)</f>
        <v/>
      </c>
      <c r="C778" s="227" t="str">
        <f>IF(ISBLANK(Record!C779),"",Record!C779)</f>
        <v/>
      </c>
      <c r="D778" t="str">
        <f>IF(ISBLANK(Record!D779),"",Record!D779)</f>
        <v/>
      </c>
      <c r="E778" t="str">
        <f>IF(ISBLANK(Record!E779),"",Record!E779)</f>
        <v/>
      </c>
      <c r="M778" t="str">
        <f t="shared" si="84"/>
        <v xml:space="preserve">          </v>
      </c>
      <c r="N778" s="227" t="str">
        <f t="shared" si="85"/>
        <v/>
      </c>
      <c r="X778" t="str">
        <f t="shared" si="86"/>
        <v xml:space="preserve">          </v>
      </c>
      <c r="Y778" s="227" t="str">
        <f t="shared" si="87"/>
        <v/>
      </c>
      <c r="Z778" t="str">
        <f t="shared" si="88"/>
        <v/>
      </c>
      <c r="AL778" t="str">
        <f t="shared" si="89"/>
        <v/>
      </c>
      <c r="AM778" t="str">
        <f t="shared" si="90"/>
        <v/>
      </c>
    </row>
    <row r="779" spans="1:39">
      <c r="A779" t="str">
        <f>IF(ISBLANK(Record!A780),"",Record!A780)</f>
        <v/>
      </c>
      <c r="B779" t="str">
        <f>IF(ISBLANK(Record!B780),"",Record!B780)</f>
        <v/>
      </c>
      <c r="C779" s="227" t="str">
        <f>IF(ISBLANK(Record!C780),"",Record!C780)</f>
        <v/>
      </c>
      <c r="D779" t="str">
        <f>IF(ISBLANK(Record!D780),"",Record!D780)</f>
        <v/>
      </c>
      <c r="E779" t="str">
        <f>IF(ISBLANK(Record!E780),"",Record!E780)</f>
        <v/>
      </c>
      <c r="M779" t="str">
        <f t="shared" si="84"/>
        <v xml:space="preserve">          </v>
      </c>
      <c r="N779" s="227" t="str">
        <f t="shared" si="85"/>
        <v/>
      </c>
      <c r="X779" t="str">
        <f t="shared" si="86"/>
        <v xml:space="preserve">          </v>
      </c>
      <c r="Y779" s="227" t="str">
        <f t="shared" si="87"/>
        <v/>
      </c>
      <c r="Z779" t="str">
        <f t="shared" si="88"/>
        <v/>
      </c>
      <c r="AL779" t="str">
        <f t="shared" si="89"/>
        <v/>
      </c>
      <c r="AM779" t="str">
        <f t="shared" si="90"/>
        <v/>
      </c>
    </row>
    <row r="780" spans="1:39">
      <c r="A780" t="str">
        <f>IF(ISBLANK(Record!A781),"",Record!A781)</f>
        <v/>
      </c>
      <c r="B780" t="str">
        <f>IF(ISBLANK(Record!B781),"",Record!B781)</f>
        <v/>
      </c>
      <c r="C780" s="227" t="str">
        <f>IF(ISBLANK(Record!C781),"",Record!C781)</f>
        <v/>
      </c>
      <c r="D780" t="str">
        <f>IF(ISBLANK(Record!D781),"",Record!D781)</f>
        <v/>
      </c>
      <c r="E780" t="str">
        <f>IF(ISBLANK(Record!E781),"",Record!E781)</f>
        <v/>
      </c>
      <c r="M780" t="str">
        <f t="shared" si="84"/>
        <v xml:space="preserve">          </v>
      </c>
      <c r="N780" s="227" t="str">
        <f t="shared" si="85"/>
        <v/>
      </c>
      <c r="X780" t="str">
        <f t="shared" si="86"/>
        <v xml:space="preserve">          </v>
      </c>
      <c r="Y780" s="227" t="str">
        <f t="shared" si="87"/>
        <v/>
      </c>
      <c r="Z780" t="str">
        <f t="shared" si="88"/>
        <v/>
      </c>
      <c r="AL780" t="str">
        <f t="shared" si="89"/>
        <v/>
      </c>
      <c r="AM780" t="str">
        <f t="shared" si="90"/>
        <v/>
      </c>
    </row>
    <row r="781" spans="1:39">
      <c r="A781" t="str">
        <f>IF(ISBLANK(Record!A782),"",Record!A782)</f>
        <v/>
      </c>
      <c r="B781" t="str">
        <f>IF(ISBLANK(Record!B782),"",Record!B782)</f>
        <v/>
      </c>
      <c r="C781" s="227" t="str">
        <f>IF(ISBLANK(Record!C782),"",Record!C782)</f>
        <v/>
      </c>
      <c r="D781" t="str">
        <f>IF(ISBLANK(Record!D782),"",Record!D782)</f>
        <v/>
      </c>
      <c r="E781" t="str">
        <f>IF(ISBLANK(Record!E782),"",Record!E782)</f>
        <v/>
      </c>
      <c r="M781" t="str">
        <f t="shared" si="84"/>
        <v xml:space="preserve">          </v>
      </c>
      <c r="N781" s="227" t="str">
        <f t="shared" si="85"/>
        <v/>
      </c>
      <c r="X781" t="str">
        <f t="shared" si="86"/>
        <v xml:space="preserve">          </v>
      </c>
      <c r="Y781" s="227" t="str">
        <f t="shared" si="87"/>
        <v/>
      </c>
      <c r="Z781" t="str">
        <f t="shared" si="88"/>
        <v/>
      </c>
      <c r="AL781" t="str">
        <f t="shared" si="89"/>
        <v/>
      </c>
      <c r="AM781" t="str">
        <f t="shared" si="90"/>
        <v/>
      </c>
    </row>
    <row r="782" spans="1:39">
      <c r="A782" t="str">
        <f>IF(ISBLANK(Record!A783),"",Record!A783)</f>
        <v/>
      </c>
      <c r="B782" t="str">
        <f>IF(ISBLANK(Record!B783),"",Record!B783)</f>
        <v/>
      </c>
      <c r="C782" s="227" t="str">
        <f>IF(ISBLANK(Record!C783),"",Record!C783)</f>
        <v/>
      </c>
      <c r="D782" t="str">
        <f>IF(ISBLANK(Record!D783),"",Record!D783)</f>
        <v/>
      </c>
      <c r="E782" t="str">
        <f>IF(ISBLANK(Record!E783),"",Record!E783)</f>
        <v/>
      </c>
      <c r="M782" t="str">
        <f t="shared" si="84"/>
        <v xml:space="preserve">          </v>
      </c>
      <c r="N782" s="227" t="str">
        <f t="shared" si="85"/>
        <v/>
      </c>
      <c r="X782" t="str">
        <f t="shared" si="86"/>
        <v xml:space="preserve">          </v>
      </c>
      <c r="Y782" s="227" t="str">
        <f t="shared" si="87"/>
        <v/>
      </c>
      <c r="Z782" t="str">
        <f t="shared" si="88"/>
        <v/>
      </c>
      <c r="AL782" t="str">
        <f t="shared" si="89"/>
        <v/>
      </c>
      <c r="AM782" t="str">
        <f t="shared" si="90"/>
        <v/>
      </c>
    </row>
    <row r="783" spans="1:39">
      <c r="A783" t="str">
        <f>IF(ISBLANK(Record!A784),"",Record!A784)</f>
        <v/>
      </c>
      <c r="B783" t="str">
        <f>IF(ISBLANK(Record!B784),"",Record!B784)</f>
        <v/>
      </c>
      <c r="C783" s="227" t="str">
        <f>IF(ISBLANK(Record!C784),"",Record!C784)</f>
        <v/>
      </c>
      <c r="D783" t="str">
        <f>IF(ISBLANK(Record!D784),"",Record!D784)</f>
        <v/>
      </c>
      <c r="E783" t="str">
        <f>IF(ISBLANK(Record!E784),"",Record!E784)</f>
        <v/>
      </c>
      <c r="M783" t="str">
        <f t="shared" si="84"/>
        <v xml:space="preserve">          </v>
      </c>
      <c r="N783" s="227" t="str">
        <f t="shared" si="85"/>
        <v/>
      </c>
      <c r="X783" t="str">
        <f t="shared" si="86"/>
        <v xml:space="preserve">          </v>
      </c>
      <c r="Y783" s="227" t="str">
        <f t="shared" si="87"/>
        <v/>
      </c>
      <c r="Z783" t="str">
        <f t="shared" si="88"/>
        <v/>
      </c>
      <c r="AL783" t="str">
        <f t="shared" si="89"/>
        <v/>
      </c>
      <c r="AM783" t="str">
        <f t="shared" si="90"/>
        <v/>
      </c>
    </row>
    <row r="784" spans="1:39">
      <c r="A784" t="str">
        <f>IF(ISBLANK(Record!A785),"",Record!A785)</f>
        <v/>
      </c>
      <c r="B784" t="str">
        <f>IF(ISBLANK(Record!B785),"",Record!B785)</f>
        <v/>
      </c>
      <c r="C784" s="227" t="str">
        <f>IF(ISBLANK(Record!C785),"",Record!C785)</f>
        <v/>
      </c>
      <c r="D784" t="str">
        <f>IF(ISBLANK(Record!D785),"",Record!D785)</f>
        <v/>
      </c>
      <c r="E784" t="str">
        <f>IF(ISBLANK(Record!E785),"",Record!E785)</f>
        <v/>
      </c>
      <c r="M784" t="str">
        <f t="shared" si="84"/>
        <v xml:space="preserve">          </v>
      </c>
      <c r="N784" s="227" t="str">
        <f t="shared" si="85"/>
        <v/>
      </c>
      <c r="X784" t="str">
        <f t="shared" si="86"/>
        <v xml:space="preserve">          </v>
      </c>
      <c r="Y784" s="227" t="str">
        <f t="shared" si="87"/>
        <v/>
      </c>
      <c r="Z784" t="str">
        <f t="shared" si="88"/>
        <v/>
      </c>
      <c r="AL784" t="str">
        <f t="shared" si="89"/>
        <v/>
      </c>
      <c r="AM784" t="str">
        <f t="shared" si="90"/>
        <v/>
      </c>
    </row>
    <row r="785" spans="1:39">
      <c r="A785" t="str">
        <f>IF(ISBLANK(Record!A786),"",Record!A786)</f>
        <v/>
      </c>
      <c r="B785" t="str">
        <f>IF(ISBLANK(Record!B786),"",Record!B786)</f>
        <v/>
      </c>
      <c r="C785" s="227" t="str">
        <f>IF(ISBLANK(Record!C786),"",Record!C786)</f>
        <v/>
      </c>
      <c r="D785" t="str">
        <f>IF(ISBLANK(Record!D786),"",Record!D786)</f>
        <v/>
      </c>
      <c r="E785" t="str">
        <f>IF(ISBLANK(Record!E786),"",Record!E786)</f>
        <v/>
      </c>
      <c r="M785" t="str">
        <f t="shared" si="84"/>
        <v xml:space="preserve">          </v>
      </c>
      <c r="N785" s="227" t="str">
        <f t="shared" si="85"/>
        <v/>
      </c>
      <c r="X785" t="str">
        <f t="shared" si="86"/>
        <v xml:space="preserve">          </v>
      </c>
      <c r="Y785" s="227" t="str">
        <f t="shared" si="87"/>
        <v/>
      </c>
      <c r="Z785" t="str">
        <f t="shared" si="88"/>
        <v/>
      </c>
      <c r="AL785" t="str">
        <f t="shared" si="89"/>
        <v/>
      </c>
      <c r="AM785" t="str">
        <f t="shared" si="90"/>
        <v/>
      </c>
    </row>
    <row r="786" spans="1:39">
      <c r="A786" t="str">
        <f>IF(ISBLANK(Record!A787),"",Record!A787)</f>
        <v/>
      </c>
      <c r="B786" t="str">
        <f>IF(ISBLANK(Record!B787),"",Record!B787)</f>
        <v/>
      </c>
      <c r="C786" s="227" t="str">
        <f>IF(ISBLANK(Record!C787),"",Record!C787)</f>
        <v/>
      </c>
      <c r="D786" t="str">
        <f>IF(ISBLANK(Record!D787),"",Record!D787)</f>
        <v/>
      </c>
      <c r="E786" t="str">
        <f>IF(ISBLANK(Record!E787),"",Record!E787)</f>
        <v/>
      </c>
      <c r="M786" t="str">
        <f t="shared" si="84"/>
        <v xml:space="preserve">          </v>
      </c>
      <c r="N786" s="227" t="str">
        <f t="shared" si="85"/>
        <v/>
      </c>
      <c r="X786" t="str">
        <f t="shared" si="86"/>
        <v xml:space="preserve">          </v>
      </c>
      <c r="Y786" s="227" t="str">
        <f t="shared" si="87"/>
        <v/>
      </c>
      <c r="Z786" t="str">
        <f t="shared" si="88"/>
        <v/>
      </c>
      <c r="AL786" t="str">
        <f t="shared" si="89"/>
        <v/>
      </c>
      <c r="AM786" t="str">
        <f t="shared" si="90"/>
        <v/>
      </c>
    </row>
    <row r="787" spans="1:39">
      <c r="A787" t="str">
        <f>IF(ISBLANK(Record!A788),"",Record!A788)</f>
        <v/>
      </c>
      <c r="B787" t="str">
        <f>IF(ISBLANK(Record!B788),"",Record!B788)</f>
        <v/>
      </c>
      <c r="C787" s="227" t="str">
        <f>IF(ISBLANK(Record!C788),"",Record!C788)</f>
        <v/>
      </c>
      <c r="D787" t="str">
        <f>IF(ISBLANK(Record!D788),"",Record!D788)</f>
        <v/>
      </c>
      <c r="E787" t="str">
        <f>IF(ISBLANK(Record!E788),"",Record!E788)</f>
        <v/>
      </c>
      <c r="M787" t="str">
        <f t="shared" si="84"/>
        <v xml:space="preserve">          </v>
      </c>
      <c r="N787" s="227" t="str">
        <f t="shared" si="85"/>
        <v/>
      </c>
      <c r="X787" t="str">
        <f t="shared" si="86"/>
        <v xml:space="preserve">          </v>
      </c>
      <c r="Y787" s="227" t="str">
        <f t="shared" si="87"/>
        <v/>
      </c>
      <c r="Z787" t="str">
        <f t="shared" si="88"/>
        <v/>
      </c>
      <c r="AL787" t="str">
        <f t="shared" si="89"/>
        <v/>
      </c>
      <c r="AM787" t="str">
        <f t="shared" si="90"/>
        <v/>
      </c>
    </row>
    <row r="788" spans="1:39">
      <c r="A788" t="str">
        <f>IF(ISBLANK(Record!A789),"",Record!A789)</f>
        <v/>
      </c>
      <c r="B788" t="str">
        <f>IF(ISBLANK(Record!B789),"",Record!B789)</f>
        <v/>
      </c>
      <c r="C788" s="227" t="str">
        <f>IF(ISBLANK(Record!C789),"",Record!C789)</f>
        <v/>
      </c>
      <c r="D788" t="str">
        <f>IF(ISBLANK(Record!D789),"",Record!D789)</f>
        <v/>
      </c>
      <c r="E788" t="str">
        <f>IF(ISBLANK(Record!E789),"",Record!E789)</f>
        <v/>
      </c>
      <c r="M788" t="str">
        <f t="shared" si="84"/>
        <v xml:space="preserve">          </v>
      </c>
      <c r="N788" s="227" t="str">
        <f t="shared" si="85"/>
        <v/>
      </c>
      <c r="X788" t="str">
        <f t="shared" si="86"/>
        <v xml:space="preserve">          </v>
      </c>
      <c r="Y788" s="227" t="str">
        <f t="shared" si="87"/>
        <v/>
      </c>
      <c r="Z788" t="str">
        <f t="shared" si="88"/>
        <v/>
      </c>
      <c r="AL788" t="str">
        <f t="shared" si="89"/>
        <v/>
      </c>
      <c r="AM788" t="str">
        <f t="shared" si="90"/>
        <v/>
      </c>
    </row>
    <row r="789" spans="1:39">
      <c r="A789" t="str">
        <f>IF(ISBLANK(Record!A790),"",Record!A790)</f>
        <v/>
      </c>
      <c r="B789" t="str">
        <f>IF(ISBLANK(Record!B790),"",Record!B790)</f>
        <v/>
      </c>
      <c r="C789" s="227" t="str">
        <f>IF(ISBLANK(Record!C790),"",Record!C790)</f>
        <v/>
      </c>
      <c r="D789" t="str">
        <f>IF(ISBLANK(Record!D790),"",Record!D790)</f>
        <v/>
      </c>
      <c r="E789" t="str">
        <f>IF(ISBLANK(Record!E790),"",Record!E790)</f>
        <v/>
      </c>
      <c r="M789" t="str">
        <f t="shared" si="84"/>
        <v xml:space="preserve">          </v>
      </c>
      <c r="N789" s="227" t="str">
        <f t="shared" si="85"/>
        <v/>
      </c>
      <c r="X789" t="str">
        <f t="shared" si="86"/>
        <v xml:space="preserve">          </v>
      </c>
      <c r="Y789" s="227" t="str">
        <f t="shared" si="87"/>
        <v/>
      </c>
      <c r="Z789" t="str">
        <f t="shared" si="88"/>
        <v/>
      </c>
      <c r="AL789" t="str">
        <f t="shared" si="89"/>
        <v/>
      </c>
      <c r="AM789" t="str">
        <f t="shared" si="90"/>
        <v/>
      </c>
    </row>
    <row r="790" spans="1:39">
      <c r="A790" t="str">
        <f>IF(ISBLANK(Record!A791),"",Record!A791)</f>
        <v/>
      </c>
      <c r="B790" t="str">
        <f>IF(ISBLANK(Record!B791),"",Record!B791)</f>
        <v/>
      </c>
      <c r="C790" s="227" t="str">
        <f>IF(ISBLANK(Record!C791),"",Record!C791)</f>
        <v/>
      </c>
      <c r="D790" t="str">
        <f>IF(ISBLANK(Record!D791),"",Record!D791)</f>
        <v/>
      </c>
      <c r="E790" t="str">
        <f>IF(ISBLANK(Record!E791),"",Record!E791)</f>
        <v/>
      </c>
      <c r="M790" t="str">
        <f t="shared" si="84"/>
        <v xml:space="preserve">          </v>
      </c>
      <c r="N790" s="227" t="str">
        <f t="shared" si="85"/>
        <v/>
      </c>
      <c r="X790" t="str">
        <f t="shared" si="86"/>
        <v xml:space="preserve">          </v>
      </c>
      <c r="Y790" s="227" t="str">
        <f t="shared" si="87"/>
        <v/>
      </c>
      <c r="Z790" t="str">
        <f t="shared" si="88"/>
        <v/>
      </c>
      <c r="AL790" t="str">
        <f t="shared" si="89"/>
        <v/>
      </c>
      <c r="AM790" t="str">
        <f t="shared" si="90"/>
        <v/>
      </c>
    </row>
    <row r="791" spans="1:39">
      <c r="A791" t="str">
        <f>IF(ISBLANK(Record!A792),"",Record!A792)</f>
        <v/>
      </c>
      <c r="B791" t="str">
        <f>IF(ISBLANK(Record!B792),"",Record!B792)</f>
        <v/>
      </c>
      <c r="C791" s="227" t="str">
        <f>IF(ISBLANK(Record!C792),"",Record!C792)</f>
        <v/>
      </c>
      <c r="D791" t="str">
        <f>IF(ISBLANK(Record!D792),"",Record!D792)</f>
        <v/>
      </c>
      <c r="E791" t="str">
        <f>IF(ISBLANK(Record!E792),"",Record!E792)</f>
        <v/>
      </c>
      <c r="M791" t="str">
        <f t="shared" si="84"/>
        <v xml:space="preserve">          </v>
      </c>
      <c r="N791" s="227" t="str">
        <f t="shared" si="85"/>
        <v/>
      </c>
      <c r="X791" t="str">
        <f t="shared" si="86"/>
        <v xml:space="preserve">          </v>
      </c>
      <c r="Y791" s="227" t="str">
        <f t="shared" si="87"/>
        <v/>
      </c>
      <c r="Z791" t="str">
        <f t="shared" si="88"/>
        <v/>
      </c>
      <c r="AL791" t="str">
        <f t="shared" si="89"/>
        <v/>
      </c>
      <c r="AM791" t="str">
        <f t="shared" si="90"/>
        <v/>
      </c>
    </row>
    <row r="792" spans="1:39">
      <c r="A792" t="str">
        <f>IF(ISBLANK(Record!A793),"",Record!A793)</f>
        <v/>
      </c>
      <c r="B792" t="str">
        <f>IF(ISBLANK(Record!B793),"",Record!B793)</f>
        <v/>
      </c>
      <c r="C792" s="227" t="str">
        <f>IF(ISBLANK(Record!C793),"",Record!C793)</f>
        <v/>
      </c>
      <c r="D792" t="str">
        <f>IF(ISBLANK(Record!D793),"",Record!D793)</f>
        <v/>
      </c>
      <c r="E792" t="str">
        <f>IF(ISBLANK(Record!E793),"",Record!E793)</f>
        <v/>
      </c>
      <c r="M792" t="str">
        <f t="shared" si="84"/>
        <v xml:space="preserve">          </v>
      </c>
      <c r="N792" s="227" t="str">
        <f t="shared" si="85"/>
        <v/>
      </c>
      <c r="X792" t="str">
        <f t="shared" si="86"/>
        <v xml:space="preserve">          </v>
      </c>
      <c r="Y792" s="227" t="str">
        <f t="shared" si="87"/>
        <v/>
      </c>
      <c r="Z792" t="str">
        <f t="shared" si="88"/>
        <v/>
      </c>
      <c r="AL792" t="str">
        <f t="shared" si="89"/>
        <v/>
      </c>
      <c r="AM792" t="str">
        <f t="shared" si="90"/>
        <v/>
      </c>
    </row>
    <row r="793" spans="1:39">
      <c r="A793" t="str">
        <f>IF(ISBLANK(Record!A794),"",Record!A794)</f>
        <v/>
      </c>
      <c r="B793" t="str">
        <f>IF(ISBLANK(Record!B794),"",Record!B794)</f>
        <v/>
      </c>
      <c r="C793" s="227" t="str">
        <f>IF(ISBLANK(Record!C794),"",Record!C794)</f>
        <v/>
      </c>
      <c r="D793" t="str">
        <f>IF(ISBLANK(Record!D794),"",Record!D794)</f>
        <v/>
      </c>
      <c r="E793" t="str">
        <f>IF(ISBLANK(Record!E794),"",Record!E794)</f>
        <v/>
      </c>
      <c r="M793" t="str">
        <f t="shared" si="84"/>
        <v xml:space="preserve">          </v>
      </c>
      <c r="N793" s="227" t="str">
        <f t="shared" si="85"/>
        <v/>
      </c>
      <c r="X793" t="str">
        <f t="shared" si="86"/>
        <v xml:space="preserve">          </v>
      </c>
      <c r="Y793" s="227" t="str">
        <f t="shared" si="87"/>
        <v/>
      </c>
      <c r="Z793" t="str">
        <f t="shared" si="88"/>
        <v/>
      </c>
      <c r="AL793" t="str">
        <f t="shared" si="89"/>
        <v/>
      </c>
      <c r="AM793" t="str">
        <f t="shared" si="90"/>
        <v/>
      </c>
    </row>
    <row r="794" spans="1:39">
      <c r="A794" t="str">
        <f>IF(ISBLANK(Record!A795),"",Record!A795)</f>
        <v/>
      </c>
      <c r="B794" t="str">
        <f>IF(ISBLANK(Record!B795),"",Record!B795)</f>
        <v/>
      </c>
      <c r="C794" s="227" t="str">
        <f>IF(ISBLANK(Record!C795),"",Record!C795)</f>
        <v/>
      </c>
      <c r="D794" t="str">
        <f>IF(ISBLANK(Record!D795),"",Record!D795)</f>
        <v/>
      </c>
      <c r="E794" t="str">
        <f>IF(ISBLANK(Record!E795),"",Record!E795)</f>
        <v/>
      </c>
      <c r="M794" t="str">
        <f t="shared" si="84"/>
        <v xml:space="preserve">          </v>
      </c>
      <c r="N794" s="227" t="str">
        <f t="shared" si="85"/>
        <v/>
      </c>
      <c r="X794" t="str">
        <f t="shared" si="86"/>
        <v xml:space="preserve">          </v>
      </c>
      <c r="Y794" s="227" t="str">
        <f t="shared" si="87"/>
        <v/>
      </c>
      <c r="Z794" t="str">
        <f t="shared" si="88"/>
        <v/>
      </c>
      <c r="AL794" t="str">
        <f t="shared" si="89"/>
        <v/>
      </c>
      <c r="AM794" t="str">
        <f t="shared" si="90"/>
        <v/>
      </c>
    </row>
    <row r="795" spans="1:39">
      <c r="A795" t="str">
        <f>IF(ISBLANK(Record!A796),"",Record!A796)</f>
        <v/>
      </c>
      <c r="B795" t="str">
        <f>IF(ISBLANK(Record!B796),"",Record!B796)</f>
        <v/>
      </c>
      <c r="C795" s="227" t="str">
        <f>IF(ISBLANK(Record!C796),"",Record!C796)</f>
        <v/>
      </c>
      <c r="D795" t="str">
        <f>IF(ISBLANK(Record!D796),"",Record!D796)</f>
        <v/>
      </c>
      <c r="E795" t="str">
        <f>IF(ISBLANK(Record!E796),"",Record!E796)</f>
        <v/>
      </c>
      <c r="M795" t="str">
        <f t="shared" si="84"/>
        <v xml:space="preserve">          </v>
      </c>
      <c r="N795" s="227" t="str">
        <f t="shared" si="85"/>
        <v/>
      </c>
      <c r="X795" t="str">
        <f t="shared" si="86"/>
        <v xml:space="preserve">          </v>
      </c>
      <c r="Y795" s="227" t="str">
        <f t="shared" si="87"/>
        <v/>
      </c>
      <c r="Z795" t="str">
        <f t="shared" si="88"/>
        <v/>
      </c>
      <c r="AL795" t="str">
        <f t="shared" si="89"/>
        <v/>
      </c>
      <c r="AM795" t="str">
        <f t="shared" si="90"/>
        <v/>
      </c>
    </row>
    <row r="796" spans="1:39">
      <c r="A796" t="str">
        <f>IF(ISBLANK(Record!A797),"",Record!A797)</f>
        <v/>
      </c>
      <c r="B796" t="str">
        <f>IF(ISBLANK(Record!B797),"",Record!B797)</f>
        <v/>
      </c>
      <c r="C796" s="227" t="str">
        <f>IF(ISBLANK(Record!C797),"",Record!C797)</f>
        <v/>
      </c>
      <c r="D796" t="str">
        <f>IF(ISBLANK(Record!D797),"",Record!D797)</f>
        <v/>
      </c>
      <c r="E796" t="str">
        <f>IF(ISBLANK(Record!E797),"",Record!E797)</f>
        <v/>
      </c>
      <c r="M796" t="str">
        <f t="shared" si="84"/>
        <v xml:space="preserve">          </v>
      </c>
      <c r="N796" s="227" t="str">
        <f t="shared" si="85"/>
        <v/>
      </c>
      <c r="X796" t="str">
        <f t="shared" si="86"/>
        <v xml:space="preserve">          </v>
      </c>
      <c r="Y796" s="227" t="str">
        <f t="shared" si="87"/>
        <v/>
      </c>
      <c r="Z796" t="str">
        <f t="shared" si="88"/>
        <v/>
      </c>
      <c r="AL796" t="str">
        <f t="shared" si="89"/>
        <v/>
      </c>
      <c r="AM796" t="str">
        <f t="shared" si="90"/>
        <v/>
      </c>
    </row>
    <row r="797" spans="1:39">
      <c r="A797" t="str">
        <f>IF(ISBLANK(Record!A798),"",Record!A798)</f>
        <v/>
      </c>
      <c r="B797" t="str">
        <f>IF(ISBLANK(Record!B798),"",Record!B798)</f>
        <v/>
      </c>
      <c r="C797" s="227" t="str">
        <f>IF(ISBLANK(Record!C798),"",Record!C798)</f>
        <v/>
      </c>
      <c r="D797" t="str">
        <f>IF(ISBLANK(Record!D798),"",Record!D798)</f>
        <v/>
      </c>
      <c r="E797" t="str">
        <f>IF(ISBLANK(Record!E798),"",Record!E798)</f>
        <v/>
      </c>
      <c r="M797" t="str">
        <f t="shared" si="84"/>
        <v xml:space="preserve">          </v>
      </c>
      <c r="N797" s="227" t="str">
        <f t="shared" si="85"/>
        <v/>
      </c>
      <c r="X797" t="str">
        <f t="shared" si="86"/>
        <v xml:space="preserve">          </v>
      </c>
      <c r="Y797" s="227" t="str">
        <f t="shared" si="87"/>
        <v/>
      </c>
      <c r="Z797" t="str">
        <f t="shared" si="88"/>
        <v/>
      </c>
      <c r="AL797" t="str">
        <f t="shared" si="89"/>
        <v/>
      </c>
      <c r="AM797" t="str">
        <f t="shared" si="90"/>
        <v/>
      </c>
    </row>
    <row r="798" spans="1:39">
      <c r="A798" t="str">
        <f>IF(ISBLANK(Record!A799),"",Record!A799)</f>
        <v/>
      </c>
      <c r="B798" t="str">
        <f>IF(ISBLANK(Record!B799),"",Record!B799)</f>
        <v/>
      </c>
      <c r="C798" s="227" t="str">
        <f>IF(ISBLANK(Record!C799),"",Record!C799)</f>
        <v/>
      </c>
      <c r="D798" t="str">
        <f>IF(ISBLANK(Record!D799),"",Record!D799)</f>
        <v/>
      </c>
      <c r="E798" t="str">
        <f>IF(ISBLANK(Record!E799),"",Record!E799)</f>
        <v/>
      </c>
      <c r="M798" t="str">
        <f t="shared" si="84"/>
        <v xml:space="preserve">          </v>
      </c>
      <c r="N798" s="227" t="str">
        <f t="shared" si="85"/>
        <v/>
      </c>
      <c r="X798" t="str">
        <f t="shared" si="86"/>
        <v xml:space="preserve">          </v>
      </c>
      <c r="Y798" s="227" t="str">
        <f t="shared" si="87"/>
        <v/>
      </c>
      <c r="Z798" t="str">
        <f t="shared" si="88"/>
        <v/>
      </c>
      <c r="AL798" t="str">
        <f t="shared" si="89"/>
        <v/>
      </c>
      <c r="AM798" t="str">
        <f t="shared" si="90"/>
        <v/>
      </c>
    </row>
    <row r="799" spans="1:39">
      <c r="A799" t="str">
        <f>IF(ISBLANK(Record!A800),"",Record!A800)</f>
        <v/>
      </c>
      <c r="B799" t="str">
        <f>IF(ISBLANK(Record!B800),"",Record!B800)</f>
        <v/>
      </c>
      <c r="C799" s="227" t="str">
        <f>IF(ISBLANK(Record!C800),"",Record!C800)</f>
        <v/>
      </c>
      <c r="D799" t="str">
        <f>IF(ISBLANK(Record!D800),"",Record!D800)</f>
        <v/>
      </c>
      <c r="E799" t="str">
        <f>IF(ISBLANK(Record!E800),"",Record!E800)</f>
        <v/>
      </c>
      <c r="M799" t="str">
        <f t="shared" si="84"/>
        <v xml:space="preserve">          </v>
      </c>
      <c r="N799" s="227" t="str">
        <f t="shared" si="85"/>
        <v/>
      </c>
      <c r="X799" t="str">
        <f t="shared" si="86"/>
        <v xml:space="preserve">          </v>
      </c>
      <c r="Y799" s="227" t="str">
        <f t="shared" si="87"/>
        <v/>
      </c>
      <c r="Z799" t="str">
        <f t="shared" si="88"/>
        <v/>
      </c>
      <c r="AL799" t="str">
        <f t="shared" si="89"/>
        <v/>
      </c>
      <c r="AM799" t="str">
        <f t="shared" si="90"/>
        <v/>
      </c>
    </row>
    <row r="800" spans="1:39">
      <c r="A800" t="str">
        <f>IF(ISBLANK(Record!A801),"",Record!A801)</f>
        <v/>
      </c>
      <c r="B800" t="str">
        <f>IF(ISBLANK(Record!B801),"",Record!B801)</f>
        <v/>
      </c>
      <c r="C800" s="227" t="str">
        <f>IF(ISBLANK(Record!C801),"",Record!C801)</f>
        <v/>
      </c>
      <c r="D800" t="str">
        <f>IF(ISBLANK(Record!D801),"",Record!D801)</f>
        <v/>
      </c>
      <c r="E800" t="str">
        <f>IF(ISBLANK(Record!E801),"",Record!E801)</f>
        <v/>
      </c>
      <c r="M800" t="str">
        <f t="shared" si="84"/>
        <v xml:space="preserve">          </v>
      </c>
      <c r="N800" s="227" t="str">
        <f t="shared" si="85"/>
        <v/>
      </c>
      <c r="X800" t="str">
        <f t="shared" si="86"/>
        <v xml:space="preserve">          </v>
      </c>
      <c r="Y800" s="227" t="str">
        <f t="shared" si="87"/>
        <v/>
      </c>
      <c r="Z800" t="str">
        <f t="shared" si="88"/>
        <v/>
      </c>
      <c r="AL800" t="str">
        <f t="shared" si="89"/>
        <v/>
      </c>
      <c r="AM800" t="str">
        <f t="shared" si="90"/>
        <v/>
      </c>
    </row>
    <row r="801" spans="1:39">
      <c r="A801" t="str">
        <f>IF(ISBLANK(Record!A802),"",Record!A802)</f>
        <v/>
      </c>
      <c r="B801" t="str">
        <f>IF(ISBLANK(Record!B802),"",Record!B802)</f>
        <v/>
      </c>
      <c r="C801" s="227" t="str">
        <f>IF(ISBLANK(Record!C802),"",Record!C802)</f>
        <v/>
      </c>
      <c r="D801" t="str">
        <f>IF(ISBLANK(Record!D802),"",Record!D802)</f>
        <v/>
      </c>
      <c r="E801" t="str">
        <f>IF(ISBLANK(Record!E802),"",Record!E802)</f>
        <v/>
      </c>
      <c r="M801" t="str">
        <f t="shared" si="84"/>
        <v xml:space="preserve">          </v>
      </c>
      <c r="N801" s="227" t="str">
        <f t="shared" si="85"/>
        <v/>
      </c>
      <c r="X801" t="str">
        <f t="shared" si="86"/>
        <v xml:space="preserve">          </v>
      </c>
      <c r="Y801" s="227" t="str">
        <f t="shared" si="87"/>
        <v/>
      </c>
      <c r="Z801" t="str">
        <f t="shared" si="88"/>
        <v/>
      </c>
      <c r="AL801" t="str">
        <f t="shared" si="89"/>
        <v/>
      </c>
      <c r="AM801" t="str">
        <f t="shared" si="90"/>
        <v/>
      </c>
    </row>
    <row r="802" spans="1:39">
      <c r="A802" t="str">
        <f>IF(ISBLANK(Record!A803),"",Record!A803)</f>
        <v/>
      </c>
      <c r="B802" t="str">
        <f>IF(ISBLANK(Record!B803),"",Record!B803)</f>
        <v/>
      </c>
      <c r="C802" s="227" t="str">
        <f>IF(ISBLANK(Record!C803),"",Record!C803)</f>
        <v/>
      </c>
      <c r="D802" t="str">
        <f>IF(ISBLANK(Record!D803),"",Record!D803)</f>
        <v/>
      </c>
      <c r="E802" t="str">
        <f>IF(ISBLANK(Record!E803),"",Record!E803)</f>
        <v/>
      </c>
      <c r="M802" t="str">
        <f t="shared" si="84"/>
        <v xml:space="preserve">          </v>
      </c>
      <c r="N802" s="227" t="str">
        <f t="shared" si="85"/>
        <v/>
      </c>
      <c r="X802" t="str">
        <f t="shared" si="86"/>
        <v xml:space="preserve">          </v>
      </c>
      <c r="Y802" s="227" t="str">
        <f t="shared" si="87"/>
        <v/>
      </c>
      <c r="Z802" t="str">
        <f t="shared" si="88"/>
        <v/>
      </c>
      <c r="AL802" t="str">
        <f t="shared" si="89"/>
        <v/>
      </c>
      <c r="AM802" t="str">
        <f t="shared" si="90"/>
        <v/>
      </c>
    </row>
    <row r="803" spans="1:39">
      <c r="A803" t="str">
        <f>IF(ISBLANK(Record!A804),"",Record!A804)</f>
        <v/>
      </c>
      <c r="B803" t="str">
        <f>IF(ISBLANK(Record!B804),"",Record!B804)</f>
        <v/>
      </c>
      <c r="C803" s="227" t="str">
        <f>IF(ISBLANK(Record!C804),"",Record!C804)</f>
        <v/>
      </c>
      <c r="D803" t="str">
        <f>IF(ISBLANK(Record!D804),"",Record!D804)</f>
        <v/>
      </c>
      <c r="E803" t="str">
        <f>IF(ISBLANK(Record!E804),"",Record!E804)</f>
        <v/>
      </c>
      <c r="M803" t="str">
        <f t="shared" si="84"/>
        <v xml:space="preserve">          </v>
      </c>
      <c r="N803" s="227" t="str">
        <f t="shared" si="85"/>
        <v/>
      </c>
      <c r="X803" t="str">
        <f t="shared" si="86"/>
        <v xml:space="preserve">          </v>
      </c>
      <c r="Y803" s="227" t="str">
        <f t="shared" si="87"/>
        <v/>
      </c>
      <c r="Z803" t="str">
        <f t="shared" si="88"/>
        <v/>
      </c>
      <c r="AL803" t="str">
        <f t="shared" si="89"/>
        <v/>
      </c>
      <c r="AM803" t="str">
        <f t="shared" si="90"/>
        <v/>
      </c>
    </row>
    <row r="804" spans="1:39">
      <c r="A804" t="str">
        <f>IF(ISBLANK(Record!A805),"",Record!A805)</f>
        <v/>
      </c>
      <c r="B804" t="str">
        <f>IF(ISBLANK(Record!B805),"",Record!B805)</f>
        <v/>
      </c>
      <c r="C804" s="227" t="str">
        <f>IF(ISBLANK(Record!C805),"",Record!C805)</f>
        <v/>
      </c>
      <c r="D804" t="str">
        <f>IF(ISBLANK(Record!D805),"",Record!D805)</f>
        <v/>
      </c>
      <c r="E804" t="str">
        <f>IF(ISBLANK(Record!E805),"",Record!E805)</f>
        <v/>
      </c>
      <c r="M804" t="str">
        <f t="shared" si="84"/>
        <v xml:space="preserve">          </v>
      </c>
      <c r="N804" s="227" t="str">
        <f t="shared" si="85"/>
        <v/>
      </c>
      <c r="X804" t="str">
        <f t="shared" si="86"/>
        <v xml:space="preserve">          </v>
      </c>
      <c r="Y804" s="227" t="str">
        <f t="shared" si="87"/>
        <v/>
      </c>
      <c r="Z804" t="str">
        <f t="shared" si="88"/>
        <v/>
      </c>
      <c r="AL804" t="str">
        <f t="shared" si="89"/>
        <v/>
      </c>
      <c r="AM804" t="str">
        <f t="shared" si="90"/>
        <v/>
      </c>
    </row>
    <row r="805" spans="1:39">
      <c r="A805" t="str">
        <f>IF(ISBLANK(Record!A806),"",Record!A806)</f>
        <v/>
      </c>
      <c r="B805" t="str">
        <f>IF(ISBLANK(Record!B806),"",Record!B806)</f>
        <v/>
      </c>
      <c r="C805" s="227" t="str">
        <f>IF(ISBLANK(Record!C806),"",Record!C806)</f>
        <v/>
      </c>
      <c r="D805" t="str">
        <f>IF(ISBLANK(Record!D806),"",Record!D806)</f>
        <v/>
      </c>
      <c r="E805" t="str">
        <f>IF(ISBLANK(Record!E806),"",Record!E806)</f>
        <v/>
      </c>
      <c r="M805" t="str">
        <f t="shared" si="84"/>
        <v xml:space="preserve">          </v>
      </c>
      <c r="N805" s="227" t="str">
        <f t="shared" si="85"/>
        <v/>
      </c>
      <c r="X805" t="str">
        <f t="shared" si="86"/>
        <v xml:space="preserve">          </v>
      </c>
      <c r="Y805" s="227" t="str">
        <f t="shared" si="87"/>
        <v/>
      </c>
      <c r="Z805" t="str">
        <f t="shared" si="88"/>
        <v/>
      </c>
      <c r="AL805" t="str">
        <f t="shared" si="89"/>
        <v/>
      </c>
      <c r="AM805" t="str">
        <f t="shared" si="90"/>
        <v/>
      </c>
    </row>
    <row r="806" spans="1:39">
      <c r="A806" t="str">
        <f>IF(ISBLANK(Record!A807),"",Record!A807)</f>
        <v/>
      </c>
      <c r="B806" t="str">
        <f>IF(ISBLANK(Record!B807),"",Record!B807)</f>
        <v/>
      </c>
      <c r="C806" s="227" t="str">
        <f>IF(ISBLANK(Record!C807),"",Record!C807)</f>
        <v/>
      </c>
      <c r="D806" t="str">
        <f>IF(ISBLANK(Record!D807),"",Record!D807)</f>
        <v/>
      </c>
      <c r="E806" t="str">
        <f>IF(ISBLANK(Record!E807),"",Record!E807)</f>
        <v/>
      </c>
      <c r="M806" t="str">
        <f t="shared" si="84"/>
        <v xml:space="preserve">          </v>
      </c>
      <c r="N806" s="227" t="str">
        <f t="shared" si="85"/>
        <v/>
      </c>
      <c r="X806" t="str">
        <f t="shared" si="86"/>
        <v xml:space="preserve">          </v>
      </c>
      <c r="Y806" s="227" t="str">
        <f t="shared" si="87"/>
        <v/>
      </c>
      <c r="Z806" t="str">
        <f t="shared" si="88"/>
        <v/>
      </c>
      <c r="AL806" t="str">
        <f t="shared" si="89"/>
        <v/>
      </c>
      <c r="AM806" t="str">
        <f t="shared" si="90"/>
        <v/>
      </c>
    </row>
    <row r="807" spans="1:39">
      <c r="A807" t="str">
        <f>IF(ISBLANK(Record!A808),"",Record!A808)</f>
        <v/>
      </c>
      <c r="B807" t="str">
        <f>IF(ISBLANK(Record!B808),"",Record!B808)</f>
        <v/>
      </c>
      <c r="C807" s="227" t="str">
        <f>IF(ISBLANK(Record!C808),"",Record!C808)</f>
        <v/>
      </c>
      <c r="D807" t="str">
        <f>IF(ISBLANK(Record!D808),"",Record!D808)</f>
        <v/>
      </c>
      <c r="E807" t="str">
        <f>IF(ISBLANK(Record!E808),"",Record!E808)</f>
        <v/>
      </c>
      <c r="M807" t="str">
        <f t="shared" si="84"/>
        <v xml:space="preserve">          </v>
      </c>
      <c r="N807" s="227" t="str">
        <f t="shared" si="85"/>
        <v/>
      </c>
      <c r="X807" t="str">
        <f t="shared" si="86"/>
        <v xml:space="preserve">          </v>
      </c>
      <c r="Y807" s="227" t="str">
        <f t="shared" si="87"/>
        <v/>
      </c>
      <c r="Z807" t="str">
        <f t="shared" si="88"/>
        <v/>
      </c>
      <c r="AL807" t="str">
        <f t="shared" si="89"/>
        <v/>
      </c>
      <c r="AM807" t="str">
        <f t="shared" si="90"/>
        <v/>
      </c>
    </row>
    <row r="808" spans="1:39">
      <c r="A808" t="str">
        <f>IF(ISBLANK(Record!A809),"",Record!A809)</f>
        <v/>
      </c>
      <c r="B808" t="str">
        <f>IF(ISBLANK(Record!B809),"",Record!B809)</f>
        <v/>
      </c>
      <c r="C808" s="227" t="str">
        <f>IF(ISBLANK(Record!C809),"",Record!C809)</f>
        <v/>
      </c>
      <c r="D808" t="str">
        <f>IF(ISBLANK(Record!D809),"",Record!D809)</f>
        <v/>
      </c>
      <c r="E808" t="str">
        <f>IF(ISBLANK(Record!E809),"",Record!E809)</f>
        <v/>
      </c>
      <c r="M808" t="str">
        <f t="shared" si="84"/>
        <v xml:space="preserve">          </v>
      </c>
      <c r="N808" s="227" t="str">
        <f t="shared" si="85"/>
        <v/>
      </c>
      <c r="X808" t="str">
        <f t="shared" si="86"/>
        <v xml:space="preserve">          </v>
      </c>
      <c r="Y808" s="227" t="str">
        <f t="shared" si="87"/>
        <v/>
      </c>
      <c r="Z808" t="str">
        <f t="shared" si="88"/>
        <v/>
      </c>
      <c r="AL808" t="str">
        <f t="shared" si="89"/>
        <v/>
      </c>
      <c r="AM808" t="str">
        <f t="shared" si="90"/>
        <v/>
      </c>
    </row>
    <row r="809" spans="1:39">
      <c r="A809" t="str">
        <f>IF(ISBLANK(Record!A810),"",Record!A810)</f>
        <v/>
      </c>
      <c r="B809" t="str">
        <f>IF(ISBLANK(Record!B810),"",Record!B810)</f>
        <v/>
      </c>
      <c r="C809" s="227" t="str">
        <f>IF(ISBLANK(Record!C810),"",Record!C810)</f>
        <v/>
      </c>
      <c r="D809" t="str">
        <f>IF(ISBLANK(Record!D810),"",Record!D810)</f>
        <v/>
      </c>
      <c r="E809" t="str">
        <f>IF(ISBLANK(Record!E810),"",Record!E810)</f>
        <v/>
      </c>
      <c r="M809" t="str">
        <f t="shared" si="84"/>
        <v xml:space="preserve">          </v>
      </c>
      <c r="N809" s="227" t="str">
        <f t="shared" si="85"/>
        <v/>
      </c>
      <c r="X809" t="str">
        <f t="shared" si="86"/>
        <v xml:space="preserve">          </v>
      </c>
      <c r="Y809" s="227" t="str">
        <f t="shared" si="87"/>
        <v/>
      </c>
      <c r="Z809" t="str">
        <f t="shared" si="88"/>
        <v/>
      </c>
      <c r="AL809" t="str">
        <f t="shared" si="89"/>
        <v/>
      </c>
      <c r="AM809" t="str">
        <f t="shared" si="90"/>
        <v/>
      </c>
    </row>
    <row r="810" spans="1:39">
      <c r="A810" t="str">
        <f>IF(ISBLANK(Record!A811),"",Record!A811)</f>
        <v/>
      </c>
      <c r="B810" t="str">
        <f>IF(ISBLANK(Record!B811),"",Record!B811)</f>
        <v/>
      </c>
      <c r="C810" s="227" t="str">
        <f>IF(ISBLANK(Record!C811),"",Record!C811)</f>
        <v/>
      </c>
      <c r="D810" t="str">
        <f>IF(ISBLANK(Record!D811),"",Record!D811)</f>
        <v/>
      </c>
      <c r="E810" t="str">
        <f>IF(ISBLANK(Record!E811),"",Record!E811)</f>
        <v/>
      </c>
      <c r="M810" t="str">
        <f t="shared" si="84"/>
        <v xml:space="preserve">          </v>
      </c>
      <c r="N810" s="227" t="str">
        <f t="shared" si="85"/>
        <v/>
      </c>
      <c r="X810" t="str">
        <f t="shared" si="86"/>
        <v xml:space="preserve">          </v>
      </c>
      <c r="Y810" s="227" t="str">
        <f t="shared" si="87"/>
        <v/>
      </c>
      <c r="Z810" t="str">
        <f t="shared" si="88"/>
        <v/>
      </c>
      <c r="AL810" t="str">
        <f t="shared" si="89"/>
        <v/>
      </c>
      <c r="AM810" t="str">
        <f t="shared" si="90"/>
        <v/>
      </c>
    </row>
    <row r="811" spans="1:39">
      <c r="A811" t="str">
        <f>IF(ISBLANK(Record!A812),"",Record!A812)</f>
        <v/>
      </c>
      <c r="B811" t="str">
        <f>IF(ISBLANK(Record!B812),"",Record!B812)</f>
        <v/>
      </c>
      <c r="C811" s="227" t="str">
        <f>IF(ISBLANK(Record!C812),"",Record!C812)</f>
        <v/>
      </c>
      <c r="D811" t="str">
        <f>IF(ISBLANK(Record!D812),"",Record!D812)</f>
        <v/>
      </c>
      <c r="E811" t="str">
        <f>IF(ISBLANK(Record!E812),"",Record!E812)</f>
        <v/>
      </c>
      <c r="M811" t="str">
        <f t="shared" si="84"/>
        <v xml:space="preserve">          </v>
      </c>
      <c r="N811" s="227" t="str">
        <f t="shared" si="85"/>
        <v/>
      </c>
      <c r="X811" t="str">
        <f t="shared" si="86"/>
        <v xml:space="preserve">          </v>
      </c>
      <c r="Y811" s="227" t="str">
        <f t="shared" si="87"/>
        <v/>
      </c>
      <c r="Z811" t="str">
        <f t="shared" si="88"/>
        <v/>
      </c>
      <c r="AL811" t="str">
        <f t="shared" si="89"/>
        <v/>
      </c>
      <c r="AM811" t="str">
        <f t="shared" si="90"/>
        <v/>
      </c>
    </row>
    <row r="812" spans="1:39">
      <c r="A812" t="str">
        <f>IF(ISBLANK(Record!A813),"",Record!A813)</f>
        <v/>
      </c>
      <c r="B812" t="str">
        <f>IF(ISBLANK(Record!B813),"",Record!B813)</f>
        <v/>
      </c>
      <c r="C812" s="227" t="str">
        <f>IF(ISBLANK(Record!C813),"",Record!C813)</f>
        <v/>
      </c>
      <c r="D812" t="str">
        <f>IF(ISBLANK(Record!D813),"",Record!D813)</f>
        <v/>
      </c>
      <c r="E812" t="str">
        <f>IF(ISBLANK(Record!E813),"",Record!E813)</f>
        <v/>
      </c>
      <c r="M812" t="str">
        <f t="shared" si="84"/>
        <v xml:space="preserve">          </v>
      </c>
      <c r="N812" s="227" t="str">
        <f t="shared" si="85"/>
        <v/>
      </c>
      <c r="X812" t="str">
        <f t="shared" si="86"/>
        <v xml:space="preserve">          </v>
      </c>
      <c r="Y812" s="227" t="str">
        <f t="shared" si="87"/>
        <v/>
      </c>
      <c r="Z812" t="str">
        <f t="shared" si="88"/>
        <v/>
      </c>
      <c r="AL812" t="str">
        <f t="shared" si="89"/>
        <v/>
      </c>
      <c r="AM812" t="str">
        <f t="shared" si="90"/>
        <v/>
      </c>
    </row>
    <row r="813" spans="1:39">
      <c r="A813" t="str">
        <f>IF(ISBLANK(Record!A814),"",Record!A814)</f>
        <v/>
      </c>
      <c r="B813" t="str">
        <f>IF(ISBLANK(Record!B814),"",Record!B814)</f>
        <v/>
      </c>
      <c r="C813" s="227" t="str">
        <f>IF(ISBLANK(Record!C814),"",Record!C814)</f>
        <v/>
      </c>
      <c r="D813" t="str">
        <f>IF(ISBLANK(Record!D814),"",Record!D814)</f>
        <v/>
      </c>
      <c r="E813" t="str">
        <f>IF(ISBLANK(Record!E814),"",Record!E814)</f>
        <v/>
      </c>
      <c r="M813" t="str">
        <f t="shared" si="84"/>
        <v xml:space="preserve">          </v>
      </c>
      <c r="N813" s="227" t="str">
        <f t="shared" si="85"/>
        <v/>
      </c>
      <c r="X813" t="str">
        <f t="shared" si="86"/>
        <v xml:space="preserve">          </v>
      </c>
      <c r="Y813" s="227" t="str">
        <f t="shared" si="87"/>
        <v/>
      </c>
      <c r="Z813" t="str">
        <f t="shared" si="88"/>
        <v/>
      </c>
      <c r="AL813" t="str">
        <f t="shared" si="89"/>
        <v/>
      </c>
      <c r="AM813" t="str">
        <f t="shared" si="90"/>
        <v/>
      </c>
    </row>
    <row r="814" spans="1:39">
      <c r="A814" t="str">
        <f>IF(ISBLANK(Record!A815),"",Record!A815)</f>
        <v/>
      </c>
      <c r="B814" t="str">
        <f>IF(ISBLANK(Record!B815),"",Record!B815)</f>
        <v/>
      </c>
      <c r="C814" s="227" t="str">
        <f>IF(ISBLANK(Record!C815),"",Record!C815)</f>
        <v/>
      </c>
      <c r="D814" t="str">
        <f>IF(ISBLANK(Record!D815),"",Record!D815)</f>
        <v/>
      </c>
      <c r="E814" t="str">
        <f>IF(ISBLANK(Record!E815),"",Record!E815)</f>
        <v/>
      </c>
      <c r="M814" t="str">
        <f t="shared" si="84"/>
        <v xml:space="preserve">          </v>
      </c>
      <c r="N814" s="227" t="str">
        <f t="shared" si="85"/>
        <v/>
      </c>
      <c r="X814" t="str">
        <f t="shared" si="86"/>
        <v xml:space="preserve">          </v>
      </c>
      <c r="Y814" s="227" t="str">
        <f t="shared" si="87"/>
        <v/>
      </c>
      <c r="Z814" t="str">
        <f t="shared" si="88"/>
        <v/>
      </c>
      <c r="AL814" t="str">
        <f t="shared" si="89"/>
        <v/>
      </c>
      <c r="AM814" t="str">
        <f t="shared" si="90"/>
        <v/>
      </c>
    </row>
    <row r="815" spans="1:39">
      <c r="A815" t="str">
        <f>IF(ISBLANK(Record!A816),"",Record!A816)</f>
        <v/>
      </c>
      <c r="B815" t="str">
        <f>IF(ISBLANK(Record!B816),"",Record!B816)</f>
        <v/>
      </c>
      <c r="C815" s="227" t="str">
        <f>IF(ISBLANK(Record!C816),"",Record!C816)</f>
        <v/>
      </c>
      <c r="D815" t="str">
        <f>IF(ISBLANK(Record!D816),"",Record!D816)</f>
        <v/>
      </c>
      <c r="E815" t="str">
        <f>IF(ISBLANK(Record!E816),"",Record!E816)</f>
        <v/>
      </c>
      <c r="M815" t="str">
        <f t="shared" si="84"/>
        <v xml:space="preserve">          </v>
      </c>
      <c r="N815" s="227" t="str">
        <f t="shared" si="85"/>
        <v/>
      </c>
      <c r="X815" t="str">
        <f t="shared" si="86"/>
        <v xml:space="preserve">          </v>
      </c>
      <c r="Y815" s="227" t="str">
        <f t="shared" si="87"/>
        <v/>
      </c>
      <c r="Z815" t="str">
        <f t="shared" si="88"/>
        <v/>
      </c>
      <c r="AL815" t="str">
        <f t="shared" si="89"/>
        <v/>
      </c>
      <c r="AM815" t="str">
        <f t="shared" si="90"/>
        <v/>
      </c>
    </row>
    <row r="816" spans="1:39">
      <c r="A816" t="str">
        <f>IF(ISBLANK(Record!A817),"",Record!A817)</f>
        <v/>
      </c>
      <c r="B816" t="str">
        <f>IF(ISBLANK(Record!B817),"",Record!B817)</f>
        <v/>
      </c>
      <c r="C816" s="227" t="str">
        <f>IF(ISBLANK(Record!C817),"",Record!C817)</f>
        <v/>
      </c>
      <c r="D816" t="str">
        <f>IF(ISBLANK(Record!D817),"",Record!D817)</f>
        <v/>
      </c>
      <c r="E816" t="str">
        <f>IF(ISBLANK(Record!E817),"",Record!E817)</f>
        <v/>
      </c>
      <c r="M816" t="str">
        <f t="shared" si="84"/>
        <v xml:space="preserve">          </v>
      </c>
      <c r="N816" s="227" t="str">
        <f t="shared" si="85"/>
        <v/>
      </c>
      <c r="X816" t="str">
        <f t="shared" si="86"/>
        <v xml:space="preserve">          </v>
      </c>
      <c r="Y816" s="227" t="str">
        <f t="shared" si="87"/>
        <v/>
      </c>
      <c r="Z816" t="str">
        <f t="shared" si="88"/>
        <v/>
      </c>
      <c r="AL816" t="str">
        <f t="shared" si="89"/>
        <v/>
      </c>
      <c r="AM816" t="str">
        <f t="shared" si="90"/>
        <v/>
      </c>
    </row>
    <row r="817" spans="1:39">
      <c r="A817" t="str">
        <f>IF(ISBLANK(Record!A818),"",Record!A818)</f>
        <v/>
      </c>
      <c r="B817" t="str">
        <f>IF(ISBLANK(Record!B818),"",Record!B818)</f>
        <v/>
      </c>
      <c r="C817" s="227" t="str">
        <f>IF(ISBLANK(Record!C818),"",Record!C818)</f>
        <v/>
      </c>
      <c r="D817" t="str">
        <f>IF(ISBLANK(Record!D818),"",Record!D818)</f>
        <v/>
      </c>
      <c r="E817" t="str">
        <f>IF(ISBLANK(Record!E818),"",Record!E818)</f>
        <v/>
      </c>
      <c r="M817" t="str">
        <f t="shared" si="84"/>
        <v xml:space="preserve">          </v>
      </c>
      <c r="N817" s="227" t="str">
        <f t="shared" si="85"/>
        <v/>
      </c>
      <c r="X817" t="str">
        <f t="shared" si="86"/>
        <v xml:space="preserve">          </v>
      </c>
      <c r="Y817" s="227" t="str">
        <f t="shared" si="87"/>
        <v/>
      </c>
      <c r="Z817" t="str">
        <f t="shared" si="88"/>
        <v/>
      </c>
      <c r="AL817" t="str">
        <f t="shared" si="89"/>
        <v/>
      </c>
      <c r="AM817" t="str">
        <f t="shared" si="90"/>
        <v/>
      </c>
    </row>
    <row r="818" spans="1:39">
      <c r="A818" t="str">
        <f>IF(ISBLANK(Record!A819),"",Record!A819)</f>
        <v/>
      </c>
      <c r="B818" t="str">
        <f>IF(ISBLANK(Record!B819),"",Record!B819)</f>
        <v/>
      </c>
      <c r="C818" s="227" t="str">
        <f>IF(ISBLANK(Record!C819),"",Record!C819)</f>
        <v/>
      </c>
      <c r="D818" t="str">
        <f>IF(ISBLANK(Record!D819),"",Record!D819)</f>
        <v/>
      </c>
      <c r="E818" t="str">
        <f>IF(ISBLANK(Record!E819),"",Record!E819)</f>
        <v/>
      </c>
      <c r="M818" t="str">
        <f t="shared" si="84"/>
        <v xml:space="preserve">          </v>
      </c>
      <c r="N818" s="227" t="str">
        <f t="shared" si="85"/>
        <v/>
      </c>
      <c r="X818" t="str">
        <f t="shared" si="86"/>
        <v xml:space="preserve">          </v>
      </c>
      <c r="Y818" s="227" t="str">
        <f t="shared" si="87"/>
        <v/>
      </c>
      <c r="Z818" t="str">
        <f t="shared" si="88"/>
        <v/>
      </c>
      <c r="AL818" t="str">
        <f t="shared" si="89"/>
        <v/>
      </c>
      <c r="AM818" t="str">
        <f t="shared" si="90"/>
        <v/>
      </c>
    </row>
    <row r="819" spans="1:39">
      <c r="A819" t="str">
        <f>IF(ISBLANK(Record!A820),"",Record!A820)</f>
        <v/>
      </c>
      <c r="B819" t="str">
        <f>IF(ISBLANK(Record!B820),"",Record!B820)</f>
        <v/>
      </c>
      <c r="C819" s="227" t="str">
        <f>IF(ISBLANK(Record!C820),"",Record!C820)</f>
        <v/>
      </c>
      <c r="D819" t="str">
        <f>IF(ISBLANK(Record!D820),"",Record!D820)</f>
        <v/>
      </c>
      <c r="E819" t="str">
        <f>IF(ISBLANK(Record!E820),"",Record!E820)</f>
        <v/>
      </c>
      <c r="M819" t="str">
        <f t="shared" si="84"/>
        <v xml:space="preserve">          </v>
      </c>
      <c r="N819" s="227" t="str">
        <f t="shared" si="85"/>
        <v/>
      </c>
      <c r="X819" t="str">
        <f t="shared" si="86"/>
        <v xml:space="preserve">          </v>
      </c>
      <c r="Y819" s="227" t="str">
        <f t="shared" si="87"/>
        <v/>
      </c>
      <c r="Z819" t="str">
        <f t="shared" si="88"/>
        <v/>
      </c>
      <c r="AL819" t="str">
        <f t="shared" si="89"/>
        <v/>
      </c>
      <c r="AM819" t="str">
        <f t="shared" si="90"/>
        <v/>
      </c>
    </row>
    <row r="820" spans="1:39">
      <c r="A820" t="str">
        <f>IF(ISBLANK(Record!A821),"",Record!A821)</f>
        <v/>
      </c>
      <c r="B820" t="str">
        <f>IF(ISBLANK(Record!B821),"",Record!B821)</f>
        <v/>
      </c>
      <c r="C820" s="227" t="str">
        <f>IF(ISBLANK(Record!C821),"",Record!C821)</f>
        <v/>
      </c>
      <c r="D820" t="str">
        <f>IF(ISBLANK(Record!D821),"",Record!D821)</f>
        <v/>
      </c>
      <c r="E820" t="str">
        <f>IF(ISBLANK(Record!E821),"",Record!E821)</f>
        <v/>
      </c>
      <c r="M820" t="str">
        <f t="shared" si="84"/>
        <v xml:space="preserve">          </v>
      </c>
      <c r="N820" s="227" t="str">
        <f t="shared" si="85"/>
        <v/>
      </c>
      <c r="X820" t="str">
        <f t="shared" si="86"/>
        <v xml:space="preserve">          </v>
      </c>
      <c r="Y820" s="227" t="str">
        <f t="shared" si="87"/>
        <v/>
      </c>
      <c r="Z820" t="str">
        <f t="shared" si="88"/>
        <v/>
      </c>
      <c r="AL820" t="str">
        <f t="shared" si="89"/>
        <v/>
      </c>
      <c r="AM820" t="str">
        <f t="shared" si="90"/>
        <v/>
      </c>
    </row>
    <row r="821" spans="1:39">
      <c r="A821" t="str">
        <f>IF(ISBLANK(Record!A822),"",Record!A822)</f>
        <v/>
      </c>
      <c r="B821" t="str">
        <f>IF(ISBLANK(Record!B822),"",Record!B822)</f>
        <v/>
      </c>
      <c r="C821" s="227" t="str">
        <f>IF(ISBLANK(Record!C822),"",Record!C822)</f>
        <v/>
      </c>
      <c r="D821" t="str">
        <f>IF(ISBLANK(Record!D822),"",Record!D822)</f>
        <v/>
      </c>
      <c r="E821" t="str">
        <f>IF(ISBLANK(Record!E822),"",Record!E822)</f>
        <v/>
      </c>
      <c r="M821" t="str">
        <f t="shared" si="84"/>
        <v xml:space="preserve">          </v>
      </c>
      <c r="N821" s="227" t="str">
        <f t="shared" si="85"/>
        <v/>
      </c>
      <c r="X821" t="str">
        <f t="shared" si="86"/>
        <v xml:space="preserve">          </v>
      </c>
      <c r="Y821" s="227" t="str">
        <f t="shared" si="87"/>
        <v/>
      </c>
      <c r="Z821" t="str">
        <f t="shared" si="88"/>
        <v/>
      </c>
      <c r="AL821" t="str">
        <f t="shared" si="89"/>
        <v/>
      </c>
      <c r="AM821" t="str">
        <f t="shared" si="90"/>
        <v/>
      </c>
    </row>
    <row r="822" spans="1:39">
      <c r="A822" t="str">
        <f>IF(ISBLANK(Record!A823),"",Record!A823)</f>
        <v/>
      </c>
      <c r="B822" t="str">
        <f>IF(ISBLANK(Record!B823),"",Record!B823)</f>
        <v/>
      </c>
      <c r="C822" s="227" t="str">
        <f>IF(ISBLANK(Record!C823),"",Record!C823)</f>
        <v/>
      </c>
      <c r="D822" t="str">
        <f>IF(ISBLANK(Record!D823),"",Record!D823)</f>
        <v/>
      </c>
      <c r="E822" t="str">
        <f>IF(ISBLANK(Record!E823),"",Record!E823)</f>
        <v/>
      </c>
      <c r="M822" t="str">
        <f t="shared" si="84"/>
        <v xml:space="preserve">          </v>
      </c>
      <c r="N822" s="227" t="str">
        <f t="shared" si="85"/>
        <v/>
      </c>
      <c r="X822" t="str">
        <f t="shared" si="86"/>
        <v xml:space="preserve">          </v>
      </c>
      <c r="Y822" s="227" t="str">
        <f t="shared" si="87"/>
        <v/>
      </c>
      <c r="Z822" t="str">
        <f t="shared" si="88"/>
        <v/>
      </c>
      <c r="AL822" t="str">
        <f t="shared" si="89"/>
        <v/>
      </c>
      <c r="AM822" t="str">
        <f t="shared" si="90"/>
        <v/>
      </c>
    </row>
    <row r="823" spans="1:39">
      <c r="A823" t="str">
        <f>IF(ISBLANK(Record!A824),"",Record!A824)</f>
        <v/>
      </c>
      <c r="B823" t="str">
        <f>IF(ISBLANK(Record!B824),"",Record!B824)</f>
        <v/>
      </c>
      <c r="C823" s="227" t="str">
        <f>IF(ISBLANK(Record!C824),"",Record!C824)</f>
        <v/>
      </c>
      <c r="D823" t="str">
        <f>IF(ISBLANK(Record!D824),"",Record!D824)</f>
        <v/>
      </c>
      <c r="E823" t="str">
        <f>IF(ISBLANK(Record!E824),"",Record!E824)</f>
        <v/>
      </c>
      <c r="M823" t="str">
        <f t="shared" si="84"/>
        <v xml:space="preserve">          </v>
      </c>
      <c r="N823" s="227" t="str">
        <f t="shared" si="85"/>
        <v/>
      </c>
      <c r="X823" t="str">
        <f t="shared" si="86"/>
        <v xml:space="preserve">          </v>
      </c>
      <c r="Y823" s="227" t="str">
        <f t="shared" si="87"/>
        <v/>
      </c>
      <c r="Z823" t="str">
        <f t="shared" si="88"/>
        <v/>
      </c>
      <c r="AL823" t="str">
        <f t="shared" si="89"/>
        <v/>
      </c>
      <c r="AM823" t="str">
        <f t="shared" si="90"/>
        <v/>
      </c>
    </row>
    <row r="824" spans="1:39">
      <c r="A824" t="str">
        <f>IF(ISBLANK(Record!A825),"",Record!A825)</f>
        <v/>
      </c>
      <c r="B824" t="str">
        <f>IF(ISBLANK(Record!B825),"",Record!B825)</f>
        <v/>
      </c>
      <c r="C824" s="227" t="str">
        <f>IF(ISBLANK(Record!C825),"",Record!C825)</f>
        <v/>
      </c>
      <c r="D824" t="str">
        <f>IF(ISBLANK(Record!D825),"",Record!D825)</f>
        <v/>
      </c>
      <c r="E824" t="str">
        <f>IF(ISBLANK(Record!E825),"",Record!E825)</f>
        <v/>
      </c>
      <c r="M824" t="str">
        <f t="shared" si="84"/>
        <v xml:space="preserve">          </v>
      </c>
      <c r="N824" s="227" t="str">
        <f t="shared" si="85"/>
        <v/>
      </c>
      <c r="X824" t="str">
        <f t="shared" si="86"/>
        <v xml:space="preserve">          </v>
      </c>
      <c r="Y824" s="227" t="str">
        <f t="shared" si="87"/>
        <v/>
      </c>
      <c r="Z824" t="str">
        <f t="shared" si="88"/>
        <v/>
      </c>
      <c r="AL824" t="str">
        <f t="shared" si="89"/>
        <v/>
      </c>
      <c r="AM824" t="str">
        <f t="shared" si="90"/>
        <v/>
      </c>
    </row>
    <row r="825" spans="1:39">
      <c r="A825" t="str">
        <f>IF(ISBLANK(Record!A826),"",Record!A826)</f>
        <v/>
      </c>
      <c r="B825" t="str">
        <f>IF(ISBLANK(Record!B826),"",Record!B826)</f>
        <v/>
      </c>
      <c r="C825" s="227" t="str">
        <f>IF(ISBLANK(Record!C826),"",Record!C826)</f>
        <v/>
      </c>
      <c r="D825" t="str">
        <f>IF(ISBLANK(Record!D826),"",Record!D826)</f>
        <v/>
      </c>
      <c r="E825" t="str">
        <f>IF(ISBLANK(Record!E826),"",Record!E826)</f>
        <v/>
      </c>
      <c r="M825" t="str">
        <f t="shared" si="84"/>
        <v xml:space="preserve">          </v>
      </c>
      <c r="N825" s="227" t="str">
        <f t="shared" si="85"/>
        <v/>
      </c>
      <c r="X825" t="str">
        <f t="shared" si="86"/>
        <v xml:space="preserve">          </v>
      </c>
      <c r="Y825" s="227" t="str">
        <f t="shared" si="87"/>
        <v/>
      </c>
      <c r="Z825" t="str">
        <f t="shared" si="88"/>
        <v/>
      </c>
      <c r="AL825" t="str">
        <f t="shared" si="89"/>
        <v/>
      </c>
      <c r="AM825" t="str">
        <f t="shared" si="90"/>
        <v/>
      </c>
    </row>
    <row r="826" spans="1:39">
      <c r="A826" t="str">
        <f>IF(ISBLANK(Record!A827),"",Record!A827)</f>
        <v/>
      </c>
      <c r="B826" t="str">
        <f>IF(ISBLANK(Record!B827),"",Record!B827)</f>
        <v/>
      </c>
      <c r="C826" s="227" t="str">
        <f>IF(ISBLANK(Record!C827),"",Record!C827)</f>
        <v/>
      </c>
      <c r="D826" t="str">
        <f>IF(ISBLANK(Record!D827),"",Record!D827)</f>
        <v/>
      </c>
      <c r="E826" t="str">
        <f>IF(ISBLANK(Record!E827),"",Record!E827)</f>
        <v/>
      </c>
      <c r="M826" t="str">
        <f t="shared" si="84"/>
        <v xml:space="preserve">          </v>
      </c>
      <c r="N826" s="227" t="str">
        <f t="shared" si="85"/>
        <v/>
      </c>
      <c r="X826" t="str">
        <f t="shared" si="86"/>
        <v xml:space="preserve">          </v>
      </c>
      <c r="Y826" s="227" t="str">
        <f t="shared" si="87"/>
        <v/>
      </c>
      <c r="Z826" t="str">
        <f t="shared" si="88"/>
        <v/>
      </c>
      <c r="AL826" t="str">
        <f t="shared" si="89"/>
        <v/>
      </c>
      <c r="AM826" t="str">
        <f t="shared" si="90"/>
        <v/>
      </c>
    </row>
    <row r="827" spans="1:39">
      <c r="A827" t="str">
        <f>IF(ISBLANK(Record!A828),"",Record!A828)</f>
        <v/>
      </c>
      <c r="B827" t="str">
        <f>IF(ISBLANK(Record!B828),"",Record!B828)</f>
        <v/>
      </c>
      <c r="C827" s="227" t="str">
        <f>IF(ISBLANK(Record!C828),"",Record!C828)</f>
        <v/>
      </c>
      <c r="D827" t="str">
        <f>IF(ISBLANK(Record!D828),"",Record!D828)</f>
        <v/>
      </c>
      <c r="E827" t="str">
        <f>IF(ISBLANK(Record!E828),"",Record!E828)</f>
        <v/>
      </c>
      <c r="M827" t="str">
        <f t="shared" si="84"/>
        <v xml:space="preserve">          </v>
      </c>
      <c r="N827" s="227" t="str">
        <f t="shared" si="85"/>
        <v/>
      </c>
      <c r="X827" t="str">
        <f t="shared" si="86"/>
        <v xml:space="preserve">          </v>
      </c>
      <c r="Y827" s="227" t="str">
        <f t="shared" si="87"/>
        <v/>
      </c>
      <c r="Z827" t="str">
        <f t="shared" si="88"/>
        <v/>
      </c>
      <c r="AL827" t="str">
        <f t="shared" si="89"/>
        <v/>
      </c>
      <c r="AM827" t="str">
        <f t="shared" si="90"/>
        <v/>
      </c>
    </row>
    <row r="828" spans="1:39">
      <c r="A828" t="str">
        <f>IF(ISBLANK(Record!A829),"",Record!A829)</f>
        <v/>
      </c>
      <c r="B828" t="str">
        <f>IF(ISBLANK(Record!B829),"",Record!B829)</f>
        <v/>
      </c>
      <c r="C828" s="227" t="str">
        <f>IF(ISBLANK(Record!C829),"",Record!C829)</f>
        <v/>
      </c>
      <c r="D828" t="str">
        <f>IF(ISBLANK(Record!D829),"",Record!D829)</f>
        <v/>
      </c>
      <c r="E828" t="str">
        <f>IF(ISBLANK(Record!E829),"",Record!E829)</f>
        <v/>
      </c>
      <c r="M828" t="str">
        <f t="shared" si="84"/>
        <v xml:space="preserve">          </v>
      </c>
      <c r="N828" s="227" t="str">
        <f t="shared" si="85"/>
        <v/>
      </c>
      <c r="X828" t="str">
        <f t="shared" si="86"/>
        <v xml:space="preserve">          </v>
      </c>
      <c r="Y828" s="227" t="str">
        <f t="shared" si="87"/>
        <v/>
      </c>
      <c r="Z828" t="str">
        <f t="shared" si="88"/>
        <v/>
      </c>
      <c r="AL828" t="str">
        <f t="shared" si="89"/>
        <v/>
      </c>
      <c r="AM828" t="str">
        <f t="shared" si="90"/>
        <v/>
      </c>
    </row>
    <row r="829" spans="1:39">
      <c r="A829" t="str">
        <f>IF(ISBLANK(Record!A830),"",Record!A830)</f>
        <v/>
      </c>
      <c r="B829" t="str">
        <f>IF(ISBLANK(Record!B830),"",Record!B830)</f>
        <v/>
      </c>
      <c r="C829" s="227" t="str">
        <f>IF(ISBLANK(Record!C830),"",Record!C830)</f>
        <v/>
      </c>
      <c r="D829" t="str">
        <f>IF(ISBLANK(Record!D830),"",Record!D830)</f>
        <v/>
      </c>
      <c r="E829" t="str">
        <f>IF(ISBLANK(Record!E830),"",Record!E830)</f>
        <v/>
      </c>
      <c r="M829" t="str">
        <f t="shared" si="84"/>
        <v xml:space="preserve">          </v>
      </c>
      <c r="N829" s="227" t="str">
        <f t="shared" si="85"/>
        <v/>
      </c>
      <c r="X829" t="str">
        <f t="shared" si="86"/>
        <v xml:space="preserve">          </v>
      </c>
      <c r="Y829" s="227" t="str">
        <f t="shared" si="87"/>
        <v/>
      </c>
      <c r="Z829" t="str">
        <f t="shared" si="88"/>
        <v/>
      </c>
      <c r="AL829" t="str">
        <f t="shared" si="89"/>
        <v/>
      </c>
      <c r="AM829" t="str">
        <f t="shared" si="90"/>
        <v/>
      </c>
    </row>
    <row r="830" spans="1:39">
      <c r="A830" t="str">
        <f>IF(ISBLANK(Record!A831),"",Record!A831)</f>
        <v/>
      </c>
      <c r="B830" t="str">
        <f>IF(ISBLANK(Record!B831),"",Record!B831)</f>
        <v/>
      </c>
      <c r="C830" s="227" t="str">
        <f>IF(ISBLANK(Record!C831),"",Record!C831)</f>
        <v/>
      </c>
      <c r="D830" t="str">
        <f>IF(ISBLANK(Record!D831),"",Record!D831)</f>
        <v/>
      </c>
      <c r="E830" t="str">
        <f>IF(ISBLANK(Record!E831),"",Record!E831)</f>
        <v/>
      </c>
      <c r="M830" t="str">
        <f t="shared" si="84"/>
        <v xml:space="preserve">          </v>
      </c>
      <c r="N830" s="227" t="str">
        <f t="shared" si="85"/>
        <v/>
      </c>
      <c r="X830" t="str">
        <f t="shared" si="86"/>
        <v xml:space="preserve">          </v>
      </c>
      <c r="Y830" s="227" t="str">
        <f t="shared" si="87"/>
        <v/>
      </c>
      <c r="Z830" t="str">
        <f t="shared" si="88"/>
        <v/>
      </c>
      <c r="AL830" t="str">
        <f t="shared" si="89"/>
        <v/>
      </c>
      <c r="AM830" t="str">
        <f t="shared" si="90"/>
        <v/>
      </c>
    </row>
    <row r="831" spans="1:39">
      <c r="A831" t="str">
        <f>IF(ISBLANK(Record!A832),"",Record!A832)</f>
        <v/>
      </c>
      <c r="B831" t="str">
        <f>IF(ISBLANK(Record!B832),"",Record!B832)</f>
        <v/>
      </c>
      <c r="C831" s="227" t="str">
        <f>IF(ISBLANK(Record!C832),"",Record!C832)</f>
        <v/>
      </c>
      <c r="D831" t="str">
        <f>IF(ISBLANK(Record!D832),"",Record!D832)</f>
        <v/>
      </c>
      <c r="E831" t="str">
        <f>IF(ISBLANK(Record!E832),"",Record!E832)</f>
        <v/>
      </c>
      <c r="M831" t="str">
        <f t="shared" si="84"/>
        <v xml:space="preserve">          </v>
      </c>
      <c r="N831" s="227" t="str">
        <f t="shared" si="85"/>
        <v/>
      </c>
      <c r="X831" t="str">
        <f t="shared" si="86"/>
        <v xml:space="preserve">          </v>
      </c>
      <c r="Y831" s="227" t="str">
        <f t="shared" si="87"/>
        <v/>
      </c>
      <c r="Z831" t="str">
        <f t="shared" si="88"/>
        <v/>
      </c>
      <c r="AL831" t="str">
        <f t="shared" si="89"/>
        <v/>
      </c>
      <c r="AM831" t="str">
        <f t="shared" si="90"/>
        <v/>
      </c>
    </row>
    <row r="832" spans="1:39">
      <c r="A832" t="str">
        <f>IF(ISBLANK(Record!A833),"",Record!A833)</f>
        <v/>
      </c>
      <c r="B832" t="str">
        <f>IF(ISBLANK(Record!B833),"",Record!B833)</f>
        <v/>
      </c>
      <c r="C832" s="227" t="str">
        <f>IF(ISBLANK(Record!C833),"",Record!C833)</f>
        <v/>
      </c>
      <c r="D832" t="str">
        <f>IF(ISBLANK(Record!D833),"",Record!D833)</f>
        <v/>
      </c>
      <c r="E832" t="str">
        <f>IF(ISBLANK(Record!E833),"",Record!E833)</f>
        <v/>
      </c>
      <c r="M832" t="str">
        <f t="shared" si="84"/>
        <v xml:space="preserve">          </v>
      </c>
      <c r="N832" s="227" t="str">
        <f t="shared" si="85"/>
        <v/>
      </c>
      <c r="X832" t="str">
        <f t="shared" si="86"/>
        <v xml:space="preserve">          </v>
      </c>
      <c r="Y832" s="227" t="str">
        <f t="shared" si="87"/>
        <v/>
      </c>
      <c r="Z832" t="str">
        <f t="shared" si="88"/>
        <v/>
      </c>
      <c r="AL832" t="str">
        <f t="shared" si="89"/>
        <v/>
      </c>
      <c r="AM832" t="str">
        <f t="shared" si="90"/>
        <v/>
      </c>
    </row>
    <row r="833" spans="1:39">
      <c r="A833" t="str">
        <f>IF(ISBLANK(Record!A834),"",Record!A834)</f>
        <v/>
      </c>
      <c r="B833" t="str">
        <f>IF(ISBLANK(Record!B834),"",Record!B834)</f>
        <v/>
      </c>
      <c r="C833" s="227" t="str">
        <f>IF(ISBLANK(Record!C834),"",Record!C834)</f>
        <v/>
      </c>
      <c r="D833" t="str">
        <f>IF(ISBLANK(Record!D834),"",Record!D834)</f>
        <v/>
      </c>
      <c r="E833" t="str">
        <f>IF(ISBLANK(Record!E834),"",Record!E834)</f>
        <v/>
      </c>
      <c r="M833" t="str">
        <f t="shared" si="84"/>
        <v xml:space="preserve">          </v>
      </c>
      <c r="N833" s="227" t="str">
        <f t="shared" si="85"/>
        <v/>
      </c>
      <c r="X833" t="str">
        <f t="shared" si="86"/>
        <v xml:space="preserve">          </v>
      </c>
      <c r="Y833" s="227" t="str">
        <f t="shared" si="87"/>
        <v/>
      </c>
      <c r="Z833" t="str">
        <f t="shared" si="88"/>
        <v/>
      </c>
      <c r="AL833" t="str">
        <f t="shared" si="89"/>
        <v/>
      </c>
      <c r="AM833" t="str">
        <f t="shared" si="90"/>
        <v/>
      </c>
    </row>
    <row r="834" spans="1:39">
      <c r="A834" t="str">
        <f>IF(ISBLANK(Record!A835),"",Record!A835)</f>
        <v/>
      </c>
      <c r="B834" t="str">
        <f>IF(ISBLANK(Record!B835),"",Record!B835)</f>
        <v/>
      </c>
      <c r="C834" s="227" t="str">
        <f>IF(ISBLANK(Record!C835),"",Record!C835)</f>
        <v/>
      </c>
      <c r="D834" t="str">
        <f>IF(ISBLANK(Record!D835),"",Record!D835)</f>
        <v/>
      </c>
      <c r="E834" t="str">
        <f>IF(ISBLANK(Record!E835),"",Record!E835)</f>
        <v/>
      </c>
      <c r="M834" t="str">
        <f t="shared" si="84"/>
        <v xml:space="preserve">          </v>
      </c>
      <c r="N834" s="227" t="str">
        <f t="shared" si="85"/>
        <v/>
      </c>
      <c r="X834" t="str">
        <f t="shared" si="86"/>
        <v xml:space="preserve">          </v>
      </c>
      <c r="Y834" s="227" t="str">
        <f t="shared" si="87"/>
        <v/>
      </c>
      <c r="Z834" t="str">
        <f t="shared" si="88"/>
        <v/>
      </c>
      <c r="AL834" t="str">
        <f t="shared" si="89"/>
        <v/>
      </c>
      <c r="AM834" t="str">
        <f t="shared" si="90"/>
        <v/>
      </c>
    </row>
    <row r="835" spans="1:39">
      <c r="A835" t="str">
        <f>IF(ISBLANK(Record!A836),"",Record!A836)</f>
        <v/>
      </c>
      <c r="B835" t="str">
        <f>IF(ISBLANK(Record!B836),"",Record!B836)</f>
        <v/>
      </c>
      <c r="C835" s="227" t="str">
        <f>IF(ISBLANK(Record!C836),"",Record!C836)</f>
        <v/>
      </c>
      <c r="D835" t="str">
        <f>IF(ISBLANK(Record!D836),"",Record!D836)</f>
        <v/>
      </c>
      <c r="E835" t="str">
        <f>IF(ISBLANK(Record!E836),"",Record!E836)</f>
        <v/>
      </c>
      <c r="M835" t="str">
        <f t="shared" ref="M835:M898" si="91">RIGHT("                                   " &amp; A835,10)</f>
        <v xml:space="preserve">          </v>
      </c>
      <c r="N835" s="227" t="str">
        <f t="shared" ref="N835:N898" si="92">RIGHT(C835,16)</f>
        <v/>
      </c>
      <c r="X835" t="str">
        <f t="shared" ref="X835:X898" si="93">RIGHT("                                   " &amp; A835,10)</f>
        <v xml:space="preserve">          </v>
      </c>
      <c r="Y835" s="227" t="str">
        <f t="shared" ref="Y835:Y898" si="94">RIGHT(C835,16)</f>
        <v/>
      </c>
      <c r="Z835" t="str">
        <f t="shared" ref="Z835:Z898" si="95">RIGHT(D835,8)</f>
        <v/>
      </c>
      <c r="AL835" t="str">
        <f t="shared" ref="AL835:AL898" si="96">D835</f>
        <v/>
      </c>
      <c r="AM835" t="str">
        <f t="shared" ref="AM835:AM898" si="97">IF(E835&lt;&gt;AL835,E835,E835)</f>
        <v/>
      </c>
    </row>
    <row r="836" spans="1:39">
      <c r="A836" t="str">
        <f>IF(ISBLANK(Record!A837),"",Record!A837)</f>
        <v/>
      </c>
      <c r="B836" t="str">
        <f>IF(ISBLANK(Record!B837),"",Record!B837)</f>
        <v/>
      </c>
      <c r="C836" s="227" t="str">
        <f>IF(ISBLANK(Record!C837),"",Record!C837)</f>
        <v/>
      </c>
      <c r="D836" t="str">
        <f>IF(ISBLANK(Record!D837),"",Record!D837)</f>
        <v/>
      </c>
      <c r="E836" t="str">
        <f>IF(ISBLANK(Record!E837),"",Record!E837)</f>
        <v/>
      </c>
      <c r="M836" t="str">
        <f t="shared" si="91"/>
        <v xml:space="preserve">          </v>
      </c>
      <c r="N836" s="227" t="str">
        <f t="shared" si="92"/>
        <v/>
      </c>
      <c r="X836" t="str">
        <f t="shared" si="93"/>
        <v xml:space="preserve">          </v>
      </c>
      <c r="Y836" s="227" t="str">
        <f t="shared" si="94"/>
        <v/>
      </c>
      <c r="Z836" t="str">
        <f t="shared" si="95"/>
        <v/>
      </c>
      <c r="AL836" t="str">
        <f t="shared" si="96"/>
        <v/>
      </c>
      <c r="AM836" t="str">
        <f t="shared" si="97"/>
        <v/>
      </c>
    </row>
    <row r="837" spans="1:39">
      <c r="A837" t="str">
        <f>IF(ISBLANK(Record!A838),"",Record!A838)</f>
        <v/>
      </c>
      <c r="B837" t="str">
        <f>IF(ISBLANK(Record!B838),"",Record!B838)</f>
        <v/>
      </c>
      <c r="C837" s="227" t="str">
        <f>IF(ISBLANK(Record!C838),"",Record!C838)</f>
        <v/>
      </c>
      <c r="D837" t="str">
        <f>IF(ISBLANK(Record!D838),"",Record!D838)</f>
        <v/>
      </c>
      <c r="E837" t="str">
        <f>IF(ISBLANK(Record!E838),"",Record!E838)</f>
        <v/>
      </c>
      <c r="M837" t="str">
        <f t="shared" si="91"/>
        <v xml:space="preserve">          </v>
      </c>
      <c r="N837" s="227" t="str">
        <f t="shared" si="92"/>
        <v/>
      </c>
      <c r="X837" t="str">
        <f t="shared" si="93"/>
        <v xml:space="preserve">          </v>
      </c>
      <c r="Y837" s="227" t="str">
        <f t="shared" si="94"/>
        <v/>
      </c>
      <c r="Z837" t="str">
        <f t="shared" si="95"/>
        <v/>
      </c>
      <c r="AL837" t="str">
        <f t="shared" si="96"/>
        <v/>
      </c>
      <c r="AM837" t="str">
        <f t="shared" si="97"/>
        <v/>
      </c>
    </row>
    <row r="838" spans="1:39">
      <c r="A838" t="str">
        <f>IF(ISBLANK(Record!A839),"",Record!A839)</f>
        <v/>
      </c>
      <c r="B838" t="str">
        <f>IF(ISBLANK(Record!B839),"",Record!B839)</f>
        <v/>
      </c>
      <c r="C838" s="227" t="str">
        <f>IF(ISBLANK(Record!C839),"",Record!C839)</f>
        <v/>
      </c>
      <c r="D838" t="str">
        <f>IF(ISBLANK(Record!D839),"",Record!D839)</f>
        <v/>
      </c>
      <c r="E838" t="str">
        <f>IF(ISBLANK(Record!E839),"",Record!E839)</f>
        <v/>
      </c>
      <c r="M838" t="str">
        <f t="shared" si="91"/>
        <v xml:space="preserve">          </v>
      </c>
      <c r="N838" s="227" t="str">
        <f t="shared" si="92"/>
        <v/>
      </c>
      <c r="X838" t="str">
        <f t="shared" si="93"/>
        <v xml:space="preserve">          </v>
      </c>
      <c r="Y838" s="227" t="str">
        <f t="shared" si="94"/>
        <v/>
      </c>
      <c r="Z838" t="str">
        <f t="shared" si="95"/>
        <v/>
      </c>
      <c r="AL838" t="str">
        <f t="shared" si="96"/>
        <v/>
      </c>
      <c r="AM838" t="str">
        <f t="shared" si="97"/>
        <v/>
      </c>
    </row>
    <row r="839" spans="1:39">
      <c r="A839" t="str">
        <f>IF(ISBLANK(Record!A840),"",Record!A840)</f>
        <v/>
      </c>
      <c r="B839" t="str">
        <f>IF(ISBLANK(Record!B840),"",Record!B840)</f>
        <v/>
      </c>
      <c r="C839" s="227" t="str">
        <f>IF(ISBLANK(Record!C840),"",Record!C840)</f>
        <v/>
      </c>
      <c r="D839" t="str">
        <f>IF(ISBLANK(Record!D840),"",Record!D840)</f>
        <v/>
      </c>
      <c r="E839" t="str">
        <f>IF(ISBLANK(Record!E840),"",Record!E840)</f>
        <v/>
      </c>
      <c r="M839" t="str">
        <f t="shared" si="91"/>
        <v xml:space="preserve">          </v>
      </c>
      <c r="N839" s="227" t="str">
        <f t="shared" si="92"/>
        <v/>
      </c>
      <c r="X839" t="str">
        <f t="shared" si="93"/>
        <v xml:space="preserve">          </v>
      </c>
      <c r="Y839" s="227" t="str">
        <f t="shared" si="94"/>
        <v/>
      </c>
      <c r="Z839" t="str">
        <f t="shared" si="95"/>
        <v/>
      </c>
      <c r="AL839" t="str">
        <f t="shared" si="96"/>
        <v/>
      </c>
      <c r="AM839" t="str">
        <f t="shared" si="97"/>
        <v/>
      </c>
    </row>
    <row r="840" spans="1:39">
      <c r="A840" t="str">
        <f>IF(ISBLANK(Record!A841),"",Record!A841)</f>
        <v/>
      </c>
      <c r="B840" t="str">
        <f>IF(ISBLANK(Record!B841),"",Record!B841)</f>
        <v/>
      </c>
      <c r="C840" s="227" t="str">
        <f>IF(ISBLANK(Record!C841),"",Record!C841)</f>
        <v/>
      </c>
      <c r="D840" t="str">
        <f>IF(ISBLANK(Record!D841),"",Record!D841)</f>
        <v/>
      </c>
      <c r="E840" t="str">
        <f>IF(ISBLANK(Record!E841),"",Record!E841)</f>
        <v/>
      </c>
      <c r="M840" t="str">
        <f t="shared" si="91"/>
        <v xml:space="preserve">          </v>
      </c>
      <c r="N840" s="227" t="str">
        <f t="shared" si="92"/>
        <v/>
      </c>
      <c r="X840" t="str">
        <f t="shared" si="93"/>
        <v xml:space="preserve">          </v>
      </c>
      <c r="Y840" s="227" t="str">
        <f t="shared" si="94"/>
        <v/>
      </c>
      <c r="Z840" t="str">
        <f t="shared" si="95"/>
        <v/>
      </c>
      <c r="AL840" t="str">
        <f t="shared" si="96"/>
        <v/>
      </c>
      <c r="AM840" t="str">
        <f t="shared" si="97"/>
        <v/>
      </c>
    </row>
    <row r="841" spans="1:39">
      <c r="A841" t="str">
        <f>IF(ISBLANK(Record!A842),"",Record!A842)</f>
        <v/>
      </c>
      <c r="B841" t="str">
        <f>IF(ISBLANK(Record!B842),"",Record!B842)</f>
        <v/>
      </c>
      <c r="C841" s="227" t="str">
        <f>IF(ISBLANK(Record!C842),"",Record!C842)</f>
        <v/>
      </c>
      <c r="D841" t="str">
        <f>IF(ISBLANK(Record!D842),"",Record!D842)</f>
        <v/>
      </c>
      <c r="E841" t="str">
        <f>IF(ISBLANK(Record!E842),"",Record!E842)</f>
        <v/>
      </c>
      <c r="M841" t="str">
        <f t="shared" si="91"/>
        <v xml:space="preserve">          </v>
      </c>
      <c r="N841" s="227" t="str">
        <f t="shared" si="92"/>
        <v/>
      </c>
      <c r="X841" t="str">
        <f t="shared" si="93"/>
        <v xml:space="preserve">          </v>
      </c>
      <c r="Y841" s="227" t="str">
        <f t="shared" si="94"/>
        <v/>
      </c>
      <c r="Z841" t="str">
        <f t="shared" si="95"/>
        <v/>
      </c>
      <c r="AL841" t="str">
        <f t="shared" si="96"/>
        <v/>
      </c>
      <c r="AM841" t="str">
        <f t="shared" si="97"/>
        <v/>
      </c>
    </row>
    <row r="842" spans="1:39">
      <c r="A842" t="str">
        <f>IF(ISBLANK(Record!A843),"",Record!A843)</f>
        <v/>
      </c>
      <c r="B842" t="str">
        <f>IF(ISBLANK(Record!B843),"",Record!B843)</f>
        <v/>
      </c>
      <c r="C842" s="227" t="str">
        <f>IF(ISBLANK(Record!C843),"",Record!C843)</f>
        <v/>
      </c>
      <c r="D842" t="str">
        <f>IF(ISBLANK(Record!D843),"",Record!D843)</f>
        <v/>
      </c>
      <c r="E842" t="str">
        <f>IF(ISBLANK(Record!E843),"",Record!E843)</f>
        <v/>
      </c>
      <c r="M842" t="str">
        <f t="shared" si="91"/>
        <v xml:space="preserve">          </v>
      </c>
      <c r="N842" s="227" t="str">
        <f t="shared" si="92"/>
        <v/>
      </c>
      <c r="X842" t="str">
        <f t="shared" si="93"/>
        <v xml:space="preserve">          </v>
      </c>
      <c r="Y842" s="227" t="str">
        <f t="shared" si="94"/>
        <v/>
      </c>
      <c r="Z842" t="str">
        <f t="shared" si="95"/>
        <v/>
      </c>
      <c r="AL842" t="str">
        <f t="shared" si="96"/>
        <v/>
      </c>
      <c r="AM842" t="str">
        <f t="shared" si="97"/>
        <v/>
      </c>
    </row>
    <row r="843" spans="1:39">
      <c r="A843" t="str">
        <f>IF(ISBLANK(Record!A844),"",Record!A844)</f>
        <v/>
      </c>
      <c r="B843" t="str">
        <f>IF(ISBLANK(Record!B844),"",Record!B844)</f>
        <v/>
      </c>
      <c r="C843" s="227" t="str">
        <f>IF(ISBLANK(Record!C844),"",Record!C844)</f>
        <v/>
      </c>
      <c r="D843" t="str">
        <f>IF(ISBLANK(Record!D844),"",Record!D844)</f>
        <v/>
      </c>
      <c r="E843" t="str">
        <f>IF(ISBLANK(Record!E844),"",Record!E844)</f>
        <v/>
      </c>
      <c r="M843" t="str">
        <f t="shared" si="91"/>
        <v xml:space="preserve">          </v>
      </c>
      <c r="N843" s="227" t="str">
        <f t="shared" si="92"/>
        <v/>
      </c>
      <c r="X843" t="str">
        <f t="shared" si="93"/>
        <v xml:space="preserve">          </v>
      </c>
      <c r="Y843" s="227" t="str">
        <f t="shared" si="94"/>
        <v/>
      </c>
      <c r="Z843" t="str">
        <f t="shared" si="95"/>
        <v/>
      </c>
      <c r="AL843" t="str">
        <f t="shared" si="96"/>
        <v/>
      </c>
      <c r="AM843" t="str">
        <f t="shared" si="97"/>
        <v/>
      </c>
    </row>
    <row r="844" spans="1:39">
      <c r="A844" t="str">
        <f>IF(ISBLANK(Record!A845),"",Record!A845)</f>
        <v/>
      </c>
      <c r="B844" t="str">
        <f>IF(ISBLANK(Record!B845),"",Record!B845)</f>
        <v/>
      </c>
      <c r="C844" s="227" t="str">
        <f>IF(ISBLANK(Record!C845),"",Record!C845)</f>
        <v/>
      </c>
      <c r="D844" t="str">
        <f>IF(ISBLANK(Record!D845),"",Record!D845)</f>
        <v/>
      </c>
      <c r="E844" t="str">
        <f>IF(ISBLANK(Record!E845),"",Record!E845)</f>
        <v/>
      </c>
      <c r="M844" t="str">
        <f t="shared" si="91"/>
        <v xml:space="preserve">          </v>
      </c>
      <c r="N844" s="227" t="str">
        <f t="shared" si="92"/>
        <v/>
      </c>
      <c r="X844" t="str">
        <f t="shared" si="93"/>
        <v xml:space="preserve">          </v>
      </c>
      <c r="Y844" s="227" t="str">
        <f t="shared" si="94"/>
        <v/>
      </c>
      <c r="Z844" t="str">
        <f t="shared" si="95"/>
        <v/>
      </c>
      <c r="AL844" t="str">
        <f t="shared" si="96"/>
        <v/>
      </c>
      <c r="AM844" t="str">
        <f t="shared" si="97"/>
        <v/>
      </c>
    </row>
    <row r="845" spans="1:39">
      <c r="A845" t="str">
        <f>IF(ISBLANK(Record!A846),"",Record!A846)</f>
        <v/>
      </c>
      <c r="B845" t="str">
        <f>IF(ISBLANK(Record!B846),"",Record!B846)</f>
        <v/>
      </c>
      <c r="C845" s="227" t="str">
        <f>IF(ISBLANK(Record!C846),"",Record!C846)</f>
        <v/>
      </c>
      <c r="D845" t="str">
        <f>IF(ISBLANK(Record!D846),"",Record!D846)</f>
        <v/>
      </c>
      <c r="E845" t="str">
        <f>IF(ISBLANK(Record!E846),"",Record!E846)</f>
        <v/>
      </c>
      <c r="M845" t="str">
        <f t="shared" si="91"/>
        <v xml:space="preserve">          </v>
      </c>
      <c r="N845" s="227" t="str">
        <f t="shared" si="92"/>
        <v/>
      </c>
      <c r="X845" t="str">
        <f t="shared" si="93"/>
        <v xml:space="preserve">          </v>
      </c>
      <c r="Y845" s="227" t="str">
        <f t="shared" si="94"/>
        <v/>
      </c>
      <c r="Z845" t="str">
        <f t="shared" si="95"/>
        <v/>
      </c>
      <c r="AL845" t="str">
        <f t="shared" si="96"/>
        <v/>
      </c>
      <c r="AM845" t="str">
        <f t="shared" si="97"/>
        <v/>
      </c>
    </row>
    <row r="846" spans="1:39">
      <c r="A846" t="str">
        <f>IF(ISBLANK(Record!A847),"",Record!A847)</f>
        <v/>
      </c>
      <c r="B846" t="str">
        <f>IF(ISBLANK(Record!B847),"",Record!B847)</f>
        <v/>
      </c>
      <c r="C846" s="227" t="str">
        <f>IF(ISBLANK(Record!C847),"",Record!C847)</f>
        <v/>
      </c>
      <c r="D846" t="str">
        <f>IF(ISBLANK(Record!D847),"",Record!D847)</f>
        <v/>
      </c>
      <c r="E846" t="str">
        <f>IF(ISBLANK(Record!E847),"",Record!E847)</f>
        <v/>
      </c>
      <c r="M846" t="str">
        <f t="shared" si="91"/>
        <v xml:space="preserve">          </v>
      </c>
      <c r="N846" s="227" t="str">
        <f t="shared" si="92"/>
        <v/>
      </c>
      <c r="X846" t="str">
        <f t="shared" si="93"/>
        <v xml:space="preserve">          </v>
      </c>
      <c r="Y846" s="227" t="str">
        <f t="shared" si="94"/>
        <v/>
      </c>
      <c r="Z846" t="str">
        <f t="shared" si="95"/>
        <v/>
      </c>
      <c r="AL846" t="str">
        <f t="shared" si="96"/>
        <v/>
      </c>
      <c r="AM846" t="str">
        <f t="shared" si="97"/>
        <v/>
      </c>
    </row>
    <row r="847" spans="1:39">
      <c r="A847" t="str">
        <f>IF(ISBLANK(Record!A848),"",Record!A848)</f>
        <v/>
      </c>
      <c r="B847" t="str">
        <f>IF(ISBLANK(Record!B848),"",Record!B848)</f>
        <v/>
      </c>
      <c r="C847" s="227" t="str">
        <f>IF(ISBLANK(Record!C848),"",Record!C848)</f>
        <v/>
      </c>
      <c r="D847" t="str">
        <f>IF(ISBLANK(Record!D848),"",Record!D848)</f>
        <v/>
      </c>
      <c r="E847" t="str">
        <f>IF(ISBLANK(Record!E848),"",Record!E848)</f>
        <v/>
      </c>
      <c r="M847" t="str">
        <f t="shared" si="91"/>
        <v xml:space="preserve">          </v>
      </c>
      <c r="N847" s="227" t="str">
        <f t="shared" si="92"/>
        <v/>
      </c>
      <c r="X847" t="str">
        <f t="shared" si="93"/>
        <v xml:space="preserve">          </v>
      </c>
      <c r="Y847" s="227" t="str">
        <f t="shared" si="94"/>
        <v/>
      </c>
      <c r="Z847" t="str">
        <f t="shared" si="95"/>
        <v/>
      </c>
      <c r="AL847" t="str">
        <f t="shared" si="96"/>
        <v/>
      </c>
      <c r="AM847" t="str">
        <f t="shared" si="97"/>
        <v/>
      </c>
    </row>
    <row r="848" spans="1:39">
      <c r="A848" t="str">
        <f>IF(ISBLANK(Record!A849),"",Record!A849)</f>
        <v/>
      </c>
      <c r="B848" t="str">
        <f>IF(ISBLANK(Record!B849),"",Record!B849)</f>
        <v/>
      </c>
      <c r="C848" s="227" t="str">
        <f>IF(ISBLANK(Record!C849),"",Record!C849)</f>
        <v/>
      </c>
      <c r="D848" t="str">
        <f>IF(ISBLANK(Record!D849),"",Record!D849)</f>
        <v/>
      </c>
      <c r="E848" t="str">
        <f>IF(ISBLANK(Record!E849),"",Record!E849)</f>
        <v/>
      </c>
      <c r="M848" t="str">
        <f t="shared" si="91"/>
        <v xml:space="preserve">          </v>
      </c>
      <c r="N848" s="227" t="str">
        <f t="shared" si="92"/>
        <v/>
      </c>
      <c r="X848" t="str">
        <f t="shared" si="93"/>
        <v xml:space="preserve">          </v>
      </c>
      <c r="Y848" s="227" t="str">
        <f t="shared" si="94"/>
        <v/>
      </c>
      <c r="Z848" t="str">
        <f t="shared" si="95"/>
        <v/>
      </c>
      <c r="AL848" t="str">
        <f t="shared" si="96"/>
        <v/>
      </c>
      <c r="AM848" t="str">
        <f t="shared" si="97"/>
        <v/>
      </c>
    </row>
    <row r="849" spans="1:39">
      <c r="A849" t="str">
        <f>IF(ISBLANK(Record!A850),"",Record!A850)</f>
        <v/>
      </c>
      <c r="B849" t="str">
        <f>IF(ISBLANK(Record!B850),"",Record!B850)</f>
        <v/>
      </c>
      <c r="C849" s="227" t="str">
        <f>IF(ISBLANK(Record!C850),"",Record!C850)</f>
        <v/>
      </c>
      <c r="D849" t="str">
        <f>IF(ISBLANK(Record!D850),"",Record!D850)</f>
        <v/>
      </c>
      <c r="E849" t="str">
        <f>IF(ISBLANK(Record!E850),"",Record!E850)</f>
        <v/>
      </c>
      <c r="M849" t="str">
        <f t="shared" si="91"/>
        <v xml:space="preserve">          </v>
      </c>
      <c r="N849" s="227" t="str">
        <f t="shared" si="92"/>
        <v/>
      </c>
      <c r="X849" t="str">
        <f t="shared" si="93"/>
        <v xml:space="preserve">          </v>
      </c>
      <c r="Y849" s="227" t="str">
        <f t="shared" si="94"/>
        <v/>
      </c>
      <c r="Z849" t="str">
        <f t="shared" si="95"/>
        <v/>
      </c>
      <c r="AL849" t="str">
        <f t="shared" si="96"/>
        <v/>
      </c>
      <c r="AM849" t="str">
        <f t="shared" si="97"/>
        <v/>
      </c>
    </row>
    <row r="850" spans="1:39">
      <c r="A850" t="str">
        <f>IF(ISBLANK(Record!A851),"",Record!A851)</f>
        <v/>
      </c>
      <c r="B850" t="str">
        <f>IF(ISBLANK(Record!B851),"",Record!B851)</f>
        <v/>
      </c>
      <c r="C850" s="227" t="str">
        <f>IF(ISBLANK(Record!C851),"",Record!C851)</f>
        <v/>
      </c>
      <c r="D850" t="str">
        <f>IF(ISBLANK(Record!D851),"",Record!D851)</f>
        <v/>
      </c>
      <c r="E850" t="str">
        <f>IF(ISBLANK(Record!E851),"",Record!E851)</f>
        <v/>
      </c>
      <c r="M850" t="str">
        <f t="shared" si="91"/>
        <v xml:space="preserve">          </v>
      </c>
      <c r="N850" s="227" t="str">
        <f t="shared" si="92"/>
        <v/>
      </c>
      <c r="X850" t="str">
        <f t="shared" si="93"/>
        <v xml:space="preserve">          </v>
      </c>
      <c r="Y850" s="227" t="str">
        <f t="shared" si="94"/>
        <v/>
      </c>
      <c r="Z850" t="str">
        <f t="shared" si="95"/>
        <v/>
      </c>
      <c r="AL850" t="str">
        <f t="shared" si="96"/>
        <v/>
      </c>
      <c r="AM850" t="str">
        <f t="shared" si="97"/>
        <v/>
      </c>
    </row>
    <row r="851" spans="1:39">
      <c r="A851" t="str">
        <f>IF(ISBLANK(Record!A852),"",Record!A852)</f>
        <v/>
      </c>
      <c r="B851" t="str">
        <f>IF(ISBLANK(Record!B852),"",Record!B852)</f>
        <v/>
      </c>
      <c r="C851" s="227" t="str">
        <f>IF(ISBLANK(Record!C852),"",Record!C852)</f>
        <v/>
      </c>
      <c r="D851" t="str">
        <f>IF(ISBLANK(Record!D852),"",Record!D852)</f>
        <v/>
      </c>
      <c r="E851" t="str">
        <f>IF(ISBLANK(Record!E852),"",Record!E852)</f>
        <v/>
      </c>
      <c r="M851" t="str">
        <f t="shared" si="91"/>
        <v xml:space="preserve">          </v>
      </c>
      <c r="N851" s="227" t="str">
        <f t="shared" si="92"/>
        <v/>
      </c>
      <c r="X851" t="str">
        <f t="shared" si="93"/>
        <v xml:space="preserve">          </v>
      </c>
      <c r="Y851" s="227" t="str">
        <f t="shared" si="94"/>
        <v/>
      </c>
      <c r="Z851" t="str">
        <f t="shared" si="95"/>
        <v/>
      </c>
      <c r="AL851" t="str">
        <f t="shared" si="96"/>
        <v/>
      </c>
      <c r="AM851" t="str">
        <f t="shared" si="97"/>
        <v/>
      </c>
    </row>
    <row r="852" spans="1:39">
      <c r="A852" t="str">
        <f>IF(ISBLANK(Record!A853),"",Record!A853)</f>
        <v/>
      </c>
      <c r="B852" t="str">
        <f>IF(ISBLANK(Record!B853),"",Record!B853)</f>
        <v/>
      </c>
      <c r="C852" s="227" t="str">
        <f>IF(ISBLANK(Record!C853),"",Record!C853)</f>
        <v/>
      </c>
      <c r="D852" t="str">
        <f>IF(ISBLANK(Record!D853),"",Record!D853)</f>
        <v/>
      </c>
      <c r="E852" t="str">
        <f>IF(ISBLANK(Record!E853),"",Record!E853)</f>
        <v/>
      </c>
      <c r="M852" t="str">
        <f t="shared" si="91"/>
        <v xml:space="preserve">          </v>
      </c>
      <c r="N852" s="227" t="str">
        <f t="shared" si="92"/>
        <v/>
      </c>
      <c r="X852" t="str">
        <f t="shared" si="93"/>
        <v xml:space="preserve">          </v>
      </c>
      <c r="Y852" s="227" t="str">
        <f t="shared" si="94"/>
        <v/>
      </c>
      <c r="Z852" t="str">
        <f t="shared" si="95"/>
        <v/>
      </c>
      <c r="AL852" t="str">
        <f t="shared" si="96"/>
        <v/>
      </c>
      <c r="AM852" t="str">
        <f t="shared" si="97"/>
        <v/>
      </c>
    </row>
    <row r="853" spans="1:39">
      <c r="A853" t="str">
        <f>IF(ISBLANK(Record!A854),"",Record!A854)</f>
        <v/>
      </c>
      <c r="B853" t="str">
        <f>IF(ISBLANK(Record!B854),"",Record!B854)</f>
        <v/>
      </c>
      <c r="C853" s="227" t="str">
        <f>IF(ISBLANK(Record!C854),"",Record!C854)</f>
        <v/>
      </c>
      <c r="D853" t="str">
        <f>IF(ISBLANK(Record!D854),"",Record!D854)</f>
        <v/>
      </c>
      <c r="E853" t="str">
        <f>IF(ISBLANK(Record!E854),"",Record!E854)</f>
        <v/>
      </c>
      <c r="M853" t="str">
        <f t="shared" si="91"/>
        <v xml:space="preserve">          </v>
      </c>
      <c r="N853" s="227" t="str">
        <f t="shared" si="92"/>
        <v/>
      </c>
      <c r="X853" t="str">
        <f t="shared" si="93"/>
        <v xml:space="preserve">          </v>
      </c>
      <c r="Y853" s="227" t="str">
        <f t="shared" si="94"/>
        <v/>
      </c>
      <c r="Z853" t="str">
        <f t="shared" si="95"/>
        <v/>
      </c>
      <c r="AL853" t="str">
        <f t="shared" si="96"/>
        <v/>
      </c>
      <c r="AM853" t="str">
        <f t="shared" si="97"/>
        <v/>
      </c>
    </row>
    <row r="854" spans="1:39">
      <c r="A854" t="str">
        <f>IF(ISBLANK(Record!A855),"",Record!A855)</f>
        <v/>
      </c>
      <c r="B854" t="str">
        <f>IF(ISBLANK(Record!B855),"",Record!B855)</f>
        <v/>
      </c>
      <c r="C854" s="227" t="str">
        <f>IF(ISBLANK(Record!C855),"",Record!C855)</f>
        <v/>
      </c>
      <c r="D854" t="str">
        <f>IF(ISBLANK(Record!D855),"",Record!D855)</f>
        <v/>
      </c>
      <c r="E854" t="str">
        <f>IF(ISBLANK(Record!E855),"",Record!E855)</f>
        <v/>
      </c>
      <c r="M854" t="str">
        <f t="shared" si="91"/>
        <v xml:space="preserve">          </v>
      </c>
      <c r="N854" s="227" t="str">
        <f t="shared" si="92"/>
        <v/>
      </c>
      <c r="X854" t="str">
        <f t="shared" si="93"/>
        <v xml:space="preserve">          </v>
      </c>
      <c r="Y854" s="227" t="str">
        <f t="shared" si="94"/>
        <v/>
      </c>
      <c r="Z854" t="str">
        <f t="shared" si="95"/>
        <v/>
      </c>
      <c r="AL854" t="str">
        <f t="shared" si="96"/>
        <v/>
      </c>
      <c r="AM854" t="str">
        <f t="shared" si="97"/>
        <v/>
      </c>
    </row>
    <row r="855" spans="1:39">
      <c r="A855" t="str">
        <f>IF(ISBLANK(Record!A856),"",Record!A856)</f>
        <v/>
      </c>
      <c r="B855" t="str">
        <f>IF(ISBLANK(Record!B856),"",Record!B856)</f>
        <v/>
      </c>
      <c r="C855" s="227" t="str">
        <f>IF(ISBLANK(Record!C856),"",Record!C856)</f>
        <v/>
      </c>
      <c r="D855" t="str">
        <f>IF(ISBLANK(Record!D856),"",Record!D856)</f>
        <v/>
      </c>
      <c r="E855" t="str">
        <f>IF(ISBLANK(Record!E856),"",Record!E856)</f>
        <v/>
      </c>
      <c r="M855" t="str">
        <f t="shared" si="91"/>
        <v xml:space="preserve">          </v>
      </c>
      <c r="N855" s="227" t="str">
        <f t="shared" si="92"/>
        <v/>
      </c>
      <c r="X855" t="str">
        <f t="shared" si="93"/>
        <v xml:space="preserve">          </v>
      </c>
      <c r="Y855" s="227" t="str">
        <f t="shared" si="94"/>
        <v/>
      </c>
      <c r="Z855" t="str">
        <f t="shared" si="95"/>
        <v/>
      </c>
      <c r="AL855" t="str">
        <f t="shared" si="96"/>
        <v/>
      </c>
      <c r="AM855" t="str">
        <f t="shared" si="97"/>
        <v/>
      </c>
    </row>
    <row r="856" spans="1:39">
      <c r="A856" t="str">
        <f>IF(ISBLANK(Record!A857),"",Record!A857)</f>
        <v/>
      </c>
      <c r="B856" t="str">
        <f>IF(ISBLANK(Record!B857),"",Record!B857)</f>
        <v/>
      </c>
      <c r="C856" s="227" t="str">
        <f>IF(ISBLANK(Record!C857),"",Record!C857)</f>
        <v/>
      </c>
      <c r="D856" t="str">
        <f>IF(ISBLANK(Record!D857),"",Record!D857)</f>
        <v/>
      </c>
      <c r="E856" t="str">
        <f>IF(ISBLANK(Record!E857),"",Record!E857)</f>
        <v/>
      </c>
      <c r="M856" t="str">
        <f t="shared" si="91"/>
        <v xml:space="preserve">          </v>
      </c>
      <c r="N856" s="227" t="str">
        <f t="shared" si="92"/>
        <v/>
      </c>
      <c r="X856" t="str">
        <f t="shared" si="93"/>
        <v xml:space="preserve">          </v>
      </c>
      <c r="Y856" s="227" t="str">
        <f t="shared" si="94"/>
        <v/>
      </c>
      <c r="Z856" t="str">
        <f t="shared" si="95"/>
        <v/>
      </c>
      <c r="AL856" t="str">
        <f t="shared" si="96"/>
        <v/>
      </c>
      <c r="AM856" t="str">
        <f t="shared" si="97"/>
        <v/>
      </c>
    </row>
    <row r="857" spans="1:39">
      <c r="A857" t="str">
        <f>IF(ISBLANK(Record!A858),"",Record!A858)</f>
        <v/>
      </c>
      <c r="B857" t="str">
        <f>IF(ISBLANK(Record!B858),"",Record!B858)</f>
        <v/>
      </c>
      <c r="C857" s="227" t="str">
        <f>IF(ISBLANK(Record!C858),"",Record!C858)</f>
        <v/>
      </c>
      <c r="D857" t="str">
        <f>IF(ISBLANK(Record!D858),"",Record!D858)</f>
        <v/>
      </c>
      <c r="E857" t="str">
        <f>IF(ISBLANK(Record!E858),"",Record!E858)</f>
        <v/>
      </c>
      <c r="M857" t="str">
        <f t="shared" si="91"/>
        <v xml:space="preserve">          </v>
      </c>
      <c r="N857" s="227" t="str">
        <f t="shared" si="92"/>
        <v/>
      </c>
      <c r="X857" t="str">
        <f t="shared" si="93"/>
        <v xml:space="preserve">          </v>
      </c>
      <c r="Y857" s="227" t="str">
        <f t="shared" si="94"/>
        <v/>
      </c>
      <c r="Z857" t="str">
        <f t="shared" si="95"/>
        <v/>
      </c>
      <c r="AL857" t="str">
        <f t="shared" si="96"/>
        <v/>
      </c>
      <c r="AM857" t="str">
        <f t="shared" si="97"/>
        <v/>
      </c>
    </row>
    <row r="858" spans="1:39">
      <c r="A858" t="str">
        <f>IF(ISBLANK(Record!A859),"",Record!A859)</f>
        <v/>
      </c>
      <c r="B858" t="str">
        <f>IF(ISBLANK(Record!B859),"",Record!B859)</f>
        <v/>
      </c>
      <c r="C858" s="227" t="str">
        <f>IF(ISBLANK(Record!C859),"",Record!C859)</f>
        <v/>
      </c>
      <c r="D858" t="str">
        <f>IF(ISBLANK(Record!D859),"",Record!D859)</f>
        <v/>
      </c>
      <c r="E858" t="str">
        <f>IF(ISBLANK(Record!E859),"",Record!E859)</f>
        <v/>
      </c>
      <c r="M858" t="str">
        <f t="shared" si="91"/>
        <v xml:space="preserve">          </v>
      </c>
      <c r="N858" s="227" t="str">
        <f t="shared" si="92"/>
        <v/>
      </c>
      <c r="X858" t="str">
        <f t="shared" si="93"/>
        <v xml:space="preserve">          </v>
      </c>
      <c r="Y858" s="227" t="str">
        <f t="shared" si="94"/>
        <v/>
      </c>
      <c r="Z858" t="str">
        <f t="shared" si="95"/>
        <v/>
      </c>
      <c r="AL858" t="str">
        <f t="shared" si="96"/>
        <v/>
      </c>
      <c r="AM858" t="str">
        <f t="shared" si="97"/>
        <v/>
      </c>
    </row>
    <row r="859" spans="1:39">
      <c r="A859" t="str">
        <f>IF(ISBLANK(Record!A860),"",Record!A860)</f>
        <v/>
      </c>
      <c r="B859" t="str">
        <f>IF(ISBLANK(Record!B860),"",Record!B860)</f>
        <v/>
      </c>
      <c r="C859" s="227" t="str">
        <f>IF(ISBLANK(Record!C860),"",Record!C860)</f>
        <v/>
      </c>
      <c r="D859" t="str">
        <f>IF(ISBLANK(Record!D860),"",Record!D860)</f>
        <v/>
      </c>
      <c r="E859" t="str">
        <f>IF(ISBLANK(Record!E860),"",Record!E860)</f>
        <v/>
      </c>
      <c r="M859" t="str">
        <f t="shared" si="91"/>
        <v xml:space="preserve">          </v>
      </c>
      <c r="N859" s="227" t="str">
        <f t="shared" si="92"/>
        <v/>
      </c>
      <c r="X859" t="str">
        <f t="shared" si="93"/>
        <v xml:space="preserve">          </v>
      </c>
      <c r="Y859" s="227" t="str">
        <f t="shared" si="94"/>
        <v/>
      </c>
      <c r="Z859" t="str">
        <f t="shared" si="95"/>
        <v/>
      </c>
      <c r="AL859" t="str">
        <f t="shared" si="96"/>
        <v/>
      </c>
      <c r="AM859" t="str">
        <f t="shared" si="97"/>
        <v/>
      </c>
    </row>
    <row r="860" spans="1:39">
      <c r="A860" t="str">
        <f>IF(ISBLANK(Record!A861),"",Record!A861)</f>
        <v/>
      </c>
      <c r="B860" t="str">
        <f>IF(ISBLANK(Record!B861),"",Record!B861)</f>
        <v/>
      </c>
      <c r="C860" s="227" t="str">
        <f>IF(ISBLANK(Record!C861),"",Record!C861)</f>
        <v/>
      </c>
      <c r="D860" t="str">
        <f>IF(ISBLANK(Record!D861),"",Record!D861)</f>
        <v/>
      </c>
      <c r="E860" t="str">
        <f>IF(ISBLANK(Record!E861),"",Record!E861)</f>
        <v/>
      </c>
      <c r="M860" t="str">
        <f t="shared" si="91"/>
        <v xml:space="preserve">          </v>
      </c>
      <c r="N860" s="227" t="str">
        <f t="shared" si="92"/>
        <v/>
      </c>
      <c r="X860" t="str">
        <f t="shared" si="93"/>
        <v xml:space="preserve">          </v>
      </c>
      <c r="Y860" s="227" t="str">
        <f t="shared" si="94"/>
        <v/>
      </c>
      <c r="Z860" t="str">
        <f t="shared" si="95"/>
        <v/>
      </c>
      <c r="AL860" t="str">
        <f t="shared" si="96"/>
        <v/>
      </c>
      <c r="AM860" t="str">
        <f t="shared" si="97"/>
        <v/>
      </c>
    </row>
    <row r="861" spans="1:39">
      <c r="A861" t="str">
        <f>IF(ISBLANK(Record!A862),"",Record!A862)</f>
        <v/>
      </c>
      <c r="B861" t="str">
        <f>IF(ISBLANK(Record!B862),"",Record!B862)</f>
        <v/>
      </c>
      <c r="C861" s="227" t="str">
        <f>IF(ISBLANK(Record!C862),"",Record!C862)</f>
        <v/>
      </c>
      <c r="D861" t="str">
        <f>IF(ISBLANK(Record!D862),"",Record!D862)</f>
        <v/>
      </c>
      <c r="E861" t="str">
        <f>IF(ISBLANK(Record!E862),"",Record!E862)</f>
        <v/>
      </c>
      <c r="M861" t="str">
        <f t="shared" si="91"/>
        <v xml:space="preserve">          </v>
      </c>
      <c r="N861" s="227" t="str">
        <f t="shared" si="92"/>
        <v/>
      </c>
      <c r="X861" t="str">
        <f t="shared" si="93"/>
        <v xml:space="preserve">          </v>
      </c>
      <c r="Y861" s="227" t="str">
        <f t="shared" si="94"/>
        <v/>
      </c>
      <c r="Z861" t="str">
        <f t="shared" si="95"/>
        <v/>
      </c>
      <c r="AL861" t="str">
        <f t="shared" si="96"/>
        <v/>
      </c>
      <c r="AM861" t="str">
        <f t="shared" si="97"/>
        <v/>
      </c>
    </row>
    <row r="862" spans="1:39">
      <c r="A862" t="str">
        <f>IF(ISBLANK(Record!A863),"",Record!A863)</f>
        <v/>
      </c>
      <c r="B862" t="str">
        <f>IF(ISBLANK(Record!B863),"",Record!B863)</f>
        <v/>
      </c>
      <c r="C862" s="227" t="str">
        <f>IF(ISBLANK(Record!C863),"",Record!C863)</f>
        <v/>
      </c>
      <c r="D862" t="str">
        <f>IF(ISBLANK(Record!D863),"",Record!D863)</f>
        <v/>
      </c>
      <c r="E862" t="str">
        <f>IF(ISBLANK(Record!E863),"",Record!E863)</f>
        <v/>
      </c>
      <c r="M862" t="str">
        <f t="shared" si="91"/>
        <v xml:space="preserve">          </v>
      </c>
      <c r="N862" s="227" t="str">
        <f t="shared" si="92"/>
        <v/>
      </c>
      <c r="X862" t="str">
        <f t="shared" si="93"/>
        <v xml:space="preserve">          </v>
      </c>
      <c r="Y862" s="227" t="str">
        <f t="shared" si="94"/>
        <v/>
      </c>
      <c r="Z862" t="str">
        <f t="shared" si="95"/>
        <v/>
      </c>
      <c r="AL862" t="str">
        <f t="shared" si="96"/>
        <v/>
      </c>
      <c r="AM862" t="str">
        <f t="shared" si="97"/>
        <v/>
      </c>
    </row>
    <row r="863" spans="1:39">
      <c r="A863" t="str">
        <f>IF(ISBLANK(Record!A864),"",Record!A864)</f>
        <v/>
      </c>
      <c r="B863" t="str">
        <f>IF(ISBLANK(Record!B864),"",Record!B864)</f>
        <v/>
      </c>
      <c r="C863" s="227" t="str">
        <f>IF(ISBLANK(Record!C864),"",Record!C864)</f>
        <v/>
      </c>
      <c r="D863" t="str">
        <f>IF(ISBLANK(Record!D864),"",Record!D864)</f>
        <v/>
      </c>
      <c r="E863" t="str">
        <f>IF(ISBLANK(Record!E864),"",Record!E864)</f>
        <v/>
      </c>
      <c r="M863" t="str">
        <f t="shared" si="91"/>
        <v xml:space="preserve">          </v>
      </c>
      <c r="N863" s="227" t="str">
        <f t="shared" si="92"/>
        <v/>
      </c>
      <c r="X863" t="str">
        <f t="shared" si="93"/>
        <v xml:space="preserve">          </v>
      </c>
      <c r="Y863" s="227" t="str">
        <f t="shared" si="94"/>
        <v/>
      </c>
      <c r="Z863" t="str">
        <f t="shared" si="95"/>
        <v/>
      </c>
      <c r="AL863" t="str">
        <f t="shared" si="96"/>
        <v/>
      </c>
      <c r="AM863" t="str">
        <f t="shared" si="97"/>
        <v/>
      </c>
    </row>
    <row r="864" spans="1:39">
      <c r="A864" t="str">
        <f>IF(ISBLANK(Record!A865),"",Record!A865)</f>
        <v/>
      </c>
      <c r="B864" t="str">
        <f>IF(ISBLANK(Record!B865),"",Record!B865)</f>
        <v/>
      </c>
      <c r="C864" s="227" t="str">
        <f>IF(ISBLANK(Record!C865),"",Record!C865)</f>
        <v/>
      </c>
      <c r="D864" t="str">
        <f>IF(ISBLANK(Record!D865),"",Record!D865)</f>
        <v/>
      </c>
      <c r="E864" t="str">
        <f>IF(ISBLANK(Record!E865),"",Record!E865)</f>
        <v/>
      </c>
      <c r="M864" t="str">
        <f t="shared" si="91"/>
        <v xml:space="preserve">          </v>
      </c>
      <c r="N864" s="227" t="str">
        <f t="shared" si="92"/>
        <v/>
      </c>
      <c r="X864" t="str">
        <f t="shared" si="93"/>
        <v xml:space="preserve">          </v>
      </c>
      <c r="Y864" s="227" t="str">
        <f t="shared" si="94"/>
        <v/>
      </c>
      <c r="Z864" t="str">
        <f t="shared" si="95"/>
        <v/>
      </c>
      <c r="AL864" t="str">
        <f t="shared" si="96"/>
        <v/>
      </c>
      <c r="AM864" t="str">
        <f t="shared" si="97"/>
        <v/>
      </c>
    </row>
    <row r="865" spans="1:39">
      <c r="A865" t="str">
        <f>IF(ISBLANK(Record!A866),"",Record!A866)</f>
        <v/>
      </c>
      <c r="B865" t="str">
        <f>IF(ISBLANK(Record!B866),"",Record!B866)</f>
        <v/>
      </c>
      <c r="C865" s="227" t="str">
        <f>IF(ISBLANK(Record!C866),"",Record!C866)</f>
        <v/>
      </c>
      <c r="D865" t="str">
        <f>IF(ISBLANK(Record!D866),"",Record!D866)</f>
        <v/>
      </c>
      <c r="E865" t="str">
        <f>IF(ISBLANK(Record!E866),"",Record!E866)</f>
        <v/>
      </c>
      <c r="M865" t="str">
        <f t="shared" si="91"/>
        <v xml:space="preserve">          </v>
      </c>
      <c r="N865" s="227" t="str">
        <f t="shared" si="92"/>
        <v/>
      </c>
      <c r="X865" t="str">
        <f t="shared" si="93"/>
        <v xml:space="preserve">          </v>
      </c>
      <c r="Y865" s="227" t="str">
        <f t="shared" si="94"/>
        <v/>
      </c>
      <c r="Z865" t="str">
        <f t="shared" si="95"/>
        <v/>
      </c>
      <c r="AL865" t="str">
        <f t="shared" si="96"/>
        <v/>
      </c>
      <c r="AM865" t="str">
        <f t="shared" si="97"/>
        <v/>
      </c>
    </row>
    <row r="866" spans="1:39">
      <c r="A866" t="str">
        <f>IF(ISBLANK(Record!A867),"",Record!A867)</f>
        <v/>
      </c>
      <c r="B866" t="str">
        <f>IF(ISBLANK(Record!B867),"",Record!B867)</f>
        <v/>
      </c>
      <c r="C866" s="227" t="str">
        <f>IF(ISBLANK(Record!C867),"",Record!C867)</f>
        <v/>
      </c>
      <c r="D866" t="str">
        <f>IF(ISBLANK(Record!D867),"",Record!D867)</f>
        <v/>
      </c>
      <c r="E866" t="str">
        <f>IF(ISBLANK(Record!E867),"",Record!E867)</f>
        <v/>
      </c>
      <c r="M866" t="str">
        <f t="shared" si="91"/>
        <v xml:space="preserve">          </v>
      </c>
      <c r="N866" s="227" t="str">
        <f t="shared" si="92"/>
        <v/>
      </c>
      <c r="X866" t="str">
        <f t="shared" si="93"/>
        <v xml:space="preserve">          </v>
      </c>
      <c r="Y866" s="227" t="str">
        <f t="shared" si="94"/>
        <v/>
      </c>
      <c r="Z866" t="str">
        <f t="shared" si="95"/>
        <v/>
      </c>
      <c r="AL866" t="str">
        <f t="shared" si="96"/>
        <v/>
      </c>
      <c r="AM866" t="str">
        <f t="shared" si="97"/>
        <v/>
      </c>
    </row>
    <row r="867" spans="1:39">
      <c r="A867" t="str">
        <f>IF(ISBLANK(Record!A868),"",Record!A868)</f>
        <v/>
      </c>
      <c r="B867" t="str">
        <f>IF(ISBLANK(Record!B868),"",Record!B868)</f>
        <v/>
      </c>
      <c r="C867" s="227" t="str">
        <f>IF(ISBLANK(Record!C868),"",Record!C868)</f>
        <v/>
      </c>
      <c r="D867" t="str">
        <f>IF(ISBLANK(Record!D868),"",Record!D868)</f>
        <v/>
      </c>
      <c r="E867" t="str">
        <f>IF(ISBLANK(Record!E868),"",Record!E868)</f>
        <v/>
      </c>
      <c r="M867" t="str">
        <f t="shared" si="91"/>
        <v xml:space="preserve">          </v>
      </c>
      <c r="N867" s="227" t="str">
        <f t="shared" si="92"/>
        <v/>
      </c>
      <c r="X867" t="str">
        <f t="shared" si="93"/>
        <v xml:space="preserve">          </v>
      </c>
      <c r="Y867" s="227" t="str">
        <f t="shared" si="94"/>
        <v/>
      </c>
      <c r="Z867" t="str">
        <f t="shared" si="95"/>
        <v/>
      </c>
      <c r="AL867" t="str">
        <f t="shared" si="96"/>
        <v/>
      </c>
      <c r="AM867" t="str">
        <f t="shared" si="97"/>
        <v/>
      </c>
    </row>
    <row r="868" spans="1:39">
      <c r="A868" t="str">
        <f>IF(ISBLANK(Record!A869),"",Record!A869)</f>
        <v/>
      </c>
      <c r="B868" t="str">
        <f>IF(ISBLANK(Record!B869),"",Record!B869)</f>
        <v/>
      </c>
      <c r="C868" s="227" t="str">
        <f>IF(ISBLANK(Record!C869),"",Record!C869)</f>
        <v/>
      </c>
      <c r="D868" t="str">
        <f>IF(ISBLANK(Record!D869),"",Record!D869)</f>
        <v/>
      </c>
      <c r="E868" t="str">
        <f>IF(ISBLANK(Record!E869),"",Record!E869)</f>
        <v/>
      </c>
      <c r="M868" t="str">
        <f t="shared" si="91"/>
        <v xml:space="preserve">          </v>
      </c>
      <c r="N868" s="227" t="str">
        <f t="shared" si="92"/>
        <v/>
      </c>
      <c r="X868" t="str">
        <f t="shared" si="93"/>
        <v xml:space="preserve">          </v>
      </c>
      <c r="Y868" s="227" t="str">
        <f t="shared" si="94"/>
        <v/>
      </c>
      <c r="Z868" t="str">
        <f t="shared" si="95"/>
        <v/>
      </c>
      <c r="AL868" t="str">
        <f t="shared" si="96"/>
        <v/>
      </c>
      <c r="AM868" t="str">
        <f t="shared" si="97"/>
        <v/>
      </c>
    </row>
    <row r="869" spans="1:39">
      <c r="A869" t="str">
        <f>IF(ISBLANK(Record!A870),"",Record!A870)</f>
        <v/>
      </c>
      <c r="B869" t="str">
        <f>IF(ISBLANK(Record!B870),"",Record!B870)</f>
        <v/>
      </c>
      <c r="C869" s="227" t="str">
        <f>IF(ISBLANK(Record!C870),"",Record!C870)</f>
        <v/>
      </c>
      <c r="D869" t="str">
        <f>IF(ISBLANK(Record!D870),"",Record!D870)</f>
        <v/>
      </c>
      <c r="E869" t="str">
        <f>IF(ISBLANK(Record!E870),"",Record!E870)</f>
        <v/>
      </c>
      <c r="M869" t="str">
        <f t="shared" si="91"/>
        <v xml:space="preserve">          </v>
      </c>
      <c r="N869" s="227" t="str">
        <f t="shared" si="92"/>
        <v/>
      </c>
      <c r="X869" t="str">
        <f t="shared" si="93"/>
        <v xml:space="preserve">          </v>
      </c>
      <c r="Y869" s="227" t="str">
        <f t="shared" si="94"/>
        <v/>
      </c>
      <c r="Z869" t="str">
        <f t="shared" si="95"/>
        <v/>
      </c>
      <c r="AL869" t="str">
        <f t="shared" si="96"/>
        <v/>
      </c>
      <c r="AM869" t="str">
        <f t="shared" si="97"/>
        <v/>
      </c>
    </row>
    <row r="870" spans="1:39">
      <c r="A870" t="str">
        <f>IF(ISBLANK(Record!A871),"",Record!A871)</f>
        <v/>
      </c>
      <c r="B870" t="str">
        <f>IF(ISBLANK(Record!B871),"",Record!B871)</f>
        <v/>
      </c>
      <c r="C870" s="227" t="str">
        <f>IF(ISBLANK(Record!C871),"",Record!C871)</f>
        <v/>
      </c>
      <c r="D870" t="str">
        <f>IF(ISBLANK(Record!D871),"",Record!D871)</f>
        <v/>
      </c>
      <c r="E870" t="str">
        <f>IF(ISBLANK(Record!E871),"",Record!E871)</f>
        <v/>
      </c>
      <c r="M870" t="str">
        <f t="shared" si="91"/>
        <v xml:space="preserve">          </v>
      </c>
      <c r="N870" s="227" t="str">
        <f t="shared" si="92"/>
        <v/>
      </c>
      <c r="X870" t="str">
        <f t="shared" si="93"/>
        <v xml:space="preserve">          </v>
      </c>
      <c r="Y870" s="227" t="str">
        <f t="shared" si="94"/>
        <v/>
      </c>
      <c r="Z870" t="str">
        <f t="shared" si="95"/>
        <v/>
      </c>
      <c r="AL870" t="str">
        <f t="shared" si="96"/>
        <v/>
      </c>
      <c r="AM870" t="str">
        <f t="shared" si="97"/>
        <v/>
      </c>
    </row>
    <row r="871" spans="1:39">
      <c r="A871" t="str">
        <f>IF(ISBLANK(Record!A872),"",Record!A872)</f>
        <v/>
      </c>
      <c r="B871" t="str">
        <f>IF(ISBLANK(Record!B872),"",Record!B872)</f>
        <v/>
      </c>
      <c r="C871" s="227" t="str">
        <f>IF(ISBLANK(Record!C872),"",Record!C872)</f>
        <v/>
      </c>
      <c r="D871" t="str">
        <f>IF(ISBLANK(Record!D872),"",Record!D872)</f>
        <v/>
      </c>
      <c r="E871" t="str">
        <f>IF(ISBLANK(Record!E872),"",Record!E872)</f>
        <v/>
      </c>
      <c r="M871" t="str">
        <f t="shared" si="91"/>
        <v xml:space="preserve">          </v>
      </c>
      <c r="N871" s="227" t="str">
        <f t="shared" si="92"/>
        <v/>
      </c>
      <c r="X871" t="str">
        <f t="shared" si="93"/>
        <v xml:space="preserve">          </v>
      </c>
      <c r="Y871" s="227" t="str">
        <f t="shared" si="94"/>
        <v/>
      </c>
      <c r="Z871" t="str">
        <f t="shared" si="95"/>
        <v/>
      </c>
      <c r="AL871" t="str">
        <f t="shared" si="96"/>
        <v/>
      </c>
      <c r="AM871" t="str">
        <f t="shared" si="97"/>
        <v/>
      </c>
    </row>
    <row r="872" spans="1:39">
      <c r="A872" t="str">
        <f>IF(ISBLANK(Record!A873),"",Record!A873)</f>
        <v/>
      </c>
      <c r="B872" t="str">
        <f>IF(ISBLANK(Record!B873),"",Record!B873)</f>
        <v/>
      </c>
      <c r="C872" s="227" t="str">
        <f>IF(ISBLANK(Record!C873),"",Record!C873)</f>
        <v/>
      </c>
      <c r="D872" t="str">
        <f>IF(ISBLANK(Record!D873),"",Record!D873)</f>
        <v/>
      </c>
      <c r="E872" t="str">
        <f>IF(ISBLANK(Record!E873),"",Record!E873)</f>
        <v/>
      </c>
      <c r="M872" t="str">
        <f t="shared" si="91"/>
        <v xml:space="preserve">          </v>
      </c>
      <c r="N872" s="227" t="str">
        <f t="shared" si="92"/>
        <v/>
      </c>
      <c r="X872" t="str">
        <f t="shared" si="93"/>
        <v xml:space="preserve">          </v>
      </c>
      <c r="Y872" s="227" t="str">
        <f t="shared" si="94"/>
        <v/>
      </c>
      <c r="Z872" t="str">
        <f t="shared" si="95"/>
        <v/>
      </c>
      <c r="AL872" t="str">
        <f t="shared" si="96"/>
        <v/>
      </c>
      <c r="AM872" t="str">
        <f t="shared" si="97"/>
        <v/>
      </c>
    </row>
    <row r="873" spans="1:39">
      <c r="A873" t="str">
        <f>IF(ISBLANK(Record!A874),"",Record!A874)</f>
        <v/>
      </c>
      <c r="B873" t="str">
        <f>IF(ISBLANK(Record!B874),"",Record!B874)</f>
        <v/>
      </c>
      <c r="C873" s="227" t="str">
        <f>IF(ISBLANK(Record!C874),"",Record!C874)</f>
        <v/>
      </c>
      <c r="D873" t="str">
        <f>IF(ISBLANK(Record!D874),"",Record!D874)</f>
        <v/>
      </c>
      <c r="E873" t="str">
        <f>IF(ISBLANK(Record!E874),"",Record!E874)</f>
        <v/>
      </c>
      <c r="M873" t="str">
        <f t="shared" si="91"/>
        <v xml:space="preserve">          </v>
      </c>
      <c r="N873" s="227" t="str">
        <f t="shared" si="92"/>
        <v/>
      </c>
      <c r="X873" t="str">
        <f t="shared" si="93"/>
        <v xml:space="preserve">          </v>
      </c>
      <c r="Y873" s="227" t="str">
        <f t="shared" si="94"/>
        <v/>
      </c>
      <c r="Z873" t="str">
        <f t="shared" si="95"/>
        <v/>
      </c>
      <c r="AL873" t="str">
        <f t="shared" si="96"/>
        <v/>
      </c>
      <c r="AM873" t="str">
        <f t="shared" si="97"/>
        <v/>
      </c>
    </row>
    <row r="874" spans="1:39">
      <c r="A874" t="str">
        <f>IF(ISBLANK(Record!A875),"",Record!A875)</f>
        <v/>
      </c>
      <c r="B874" t="str">
        <f>IF(ISBLANK(Record!B875),"",Record!B875)</f>
        <v/>
      </c>
      <c r="C874" s="227" t="str">
        <f>IF(ISBLANK(Record!C875),"",Record!C875)</f>
        <v/>
      </c>
      <c r="D874" t="str">
        <f>IF(ISBLANK(Record!D875),"",Record!D875)</f>
        <v/>
      </c>
      <c r="E874" t="str">
        <f>IF(ISBLANK(Record!E875),"",Record!E875)</f>
        <v/>
      </c>
      <c r="M874" t="str">
        <f t="shared" si="91"/>
        <v xml:space="preserve">          </v>
      </c>
      <c r="N874" s="227" t="str">
        <f t="shared" si="92"/>
        <v/>
      </c>
      <c r="X874" t="str">
        <f t="shared" si="93"/>
        <v xml:space="preserve">          </v>
      </c>
      <c r="Y874" s="227" t="str">
        <f t="shared" si="94"/>
        <v/>
      </c>
      <c r="Z874" t="str">
        <f t="shared" si="95"/>
        <v/>
      </c>
      <c r="AL874" t="str">
        <f t="shared" si="96"/>
        <v/>
      </c>
      <c r="AM874" t="str">
        <f t="shared" si="97"/>
        <v/>
      </c>
    </row>
    <row r="875" spans="1:39">
      <c r="A875" t="str">
        <f>IF(ISBLANK(Record!A876),"",Record!A876)</f>
        <v/>
      </c>
      <c r="B875" t="str">
        <f>IF(ISBLANK(Record!B876),"",Record!B876)</f>
        <v/>
      </c>
      <c r="C875" s="227" t="str">
        <f>IF(ISBLANK(Record!C876),"",Record!C876)</f>
        <v/>
      </c>
      <c r="D875" t="str">
        <f>IF(ISBLANK(Record!D876),"",Record!D876)</f>
        <v/>
      </c>
      <c r="E875" t="str">
        <f>IF(ISBLANK(Record!E876),"",Record!E876)</f>
        <v/>
      </c>
      <c r="M875" t="str">
        <f t="shared" si="91"/>
        <v xml:space="preserve">          </v>
      </c>
      <c r="N875" s="227" t="str">
        <f t="shared" si="92"/>
        <v/>
      </c>
      <c r="X875" t="str">
        <f t="shared" si="93"/>
        <v xml:space="preserve">          </v>
      </c>
      <c r="Y875" s="227" t="str">
        <f t="shared" si="94"/>
        <v/>
      </c>
      <c r="Z875" t="str">
        <f t="shared" si="95"/>
        <v/>
      </c>
      <c r="AL875" t="str">
        <f t="shared" si="96"/>
        <v/>
      </c>
      <c r="AM875" t="str">
        <f t="shared" si="97"/>
        <v/>
      </c>
    </row>
    <row r="876" spans="1:39">
      <c r="A876" t="str">
        <f>IF(ISBLANK(Record!A877),"",Record!A877)</f>
        <v/>
      </c>
      <c r="B876" t="str">
        <f>IF(ISBLANK(Record!B877),"",Record!B877)</f>
        <v/>
      </c>
      <c r="C876" s="227" t="str">
        <f>IF(ISBLANK(Record!C877),"",Record!C877)</f>
        <v/>
      </c>
      <c r="D876" t="str">
        <f>IF(ISBLANK(Record!D877),"",Record!D877)</f>
        <v/>
      </c>
      <c r="E876" t="str">
        <f>IF(ISBLANK(Record!E877),"",Record!E877)</f>
        <v/>
      </c>
      <c r="M876" t="str">
        <f t="shared" si="91"/>
        <v xml:space="preserve">          </v>
      </c>
      <c r="N876" s="227" t="str">
        <f t="shared" si="92"/>
        <v/>
      </c>
      <c r="X876" t="str">
        <f t="shared" si="93"/>
        <v xml:space="preserve">          </v>
      </c>
      <c r="Y876" s="227" t="str">
        <f t="shared" si="94"/>
        <v/>
      </c>
      <c r="Z876" t="str">
        <f t="shared" si="95"/>
        <v/>
      </c>
      <c r="AL876" t="str">
        <f t="shared" si="96"/>
        <v/>
      </c>
      <c r="AM876" t="str">
        <f t="shared" si="97"/>
        <v/>
      </c>
    </row>
    <row r="877" spans="1:39">
      <c r="A877" t="str">
        <f>IF(ISBLANK(Record!A878),"",Record!A878)</f>
        <v/>
      </c>
      <c r="B877" t="str">
        <f>IF(ISBLANK(Record!B878),"",Record!B878)</f>
        <v/>
      </c>
      <c r="C877" s="227" t="str">
        <f>IF(ISBLANK(Record!C878),"",Record!C878)</f>
        <v/>
      </c>
      <c r="D877" t="str">
        <f>IF(ISBLANK(Record!D878),"",Record!D878)</f>
        <v/>
      </c>
      <c r="E877" t="str">
        <f>IF(ISBLANK(Record!E878),"",Record!E878)</f>
        <v/>
      </c>
      <c r="M877" t="str">
        <f t="shared" si="91"/>
        <v xml:space="preserve">          </v>
      </c>
      <c r="N877" s="227" t="str">
        <f t="shared" si="92"/>
        <v/>
      </c>
      <c r="X877" t="str">
        <f t="shared" si="93"/>
        <v xml:space="preserve">          </v>
      </c>
      <c r="Y877" s="227" t="str">
        <f t="shared" si="94"/>
        <v/>
      </c>
      <c r="Z877" t="str">
        <f t="shared" si="95"/>
        <v/>
      </c>
      <c r="AL877" t="str">
        <f t="shared" si="96"/>
        <v/>
      </c>
      <c r="AM877" t="str">
        <f t="shared" si="97"/>
        <v/>
      </c>
    </row>
    <row r="878" spans="1:39">
      <c r="A878" t="str">
        <f>IF(ISBLANK(Record!A879),"",Record!A879)</f>
        <v/>
      </c>
      <c r="B878" t="str">
        <f>IF(ISBLANK(Record!B879),"",Record!B879)</f>
        <v/>
      </c>
      <c r="C878" s="227" t="str">
        <f>IF(ISBLANK(Record!C879),"",Record!C879)</f>
        <v/>
      </c>
      <c r="D878" t="str">
        <f>IF(ISBLANK(Record!D879),"",Record!D879)</f>
        <v/>
      </c>
      <c r="E878" t="str">
        <f>IF(ISBLANK(Record!E879),"",Record!E879)</f>
        <v/>
      </c>
      <c r="M878" t="str">
        <f t="shared" si="91"/>
        <v xml:space="preserve">          </v>
      </c>
      <c r="N878" s="227" t="str">
        <f t="shared" si="92"/>
        <v/>
      </c>
      <c r="X878" t="str">
        <f t="shared" si="93"/>
        <v xml:space="preserve">          </v>
      </c>
      <c r="Y878" s="227" t="str">
        <f t="shared" si="94"/>
        <v/>
      </c>
      <c r="Z878" t="str">
        <f t="shared" si="95"/>
        <v/>
      </c>
      <c r="AL878" t="str">
        <f t="shared" si="96"/>
        <v/>
      </c>
      <c r="AM878" t="str">
        <f t="shared" si="97"/>
        <v/>
      </c>
    </row>
    <row r="879" spans="1:39">
      <c r="A879" t="str">
        <f>IF(ISBLANK(Record!A880),"",Record!A880)</f>
        <v/>
      </c>
      <c r="B879" t="str">
        <f>IF(ISBLANK(Record!B880),"",Record!B880)</f>
        <v/>
      </c>
      <c r="C879" s="227" t="str">
        <f>IF(ISBLANK(Record!C880),"",Record!C880)</f>
        <v/>
      </c>
      <c r="D879" t="str">
        <f>IF(ISBLANK(Record!D880),"",Record!D880)</f>
        <v/>
      </c>
      <c r="E879" t="str">
        <f>IF(ISBLANK(Record!E880),"",Record!E880)</f>
        <v/>
      </c>
      <c r="M879" t="str">
        <f t="shared" si="91"/>
        <v xml:space="preserve">          </v>
      </c>
      <c r="N879" s="227" t="str">
        <f t="shared" si="92"/>
        <v/>
      </c>
      <c r="X879" t="str">
        <f t="shared" si="93"/>
        <v xml:space="preserve">          </v>
      </c>
      <c r="Y879" s="227" t="str">
        <f t="shared" si="94"/>
        <v/>
      </c>
      <c r="Z879" t="str">
        <f t="shared" si="95"/>
        <v/>
      </c>
      <c r="AL879" t="str">
        <f t="shared" si="96"/>
        <v/>
      </c>
      <c r="AM879" t="str">
        <f t="shared" si="97"/>
        <v/>
      </c>
    </row>
    <row r="880" spans="1:39">
      <c r="A880" t="str">
        <f>IF(ISBLANK(Record!A881),"",Record!A881)</f>
        <v/>
      </c>
      <c r="B880" t="str">
        <f>IF(ISBLANK(Record!B881),"",Record!B881)</f>
        <v/>
      </c>
      <c r="C880" s="227" t="str">
        <f>IF(ISBLANK(Record!C881),"",Record!C881)</f>
        <v/>
      </c>
      <c r="D880" t="str">
        <f>IF(ISBLANK(Record!D881),"",Record!D881)</f>
        <v/>
      </c>
      <c r="E880" t="str">
        <f>IF(ISBLANK(Record!E881),"",Record!E881)</f>
        <v/>
      </c>
      <c r="M880" t="str">
        <f t="shared" si="91"/>
        <v xml:space="preserve">          </v>
      </c>
      <c r="N880" s="227" t="str">
        <f t="shared" si="92"/>
        <v/>
      </c>
      <c r="X880" t="str">
        <f t="shared" si="93"/>
        <v xml:space="preserve">          </v>
      </c>
      <c r="Y880" s="227" t="str">
        <f t="shared" si="94"/>
        <v/>
      </c>
      <c r="Z880" t="str">
        <f t="shared" si="95"/>
        <v/>
      </c>
      <c r="AL880" t="str">
        <f t="shared" si="96"/>
        <v/>
      </c>
      <c r="AM880" t="str">
        <f t="shared" si="97"/>
        <v/>
      </c>
    </row>
    <row r="881" spans="1:39">
      <c r="A881" t="str">
        <f>IF(ISBLANK(Record!A882),"",Record!A882)</f>
        <v/>
      </c>
      <c r="B881" t="str">
        <f>IF(ISBLANK(Record!B882),"",Record!B882)</f>
        <v/>
      </c>
      <c r="C881" s="227" t="str">
        <f>IF(ISBLANK(Record!C882),"",Record!C882)</f>
        <v/>
      </c>
      <c r="D881" t="str">
        <f>IF(ISBLANK(Record!D882),"",Record!D882)</f>
        <v/>
      </c>
      <c r="E881" t="str">
        <f>IF(ISBLANK(Record!E882),"",Record!E882)</f>
        <v/>
      </c>
      <c r="M881" t="str">
        <f t="shared" si="91"/>
        <v xml:space="preserve">          </v>
      </c>
      <c r="N881" s="227" t="str">
        <f t="shared" si="92"/>
        <v/>
      </c>
      <c r="X881" t="str">
        <f t="shared" si="93"/>
        <v xml:space="preserve">          </v>
      </c>
      <c r="Y881" s="227" t="str">
        <f t="shared" si="94"/>
        <v/>
      </c>
      <c r="Z881" t="str">
        <f t="shared" si="95"/>
        <v/>
      </c>
      <c r="AL881" t="str">
        <f t="shared" si="96"/>
        <v/>
      </c>
      <c r="AM881" t="str">
        <f t="shared" si="97"/>
        <v/>
      </c>
    </row>
    <row r="882" spans="1:39">
      <c r="A882" t="str">
        <f>IF(ISBLANK(Record!A883),"",Record!A883)</f>
        <v/>
      </c>
      <c r="B882" t="str">
        <f>IF(ISBLANK(Record!B883),"",Record!B883)</f>
        <v/>
      </c>
      <c r="C882" s="227" t="str">
        <f>IF(ISBLANK(Record!C883),"",Record!C883)</f>
        <v/>
      </c>
      <c r="D882" t="str">
        <f>IF(ISBLANK(Record!D883),"",Record!D883)</f>
        <v/>
      </c>
      <c r="E882" t="str">
        <f>IF(ISBLANK(Record!E883),"",Record!E883)</f>
        <v/>
      </c>
      <c r="M882" t="str">
        <f t="shared" si="91"/>
        <v xml:space="preserve">          </v>
      </c>
      <c r="N882" s="227" t="str">
        <f t="shared" si="92"/>
        <v/>
      </c>
      <c r="X882" t="str">
        <f t="shared" si="93"/>
        <v xml:space="preserve">          </v>
      </c>
      <c r="Y882" s="227" t="str">
        <f t="shared" si="94"/>
        <v/>
      </c>
      <c r="Z882" t="str">
        <f t="shared" si="95"/>
        <v/>
      </c>
      <c r="AL882" t="str">
        <f t="shared" si="96"/>
        <v/>
      </c>
      <c r="AM882" t="str">
        <f t="shared" si="97"/>
        <v/>
      </c>
    </row>
    <row r="883" spans="1:39">
      <c r="A883" t="str">
        <f>IF(ISBLANK(Record!A884),"",Record!A884)</f>
        <v/>
      </c>
      <c r="B883" t="str">
        <f>IF(ISBLANK(Record!B884),"",Record!B884)</f>
        <v/>
      </c>
      <c r="C883" s="227" t="str">
        <f>IF(ISBLANK(Record!C884),"",Record!C884)</f>
        <v/>
      </c>
      <c r="D883" t="str">
        <f>IF(ISBLANK(Record!D884),"",Record!D884)</f>
        <v/>
      </c>
      <c r="E883" t="str">
        <f>IF(ISBLANK(Record!E884),"",Record!E884)</f>
        <v/>
      </c>
      <c r="M883" t="str">
        <f t="shared" si="91"/>
        <v xml:space="preserve">          </v>
      </c>
      <c r="N883" s="227" t="str">
        <f t="shared" si="92"/>
        <v/>
      </c>
      <c r="X883" t="str">
        <f t="shared" si="93"/>
        <v xml:space="preserve">          </v>
      </c>
      <c r="Y883" s="227" t="str">
        <f t="shared" si="94"/>
        <v/>
      </c>
      <c r="Z883" t="str">
        <f t="shared" si="95"/>
        <v/>
      </c>
      <c r="AL883" t="str">
        <f t="shared" si="96"/>
        <v/>
      </c>
      <c r="AM883" t="str">
        <f t="shared" si="97"/>
        <v/>
      </c>
    </row>
    <row r="884" spans="1:39">
      <c r="A884" t="str">
        <f>IF(ISBLANK(Record!A885),"",Record!A885)</f>
        <v/>
      </c>
      <c r="B884" t="str">
        <f>IF(ISBLANK(Record!B885),"",Record!B885)</f>
        <v/>
      </c>
      <c r="C884" s="227" t="str">
        <f>IF(ISBLANK(Record!C885),"",Record!C885)</f>
        <v/>
      </c>
      <c r="D884" t="str">
        <f>IF(ISBLANK(Record!D885),"",Record!D885)</f>
        <v/>
      </c>
      <c r="E884" t="str">
        <f>IF(ISBLANK(Record!E885),"",Record!E885)</f>
        <v/>
      </c>
      <c r="M884" t="str">
        <f t="shared" si="91"/>
        <v xml:space="preserve">          </v>
      </c>
      <c r="N884" s="227" t="str">
        <f t="shared" si="92"/>
        <v/>
      </c>
      <c r="X884" t="str">
        <f t="shared" si="93"/>
        <v xml:space="preserve">          </v>
      </c>
      <c r="Y884" s="227" t="str">
        <f t="shared" si="94"/>
        <v/>
      </c>
      <c r="Z884" t="str">
        <f t="shared" si="95"/>
        <v/>
      </c>
      <c r="AL884" t="str">
        <f t="shared" si="96"/>
        <v/>
      </c>
      <c r="AM884" t="str">
        <f t="shared" si="97"/>
        <v/>
      </c>
    </row>
    <row r="885" spans="1:39">
      <c r="A885" t="str">
        <f>IF(ISBLANK(Record!A886),"",Record!A886)</f>
        <v/>
      </c>
      <c r="B885" t="str">
        <f>IF(ISBLANK(Record!B886),"",Record!B886)</f>
        <v/>
      </c>
      <c r="C885" s="227" t="str">
        <f>IF(ISBLANK(Record!C886),"",Record!C886)</f>
        <v/>
      </c>
      <c r="D885" t="str">
        <f>IF(ISBLANK(Record!D886),"",Record!D886)</f>
        <v/>
      </c>
      <c r="E885" t="str">
        <f>IF(ISBLANK(Record!E886),"",Record!E886)</f>
        <v/>
      </c>
      <c r="M885" t="str">
        <f t="shared" si="91"/>
        <v xml:space="preserve">          </v>
      </c>
      <c r="N885" s="227" t="str">
        <f t="shared" si="92"/>
        <v/>
      </c>
      <c r="X885" t="str">
        <f t="shared" si="93"/>
        <v xml:space="preserve">          </v>
      </c>
      <c r="Y885" s="227" t="str">
        <f t="shared" si="94"/>
        <v/>
      </c>
      <c r="Z885" t="str">
        <f t="shared" si="95"/>
        <v/>
      </c>
      <c r="AL885" t="str">
        <f t="shared" si="96"/>
        <v/>
      </c>
      <c r="AM885" t="str">
        <f t="shared" si="97"/>
        <v/>
      </c>
    </row>
    <row r="886" spans="1:39">
      <c r="A886" t="str">
        <f>IF(ISBLANK(Record!A887),"",Record!A887)</f>
        <v/>
      </c>
      <c r="B886" t="str">
        <f>IF(ISBLANK(Record!B887),"",Record!B887)</f>
        <v/>
      </c>
      <c r="C886" s="227" t="str">
        <f>IF(ISBLANK(Record!C887),"",Record!C887)</f>
        <v/>
      </c>
      <c r="D886" t="str">
        <f>IF(ISBLANK(Record!D887),"",Record!D887)</f>
        <v/>
      </c>
      <c r="E886" t="str">
        <f>IF(ISBLANK(Record!E887),"",Record!E887)</f>
        <v/>
      </c>
      <c r="M886" t="str">
        <f t="shared" si="91"/>
        <v xml:space="preserve">          </v>
      </c>
      <c r="N886" s="227" t="str">
        <f t="shared" si="92"/>
        <v/>
      </c>
      <c r="X886" t="str">
        <f t="shared" si="93"/>
        <v xml:space="preserve">          </v>
      </c>
      <c r="Y886" s="227" t="str">
        <f t="shared" si="94"/>
        <v/>
      </c>
      <c r="Z886" t="str">
        <f t="shared" si="95"/>
        <v/>
      </c>
      <c r="AL886" t="str">
        <f t="shared" si="96"/>
        <v/>
      </c>
      <c r="AM886" t="str">
        <f t="shared" si="97"/>
        <v/>
      </c>
    </row>
    <row r="887" spans="1:39">
      <c r="A887" t="str">
        <f>IF(ISBLANK(Record!A888),"",Record!A888)</f>
        <v/>
      </c>
      <c r="B887" t="str">
        <f>IF(ISBLANK(Record!B888),"",Record!B888)</f>
        <v/>
      </c>
      <c r="C887" s="227" t="str">
        <f>IF(ISBLANK(Record!C888),"",Record!C888)</f>
        <v/>
      </c>
      <c r="D887" t="str">
        <f>IF(ISBLANK(Record!D888),"",Record!D888)</f>
        <v/>
      </c>
      <c r="E887" t="str">
        <f>IF(ISBLANK(Record!E888),"",Record!E888)</f>
        <v/>
      </c>
      <c r="M887" t="str">
        <f t="shared" si="91"/>
        <v xml:space="preserve">          </v>
      </c>
      <c r="N887" s="227" t="str">
        <f t="shared" si="92"/>
        <v/>
      </c>
      <c r="X887" t="str">
        <f t="shared" si="93"/>
        <v xml:space="preserve">          </v>
      </c>
      <c r="Y887" s="227" t="str">
        <f t="shared" si="94"/>
        <v/>
      </c>
      <c r="Z887" t="str">
        <f t="shared" si="95"/>
        <v/>
      </c>
      <c r="AL887" t="str">
        <f t="shared" si="96"/>
        <v/>
      </c>
      <c r="AM887" t="str">
        <f t="shared" si="97"/>
        <v/>
      </c>
    </row>
    <row r="888" spans="1:39">
      <c r="A888" t="str">
        <f>IF(ISBLANK(Record!A889),"",Record!A889)</f>
        <v/>
      </c>
      <c r="B888" t="str">
        <f>IF(ISBLANK(Record!B889),"",Record!B889)</f>
        <v/>
      </c>
      <c r="C888" s="227" t="str">
        <f>IF(ISBLANK(Record!C889),"",Record!C889)</f>
        <v/>
      </c>
      <c r="D888" t="str">
        <f>IF(ISBLANK(Record!D889),"",Record!D889)</f>
        <v/>
      </c>
      <c r="E888" t="str">
        <f>IF(ISBLANK(Record!E889),"",Record!E889)</f>
        <v/>
      </c>
      <c r="M888" t="str">
        <f t="shared" si="91"/>
        <v xml:space="preserve">          </v>
      </c>
      <c r="N888" s="227" t="str">
        <f t="shared" si="92"/>
        <v/>
      </c>
      <c r="X888" t="str">
        <f t="shared" si="93"/>
        <v xml:space="preserve">          </v>
      </c>
      <c r="Y888" s="227" t="str">
        <f t="shared" si="94"/>
        <v/>
      </c>
      <c r="Z888" t="str">
        <f t="shared" si="95"/>
        <v/>
      </c>
      <c r="AL888" t="str">
        <f t="shared" si="96"/>
        <v/>
      </c>
      <c r="AM888" t="str">
        <f t="shared" si="97"/>
        <v/>
      </c>
    </row>
    <row r="889" spans="1:39">
      <c r="A889" t="str">
        <f>IF(ISBLANK(Record!A890),"",Record!A890)</f>
        <v/>
      </c>
      <c r="B889" t="str">
        <f>IF(ISBLANK(Record!B890),"",Record!B890)</f>
        <v/>
      </c>
      <c r="C889" s="227" t="str">
        <f>IF(ISBLANK(Record!C890),"",Record!C890)</f>
        <v/>
      </c>
      <c r="D889" t="str">
        <f>IF(ISBLANK(Record!D890),"",Record!D890)</f>
        <v/>
      </c>
      <c r="E889" t="str">
        <f>IF(ISBLANK(Record!E890),"",Record!E890)</f>
        <v/>
      </c>
      <c r="M889" t="str">
        <f t="shared" si="91"/>
        <v xml:space="preserve">          </v>
      </c>
      <c r="N889" s="227" t="str">
        <f t="shared" si="92"/>
        <v/>
      </c>
      <c r="X889" t="str">
        <f t="shared" si="93"/>
        <v xml:space="preserve">          </v>
      </c>
      <c r="Y889" s="227" t="str">
        <f t="shared" si="94"/>
        <v/>
      </c>
      <c r="Z889" t="str">
        <f t="shared" si="95"/>
        <v/>
      </c>
      <c r="AL889" t="str">
        <f t="shared" si="96"/>
        <v/>
      </c>
      <c r="AM889" t="str">
        <f t="shared" si="97"/>
        <v/>
      </c>
    </row>
    <row r="890" spans="1:39">
      <c r="A890" t="str">
        <f>IF(ISBLANK(Record!A891),"",Record!A891)</f>
        <v/>
      </c>
      <c r="B890" t="str">
        <f>IF(ISBLANK(Record!B891),"",Record!B891)</f>
        <v/>
      </c>
      <c r="C890" s="227" t="str">
        <f>IF(ISBLANK(Record!C891),"",Record!C891)</f>
        <v/>
      </c>
      <c r="D890" t="str">
        <f>IF(ISBLANK(Record!D891),"",Record!D891)</f>
        <v/>
      </c>
      <c r="E890" t="str">
        <f>IF(ISBLANK(Record!E891),"",Record!E891)</f>
        <v/>
      </c>
      <c r="M890" t="str">
        <f t="shared" si="91"/>
        <v xml:space="preserve">          </v>
      </c>
      <c r="N890" s="227" t="str">
        <f t="shared" si="92"/>
        <v/>
      </c>
      <c r="X890" t="str">
        <f t="shared" si="93"/>
        <v xml:space="preserve">          </v>
      </c>
      <c r="Y890" s="227" t="str">
        <f t="shared" si="94"/>
        <v/>
      </c>
      <c r="Z890" t="str">
        <f t="shared" si="95"/>
        <v/>
      </c>
      <c r="AL890" t="str">
        <f t="shared" si="96"/>
        <v/>
      </c>
      <c r="AM890" t="str">
        <f t="shared" si="97"/>
        <v/>
      </c>
    </row>
    <row r="891" spans="1:39">
      <c r="A891" t="str">
        <f>IF(ISBLANK(Record!A892),"",Record!A892)</f>
        <v/>
      </c>
      <c r="B891" t="str">
        <f>IF(ISBLANK(Record!B892),"",Record!B892)</f>
        <v/>
      </c>
      <c r="C891" s="227" t="str">
        <f>IF(ISBLANK(Record!C892),"",Record!C892)</f>
        <v/>
      </c>
      <c r="D891" t="str">
        <f>IF(ISBLANK(Record!D892),"",Record!D892)</f>
        <v/>
      </c>
      <c r="E891" t="str">
        <f>IF(ISBLANK(Record!E892),"",Record!E892)</f>
        <v/>
      </c>
      <c r="M891" t="str">
        <f t="shared" si="91"/>
        <v xml:space="preserve">          </v>
      </c>
      <c r="N891" s="227" t="str">
        <f t="shared" si="92"/>
        <v/>
      </c>
      <c r="X891" t="str">
        <f t="shared" si="93"/>
        <v xml:space="preserve">          </v>
      </c>
      <c r="Y891" s="227" t="str">
        <f t="shared" si="94"/>
        <v/>
      </c>
      <c r="Z891" t="str">
        <f t="shared" si="95"/>
        <v/>
      </c>
      <c r="AL891" t="str">
        <f t="shared" si="96"/>
        <v/>
      </c>
      <c r="AM891" t="str">
        <f t="shared" si="97"/>
        <v/>
      </c>
    </row>
    <row r="892" spans="1:39">
      <c r="A892" t="str">
        <f>IF(ISBLANK(Record!A893),"",Record!A893)</f>
        <v/>
      </c>
      <c r="B892" t="str">
        <f>IF(ISBLANK(Record!B893),"",Record!B893)</f>
        <v/>
      </c>
      <c r="C892" s="227" t="str">
        <f>IF(ISBLANK(Record!C893),"",Record!C893)</f>
        <v/>
      </c>
      <c r="D892" t="str">
        <f>IF(ISBLANK(Record!D893),"",Record!D893)</f>
        <v/>
      </c>
      <c r="E892" t="str">
        <f>IF(ISBLANK(Record!E893),"",Record!E893)</f>
        <v/>
      </c>
      <c r="M892" t="str">
        <f t="shared" si="91"/>
        <v xml:space="preserve">          </v>
      </c>
      <c r="N892" s="227" t="str">
        <f t="shared" si="92"/>
        <v/>
      </c>
      <c r="X892" t="str">
        <f t="shared" si="93"/>
        <v xml:space="preserve">          </v>
      </c>
      <c r="Y892" s="227" t="str">
        <f t="shared" si="94"/>
        <v/>
      </c>
      <c r="Z892" t="str">
        <f t="shared" si="95"/>
        <v/>
      </c>
      <c r="AL892" t="str">
        <f t="shared" si="96"/>
        <v/>
      </c>
      <c r="AM892" t="str">
        <f t="shared" si="97"/>
        <v/>
      </c>
    </row>
    <row r="893" spans="1:39">
      <c r="A893" t="str">
        <f>IF(ISBLANK(Record!A894),"",Record!A894)</f>
        <v/>
      </c>
      <c r="B893" t="str">
        <f>IF(ISBLANK(Record!B894),"",Record!B894)</f>
        <v/>
      </c>
      <c r="C893" s="227" t="str">
        <f>IF(ISBLANK(Record!C894),"",Record!C894)</f>
        <v/>
      </c>
      <c r="D893" t="str">
        <f>IF(ISBLANK(Record!D894),"",Record!D894)</f>
        <v/>
      </c>
      <c r="E893" t="str">
        <f>IF(ISBLANK(Record!E894),"",Record!E894)</f>
        <v/>
      </c>
      <c r="M893" t="str">
        <f t="shared" si="91"/>
        <v xml:space="preserve">          </v>
      </c>
      <c r="N893" s="227" t="str">
        <f t="shared" si="92"/>
        <v/>
      </c>
      <c r="X893" t="str">
        <f t="shared" si="93"/>
        <v xml:space="preserve">          </v>
      </c>
      <c r="Y893" s="227" t="str">
        <f t="shared" si="94"/>
        <v/>
      </c>
      <c r="Z893" t="str">
        <f t="shared" si="95"/>
        <v/>
      </c>
      <c r="AL893" t="str">
        <f t="shared" si="96"/>
        <v/>
      </c>
      <c r="AM893" t="str">
        <f t="shared" si="97"/>
        <v/>
      </c>
    </row>
    <row r="894" spans="1:39">
      <c r="A894" t="str">
        <f>IF(ISBLANK(Record!A895),"",Record!A895)</f>
        <v/>
      </c>
      <c r="B894" t="str">
        <f>IF(ISBLANK(Record!B895),"",Record!B895)</f>
        <v/>
      </c>
      <c r="C894" s="227" t="str">
        <f>IF(ISBLANK(Record!C895),"",Record!C895)</f>
        <v/>
      </c>
      <c r="D894" t="str">
        <f>IF(ISBLANK(Record!D895),"",Record!D895)</f>
        <v/>
      </c>
      <c r="E894" t="str">
        <f>IF(ISBLANK(Record!E895),"",Record!E895)</f>
        <v/>
      </c>
      <c r="M894" t="str">
        <f t="shared" si="91"/>
        <v xml:space="preserve">          </v>
      </c>
      <c r="N894" s="227" t="str">
        <f t="shared" si="92"/>
        <v/>
      </c>
      <c r="X894" t="str">
        <f t="shared" si="93"/>
        <v xml:space="preserve">          </v>
      </c>
      <c r="Y894" s="227" t="str">
        <f t="shared" si="94"/>
        <v/>
      </c>
      <c r="Z894" t="str">
        <f t="shared" si="95"/>
        <v/>
      </c>
      <c r="AL894" t="str">
        <f t="shared" si="96"/>
        <v/>
      </c>
      <c r="AM894" t="str">
        <f t="shared" si="97"/>
        <v/>
      </c>
    </row>
    <row r="895" spans="1:39">
      <c r="A895" t="str">
        <f>IF(ISBLANK(Record!A896),"",Record!A896)</f>
        <v/>
      </c>
      <c r="B895" t="str">
        <f>IF(ISBLANK(Record!B896),"",Record!B896)</f>
        <v/>
      </c>
      <c r="C895" s="227" t="str">
        <f>IF(ISBLANK(Record!C896),"",Record!C896)</f>
        <v/>
      </c>
      <c r="D895" t="str">
        <f>IF(ISBLANK(Record!D896),"",Record!D896)</f>
        <v/>
      </c>
      <c r="E895" t="str">
        <f>IF(ISBLANK(Record!E896),"",Record!E896)</f>
        <v/>
      </c>
      <c r="M895" t="str">
        <f t="shared" si="91"/>
        <v xml:space="preserve">          </v>
      </c>
      <c r="N895" s="227" t="str">
        <f t="shared" si="92"/>
        <v/>
      </c>
      <c r="X895" t="str">
        <f t="shared" si="93"/>
        <v xml:space="preserve">          </v>
      </c>
      <c r="Y895" s="227" t="str">
        <f t="shared" si="94"/>
        <v/>
      </c>
      <c r="Z895" t="str">
        <f t="shared" si="95"/>
        <v/>
      </c>
      <c r="AL895" t="str">
        <f t="shared" si="96"/>
        <v/>
      </c>
      <c r="AM895" t="str">
        <f t="shared" si="97"/>
        <v/>
      </c>
    </row>
    <row r="896" spans="1:39">
      <c r="A896" t="str">
        <f>IF(ISBLANK(Record!A897),"",Record!A897)</f>
        <v/>
      </c>
      <c r="B896" t="str">
        <f>IF(ISBLANK(Record!B897),"",Record!B897)</f>
        <v/>
      </c>
      <c r="C896" s="227" t="str">
        <f>IF(ISBLANK(Record!C897),"",Record!C897)</f>
        <v/>
      </c>
      <c r="D896" t="str">
        <f>IF(ISBLANK(Record!D897),"",Record!D897)</f>
        <v/>
      </c>
      <c r="E896" t="str">
        <f>IF(ISBLANK(Record!E897),"",Record!E897)</f>
        <v/>
      </c>
      <c r="M896" t="str">
        <f t="shared" si="91"/>
        <v xml:space="preserve">          </v>
      </c>
      <c r="N896" s="227" t="str">
        <f t="shared" si="92"/>
        <v/>
      </c>
      <c r="X896" t="str">
        <f t="shared" si="93"/>
        <v xml:space="preserve">          </v>
      </c>
      <c r="Y896" s="227" t="str">
        <f t="shared" si="94"/>
        <v/>
      </c>
      <c r="Z896" t="str">
        <f t="shared" si="95"/>
        <v/>
      </c>
      <c r="AL896" t="str">
        <f t="shared" si="96"/>
        <v/>
      </c>
      <c r="AM896" t="str">
        <f t="shared" si="97"/>
        <v/>
      </c>
    </row>
    <row r="897" spans="1:39">
      <c r="A897" t="str">
        <f>IF(ISBLANK(Record!A898),"",Record!A898)</f>
        <v/>
      </c>
      <c r="B897" t="str">
        <f>IF(ISBLANK(Record!B898),"",Record!B898)</f>
        <v/>
      </c>
      <c r="C897" s="227" t="str">
        <f>IF(ISBLANK(Record!C898),"",Record!C898)</f>
        <v/>
      </c>
      <c r="D897" t="str">
        <f>IF(ISBLANK(Record!D898),"",Record!D898)</f>
        <v/>
      </c>
      <c r="E897" t="str">
        <f>IF(ISBLANK(Record!E898),"",Record!E898)</f>
        <v/>
      </c>
      <c r="M897" t="str">
        <f t="shared" si="91"/>
        <v xml:space="preserve">          </v>
      </c>
      <c r="N897" s="227" t="str">
        <f t="shared" si="92"/>
        <v/>
      </c>
      <c r="X897" t="str">
        <f t="shared" si="93"/>
        <v xml:space="preserve">          </v>
      </c>
      <c r="Y897" s="227" t="str">
        <f t="shared" si="94"/>
        <v/>
      </c>
      <c r="Z897" t="str">
        <f t="shared" si="95"/>
        <v/>
      </c>
      <c r="AL897" t="str">
        <f t="shared" si="96"/>
        <v/>
      </c>
      <c r="AM897" t="str">
        <f t="shared" si="97"/>
        <v/>
      </c>
    </row>
    <row r="898" spans="1:39">
      <c r="A898" t="str">
        <f>IF(ISBLANK(Record!A899),"",Record!A899)</f>
        <v/>
      </c>
      <c r="B898" t="str">
        <f>IF(ISBLANK(Record!B899),"",Record!B899)</f>
        <v/>
      </c>
      <c r="C898" s="227" t="str">
        <f>IF(ISBLANK(Record!C899),"",Record!C899)</f>
        <v/>
      </c>
      <c r="D898" t="str">
        <f>IF(ISBLANK(Record!D899),"",Record!D899)</f>
        <v/>
      </c>
      <c r="E898" t="str">
        <f>IF(ISBLANK(Record!E899),"",Record!E899)</f>
        <v/>
      </c>
      <c r="M898" t="str">
        <f t="shared" si="91"/>
        <v xml:space="preserve">          </v>
      </c>
      <c r="N898" s="227" t="str">
        <f t="shared" si="92"/>
        <v/>
      </c>
      <c r="X898" t="str">
        <f t="shared" si="93"/>
        <v xml:space="preserve">          </v>
      </c>
      <c r="Y898" s="227" t="str">
        <f t="shared" si="94"/>
        <v/>
      </c>
      <c r="Z898" t="str">
        <f t="shared" si="95"/>
        <v/>
      </c>
      <c r="AL898" t="str">
        <f t="shared" si="96"/>
        <v/>
      </c>
      <c r="AM898" t="str">
        <f t="shared" si="97"/>
        <v/>
      </c>
    </row>
    <row r="899" spans="1:39">
      <c r="A899" t="str">
        <f>IF(ISBLANK(Record!A900),"",Record!A900)</f>
        <v/>
      </c>
      <c r="B899" t="str">
        <f>IF(ISBLANK(Record!B900),"",Record!B900)</f>
        <v/>
      </c>
      <c r="C899" s="227" t="str">
        <f>IF(ISBLANK(Record!C900),"",Record!C900)</f>
        <v/>
      </c>
      <c r="D899" t="str">
        <f>IF(ISBLANK(Record!D900),"",Record!D900)</f>
        <v/>
      </c>
      <c r="E899" t="str">
        <f>IF(ISBLANK(Record!E900),"",Record!E900)</f>
        <v/>
      </c>
      <c r="M899" t="str">
        <f t="shared" ref="M899:M962" si="98">RIGHT("                                   " &amp; A899,10)</f>
        <v xml:space="preserve">          </v>
      </c>
      <c r="N899" s="227" t="str">
        <f t="shared" ref="N899:N962" si="99">RIGHT(C899,16)</f>
        <v/>
      </c>
      <c r="X899" t="str">
        <f t="shared" ref="X899:X962" si="100">RIGHT("                                   " &amp; A899,10)</f>
        <v xml:space="preserve">          </v>
      </c>
      <c r="Y899" s="227" t="str">
        <f t="shared" ref="Y899:Y962" si="101">RIGHT(C899,16)</f>
        <v/>
      </c>
      <c r="Z899" t="str">
        <f t="shared" ref="Z899:Z962" si="102">RIGHT(D899,8)</f>
        <v/>
      </c>
      <c r="AL899" t="str">
        <f t="shared" ref="AL899:AL962" si="103">D899</f>
        <v/>
      </c>
      <c r="AM899" t="str">
        <f t="shared" ref="AM899:AM962" si="104">IF(E899&lt;&gt;AL899,E899,E899)</f>
        <v/>
      </c>
    </row>
    <row r="900" spans="1:39">
      <c r="A900" t="str">
        <f>IF(ISBLANK(Record!A901),"",Record!A901)</f>
        <v/>
      </c>
      <c r="B900" t="str">
        <f>IF(ISBLANK(Record!B901),"",Record!B901)</f>
        <v/>
      </c>
      <c r="C900" s="227" t="str">
        <f>IF(ISBLANK(Record!C901),"",Record!C901)</f>
        <v/>
      </c>
      <c r="D900" t="str">
        <f>IF(ISBLANK(Record!D901),"",Record!D901)</f>
        <v/>
      </c>
      <c r="E900" t="str">
        <f>IF(ISBLANK(Record!E901),"",Record!E901)</f>
        <v/>
      </c>
      <c r="M900" t="str">
        <f t="shared" si="98"/>
        <v xml:space="preserve">          </v>
      </c>
      <c r="N900" s="227" t="str">
        <f t="shared" si="99"/>
        <v/>
      </c>
      <c r="X900" t="str">
        <f t="shared" si="100"/>
        <v xml:space="preserve">          </v>
      </c>
      <c r="Y900" s="227" t="str">
        <f t="shared" si="101"/>
        <v/>
      </c>
      <c r="Z900" t="str">
        <f t="shared" si="102"/>
        <v/>
      </c>
      <c r="AL900" t="str">
        <f t="shared" si="103"/>
        <v/>
      </c>
      <c r="AM900" t="str">
        <f t="shared" si="104"/>
        <v/>
      </c>
    </row>
    <row r="901" spans="1:39">
      <c r="A901" t="str">
        <f>IF(ISBLANK(Record!A902),"",Record!A902)</f>
        <v/>
      </c>
      <c r="B901" t="str">
        <f>IF(ISBLANK(Record!B902),"",Record!B902)</f>
        <v/>
      </c>
      <c r="C901" s="227" t="str">
        <f>IF(ISBLANK(Record!C902),"",Record!C902)</f>
        <v/>
      </c>
      <c r="D901" t="str">
        <f>IF(ISBLANK(Record!D902),"",Record!D902)</f>
        <v/>
      </c>
      <c r="E901" t="str">
        <f>IF(ISBLANK(Record!E902),"",Record!E902)</f>
        <v/>
      </c>
      <c r="M901" t="str">
        <f t="shared" si="98"/>
        <v xml:space="preserve">          </v>
      </c>
      <c r="N901" s="227" t="str">
        <f t="shared" si="99"/>
        <v/>
      </c>
      <c r="X901" t="str">
        <f t="shared" si="100"/>
        <v xml:space="preserve">          </v>
      </c>
      <c r="Y901" s="227" t="str">
        <f t="shared" si="101"/>
        <v/>
      </c>
      <c r="Z901" t="str">
        <f t="shared" si="102"/>
        <v/>
      </c>
      <c r="AL901" t="str">
        <f t="shared" si="103"/>
        <v/>
      </c>
      <c r="AM901" t="str">
        <f t="shared" si="104"/>
        <v/>
      </c>
    </row>
    <row r="902" spans="1:39">
      <c r="A902" t="str">
        <f>IF(ISBLANK(Record!A903),"",Record!A903)</f>
        <v/>
      </c>
      <c r="B902" t="str">
        <f>IF(ISBLANK(Record!B903),"",Record!B903)</f>
        <v/>
      </c>
      <c r="C902" s="227" t="str">
        <f>IF(ISBLANK(Record!C903),"",Record!C903)</f>
        <v/>
      </c>
      <c r="D902" t="str">
        <f>IF(ISBLANK(Record!D903),"",Record!D903)</f>
        <v/>
      </c>
      <c r="E902" t="str">
        <f>IF(ISBLANK(Record!E903),"",Record!E903)</f>
        <v/>
      </c>
      <c r="M902" t="str">
        <f t="shared" si="98"/>
        <v xml:space="preserve">          </v>
      </c>
      <c r="N902" s="227" t="str">
        <f t="shared" si="99"/>
        <v/>
      </c>
      <c r="X902" t="str">
        <f t="shared" si="100"/>
        <v xml:space="preserve">          </v>
      </c>
      <c r="Y902" s="227" t="str">
        <f t="shared" si="101"/>
        <v/>
      </c>
      <c r="Z902" t="str">
        <f t="shared" si="102"/>
        <v/>
      </c>
      <c r="AL902" t="str">
        <f t="shared" si="103"/>
        <v/>
      </c>
      <c r="AM902" t="str">
        <f t="shared" si="104"/>
        <v/>
      </c>
    </row>
    <row r="903" spans="1:39">
      <c r="A903" t="str">
        <f>IF(ISBLANK(Record!A904),"",Record!A904)</f>
        <v/>
      </c>
      <c r="B903" t="str">
        <f>IF(ISBLANK(Record!B904),"",Record!B904)</f>
        <v/>
      </c>
      <c r="C903" s="227" t="str">
        <f>IF(ISBLANK(Record!C904),"",Record!C904)</f>
        <v/>
      </c>
      <c r="D903" t="str">
        <f>IF(ISBLANK(Record!D904),"",Record!D904)</f>
        <v/>
      </c>
      <c r="E903" t="str">
        <f>IF(ISBLANK(Record!E904),"",Record!E904)</f>
        <v/>
      </c>
      <c r="M903" t="str">
        <f t="shared" si="98"/>
        <v xml:space="preserve">          </v>
      </c>
      <c r="N903" s="227" t="str">
        <f t="shared" si="99"/>
        <v/>
      </c>
      <c r="X903" t="str">
        <f t="shared" si="100"/>
        <v xml:space="preserve">          </v>
      </c>
      <c r="Y903" s="227" t="str">
        <f t="shared" si="101"/>
        <v/>
      </c>
      <c r="Z903" t="str">
        <f t="shared" si="102"/>
        <v/>
      </c>
      <c r="AL903" t="str">
        <f t="shared" si="103"/>
        <v/>
      </c>
      <c r="AM903" t="str">
        <f t="shared" si="104"/>
        <v/>
      </c>
    </row>
    <row r="904" spans="1:39">
      <c r="A904" t="str">
        <f>IF(ISBLANK(Record!A905),"",Record!A905)</f>
        <v/>
      </c>
      <c r="B904" t="str">
        <f>IF(ISBLANK(Record!B905),"",Record!B905)</f>
        <v/>
      </c>
      <c r="C904" s="227" t="str">
        <f>IF(ISBLANK(Record!C905),"",Record!C905)</f>
        <v/>
      </c>
      <c r="D904" t="str">
        <f>IF(ISBLANK(Record!D905),"",Record!D905)</f>
        <v/>
      </c>
      <c r="E904" t="str">
        <f>IF(ISBLANK(Record!E905),"",Record!E905)</f>
        <v/>
      </c>
      <c r="M904" t="str">
        <f t="shared" si="98"/>
        <v xml:space="preserve">          </v>
      </c>
      <c r="N904" s="227" t="str">
        <f t="shared" si="99"/>
        <v/>
      </c>
      <c r="X904" t="str">
        <f t="shared" si="100"/>
        <v xml:space="preserve">          </v>
      </c>
      <c r="Y904" s="227" t="str">
        <f t="shared" si="101"/>
        <v/>
      </c>
      <c r="Z904" t="str">
        <f t="shared" si="102"/>
        <v/>
      </c>
      <c r="AL904" t="str">
        <f t="shared" si="103"/>
        <v/>
      </c>
      <c r="AM904" t="str">
        <f t="shared" si="104"/>
        <v/>
      </c>
    </row>
    <row r="905" spans="1:39">
      <c r="A905" t="str">
        <f>IF(ISBLANK(Record!A906),"",Record!A906)</f>
        <v/>
      </c>
      <c r="B905" t="str">
        <f>IF(ISBLANK(Record!B906),"",Record!B906)</f>
        <v/>
      </c>
      <c r="C905" s="227" t="str">
        <f>IF(ISBLANK(Record!C906),"",Record!C906)</f>
        <v/>
      </c>
      <c r="D905" t="str">
        <f>IF(ISBLANK(Record!D906),"",Record!D906)</f>
        <v/>
      </c>
      <c r="E905" t="str">
        <f>IF(ISBLANK(Record!E906),"",Record!E906)</f>
        <v/>
      </c>
      <c r="M905" t="str">
        <f t="shared" si="98"/>
        <v xml:space="preserve">          </v>
      </c>
      <c r="N905" s="227" t="str">
        <f t="shared" si="99"/>
        <v/>
      </c>
      <c r="X905" t="str">
        <f t="shared" si="100"/>
        <v xml:space="preserve">          </v>
      </c>
      <c r="Y905" s="227" t="str">
        <f t="shared" si="101"/>
        <v/>
      </c>
      <c r="Z905" t="str">
        <f t="shared" si="102"/>
        <v/>
      </c>
      <c r="AL905" t="str">
        <f t="shared" si="103"/>
        <v/>
      </c>
      <c r="AM905" t="str">
        <f t="shared" si="104"/>
        <v/>
      </c>
    </row>
    <row r="906" spans="1:39">
      <c r="A906" t="str">
        <f>IF(ISBLANK(Record!A907),"",Record!A907)</f>
        <v/>
      </c>
      <c r="B906" t="str">
        <f>IF(ISBLANK(Record!B907),"",Record!B907)</f>
        <v/>
      </c>
      <c r="C906" s="227" t="str">
        <f>IF(ISBLANK(Record!C907),"",Record!C907)</f>
        <v/>
      </c>
      <c r="D906" t="str">
        <f>IF(ISBLANK(Record!D907),"",Record!D907)</f>
        <v/>
      </c>
      <c r="E906" t="str">
        <f>IF(ISBLANK(Record!E907),"",Record!E907)</f>
        <v/>
      </c>
      <c r="M906" t="str">
        <f t="shared" si="98"/>
        <v xml:space="preserve">          </v>
      </c>
      <c r="N906" s="227" t="str">
        <f t="shared" si="99"/>
        <v/>
      </c>
      <c r="X906" t="str">
        <f t="shared" si="100"/>
        <v xml:space="preserve">          </v>
      </c>
      <c r="Y906" s="227" t="str">
        <f t="shared" si="101"/>
        <v/>
      </c>
      <c r="Z906" t="str">
        <f t="shared" si="102"/>
        <v/>
      </c>
      <c r="AL906" t="str">
        <f t="shared" si="103"/>
        <v/>
      </c>
      <c r="AM906" t="str">
        <f t="shared" si="104"/>
        <v/>
      </c>
    </row>
    <row r="907" spans="1:39">
      <c r="A907" t="str">
        <f>IF(ISBLANK(Record!A908),"",Record!A908)</f>
        <v/>
      </c>
      <c r="B907" t="str">
        <f>IF(ISBLANK(Record!B908),"",Record!B908)</f>
        <v/>
      </c>
      <c r="C907" s="227" t="str">
        <f>IF(ISBLANK(Record!C908),"",Record!C908)</f>
        <v/>
      </c>
      <c r="D907" t="str">
        <f>IF(ISBLANK(Record!D908),"",Record!D908)</f>
        <v/>
      </c>
      <c r="E907" t="str">
        <f>IF(ISBLANK(Record!E908),"",Record!E908)</f>
        <v/>
      </c>
      <c r="M907" t="str">
        <f t="shared" si="98"/>
        <v xml:space="preserve">          </v>
      </c>
      <c r="N907" s="227" t="str">
        <f t="shared" si="99"/>
        <v/>
      </c>
      <c r="X907" t="str">
        <f t="shared" si="100"/>
        <v xml:space="preserve">          </v>
      </c>
      <c r="Y907" s="227" t="str">
        <f t="shared" si="101"/>
        <v/>
      </c>
      <c r="Z907" t="str">
        <f t="shared" si="102"/>
        <v/>
      </c>
      <c r="AL907" t="str">
        <f t="shared" si="103"/>
        <v/>
      </c>
      <c r="AM907" t="str">
        <f t="shared" si="104"/>
        <v/>
      </c>
    </row>
    <row r="908" spans="1:39">
      <c r="A908" t="str">
        <f>IF(ISBLANK(Record!A909),"",Record!A909)</f>
        <v/>
      </c>
      <c r="B908" t="str">
        <f>IF(ISBLANK(Record!B909),"",Record!B909)</f>
        <v/>
      </c>
      <c r="C908" s="227" t="str">
        <f>IF(ISBLANK(Record!C909),"",Record!C909)</f>
        <v/>
      </c>
      <c r="D908" t="str">
        <f>IF(ISBLANK(Record!D909),"",Record!D909)</f>
        <v/>
      </c>
      <c r="E908" t="str">
        <f>IF(ISBLANK(Record!E909),"",Record!E909)</f>
        <v/>
      </c>
      <c r="M908" t="str">
        <f t="shared" si="98"/>
        <v xml:space="preserve">          </v>
      </c>
      <c r="N908" s="227" t="str">
        <f t="shared" si="99"/>
        <v/>
      </c>
      <c r="X908" t="str">
        <f t="shared" si="100"/>
        <v xml:space="preserve">          </v>
      </c>
      <c r="Y908" s="227" t="str">
        <f t="shared" si="101"/>
        <v/>
      </c>
      <c r="Z908" t="str">
        <f t="shared" si="102"/>
        <v/>
      </c>
      <c r="AL908" t="str">
        <f t="shared" si="103"/>
        <v/>
      </c>
      <c r="AM908" t="str">
        <f t="shared" si="104"/>
        <v/>
      </c>
    </row>
    <row r="909" spans="1:39">
      <c r="A909" t="str">
        <f>IF(ISBLANK(Record!A910),"",Record!A910)</f>
        <v/>
      </c>
      <c r="B909" t="str">
        <f>IF(ISBLANK(Record!B910),"",Record!B910)</f>
        <v/>
      </c>
      <c r="C909" s="227" t="str">
        <f>IF(ISBLANK(Record!C910),"",Record!C910)</f>
        <v/>
      </c>
      <c r="D909" t="str">
        <f>IF(ISBLANK(Record!D910),"",Record!D910)</f>
        <v/>
      </c>
      <c r="E909" t="str">
        <f>IF(ISBLANK(Record!E910),"",Record!E910)</f>
        <v/>
      </c>
      <c r="M909" t="str">
        <f t="shared" si="98"/>
        <v xml:space="preserve">          </v>
      </c>
      <c r="N909" s="227" t="str">
        <f t="shared" si="99"/>
        <v/>
      </c>
      <c r="X909" t="str">
        <f t="shared" si="100"/>
        <v xml:space="preserve">          </v>
      </c>
      <c r="Y909" s="227" t="str">
        <f t="shared" si="101"/>
        <v/>
      </c>
      <c r="Z909" t="str">
        <f t="shared" si="102"/>
        <v/>
      </c>
      <c r="AL909" t="str">
        <f t="shared" si="103"/>
        <v/>
      </c>
      <c r="AM909" t="str">
        <f t="shared" si="104"/>
        <v/>
      </c>
    </row>
    <row r="910" spans="1:39">
      <c r="A910" t="str">
        <f>IF(ISBLANK(Record!A911),"",Record!A911)</f>
        <v/>
      </c>
      <c r="B910" t="str">
        <f>IF(ISBLANK(Record!B911),"",Record!B911)</f>
        <v/>
      </c>
      <c r="C910" s="227" t="str">
        <f>IF(ISBLANK(Record!C911),"",Record!C911)</f>
        <v/>
      </c>
      <c r="D910" t="str">
        <f>IF(ISBLANK(Record!D911),"",Record!D911)</f>
        <v/>
      </c>
      <c r="E910" t="str">
        <f>IF(ISBLANK(Record!E911),"",Record!E911)</f>
        <v/>
      </c>
      <c r="M910" t="str">
        <f t="shared" si="98"/>
        <v xml:space="preserve">          </v>
      </c>
      <c r="N910" s="227" t="str">
        <f t="shared" si="99"/>
        <v/>
      </c>
      <c r="X910" t="str">
        <f t="shared" si="100"/>
        <v xml:space="preserve">          </v>
      </c>
      <c r="Y910" s="227" t="str">
        <f t="shared" si="101"/>
        <v/>
      </c>
      <c r="Z910" t="str">
        <f t="shared" si="102"/>
        <v/>
      </c>
      <c r="AL910" t="str">
        <f t="shared" si="103"/>
        <v/>
      </c>
      <c r="AM910" t="str">
        <f t="shared" si="104"/>
        <v/>
      </c>
    </row>
    <row r="911" spans="1:39">
      <c r="A911" t="str">
        <f>IF(ISBLANK(Record!A912),"",Record!A912)</f>
        <v/>
      </c>
      <c r="B911" t="str">
        <f>IF(ISBLANK(Record!B912),"",Record!B912)</f>
        <v/>
      </c>
      <c r="C911" s="227" t="str">
        <f>IF(ISBLANK(Record!C912),"",Record!C912)</f>
        <v/>
      </c>
      <c r="D911" t="str">
        <f>IF(ISBLANK(Record!D912),"",Record!D912)</f>
        <v/>
      </c>
      <c r="E911" t="str">
        <f>IF(ISBLANK(Record!E912),"",Record!E912)</f>
        <v/>
      </c>
      <c r="M911" t="str">
        <f t="shared" si="98"/>
        <v xml:space="preserve">          </v>
      </c>
      <c r="N911" s="227" t="str">
        <f t="shared" si="99"/>
        <v/>
      </c>
      <c r="X911" t="str">
        <f t="shared" si="100"/>
        <v xml:space="preserve">          </v>
      </c>
      <c r="Y911" s="227" t="str">
        <f t="shared" si="101"/>
        <v/>
      </c>
      <c r="Z911" t="str">
        <f t="shared" si="102"/>
        <v/>
      </c>
      <c r="AL911" t="str">
        <f t="shared" si="103"/>
        <v/>
      </c>
      <c r="AM911" t="str">
        <f t="shared" si="104"/>
        <v/>
      </c>
    </row>
    <row r="912" spans="1:39">
      <c r="A912" t="str">
        <f>IF(ISBLANK(Record!A913),"",Record!A913)</f>
        <v/>
      </c>
      <c r="B912" t="str">
        <f>IF(ISBLANK(Record!B913),"",Record!B913)</f>
        <v/>
      </c>
      <c r="C912" s="227" t="str">
        <f>IF(ISBLANK(Record!C913),"",Record!C913)</f>
        <v/>
      </c>
      <c r="D912" t="str">
        <f>IF(ISBLANK(Record!D913),"",Record!D913)</f>
        <v/>
      </c>
      <c r="E912" t="str">
        <f>IF(ISBLANK(Record!E913),"",Record!E913)</f>
        <v/>
      </c>
      <c r="M912" t="str">
        <f t="shared" si="98"/>
        <v xml:space="preserve">          </v>
      </c>
      <c r="N912" s="227" t="str">
        <f t="shared" si="99"/>
        <v/>
      </c>
      <c r="X912" t="str">
        <f t="shared" si="100"/>
        <v xml:space="preserve">          </v>
      </c>
      <c r="Y912" s="227" t="str">
        <f t="shared" si="101"/>
        <v/>
      </c>
      <c r="Z912" t="str">
        <f t="shared" si="102"/>
        <v/>
      </c>
      <c r="AL912" t="str">
        <f t="shared" si="103"/>
        <v/>
      </c>
      <c r="AM912" t="str">
        <f t="shared" si="104"/>
        <v/>
      </c>
    </row>
    <row r="913" spans="1:39">
      <c r="A913" t="str">
        <f>IF(ISBLANK(Record!A914),"",Record!A914)</f>
        <v/>
      </c>
      <c r="B913" t="str">
        <f>IF(ISBLANK(Record!B914),"",Record!B914)</f>
        <v/>
      </c>
      <c r="C913" s="227" t="str">
        <f>IF(ISBLANK(Record!C914),"",Record!C914)</f>
        <v/>
      </c>
      <c r="D913" t="str">
        <f>IF(ISBLANK(Record!D914),"",Record!D914)</f>
        <v/>
      </c>
      <c r="E913" t="str">
        <f>IF(ISBLANK(Record!E914),"",Record!E914)</f>
        <v/>
      </c>
      <c r="M913" t="str">
        <f t="shared" si="98"/>
        <v xml:space="preserve">          </v>
      </c>
      <c r="N913" s="227" t="str">
        <f t="shared" si="99"/>
        <v/>
      </c>
      <c r="X913" t="str">
        <f t="shared" si="100"/>
        <v xml:space="preserve">          </v>
      </c>
      <c r="Y913" s="227" t="str">
        <f t="shared" si="101"/>
        <v/>
      </c>
      <c r="Z913" t="str">
        <f t="shared" si="102"/>
        <v/>
      </c>
      <c r="AL913" t="str">
        <f t="shared" si="103"/>
        <v/>
      </c>
      <c r="AM913" t="str">
        <f t="shared" si="104"/>
        <v/>
      </c>
    </row>
    <row r="914" spans="1:39">
      <c r="A914" t="str">
        <f>IF(ISBLANK(Record!A915),"",Record!A915)</f>
        <v/>
      </c>
      <c r="B914" t="str">
        <f>IF(ISBLANK(Record!B915),"",Record!B915)</f>
        <v/>
      </c>
      <c r="C914" s="227" t="str">
        <f>IF(ISBLANK(Record!C915),"",Record!C915)</f>
        <v/>
      </c>
      <c r="D914" t="str">
        <f>IF(ISBLANK(Record!D915),"",Record!D915)</f>
        <v/>
      </c>
      <c r="E914" t="str">
        <f>IF(ISBLANK(Record!E915),"",Record!E915)</f>
        <v/>
      </c>
      <c r="M914" t="str">
        <f t="shared" si="98"/>
        <v xml:space="preserve">          </v>
      </c>
      <c r="N914" s="227" t="str">
        <f t="shared" si="99"/>
        <v/>
      </c>
      <c r="X914" t="str">
        <f t="shared" si="100"/>
        <v xml:space="preserve">          </v>
      </c>
      <c r="Y914" s="227" t="str">
        <f t="shared" si="101"/>
        <v/>
      </c>
      <c r="Z914" t="str">
        <f t="shared" si="102"/>
        <v/>
      </c>
      <c r="AL914" t="str">
        <f t="shared" si="103"/>
        <v/>
      </c>
      <c r="AM914" t="str">
        <f t="shared" si="104"/>
        <v/>
      </c>
    </row>
    <row r="915" spans="1:39">
      <c r="A915" t="str">
        <f>IF(ISBLANK(Record!A916),"",Record!A916)</f>
        <v/>
      </c>
      <c r="B915" t="str">
        <f>IF(ISBLANK(Record!B916),"",Record!B916)</f>
        <v/>
      </c>
      <c r="C915" s="227" t="str">
        <f>IF(ISBLANK(Record!C916),"",Record!C916)</f>
        <v/>
      </c>
      <c r="D915" t="str">
        <f>IF(ISBLANK(Record!D916),"",Record!D916)</f>
        <v/>
      </c>
      <c r="E915" t="str">
        <f>IF(ISBLANK(Record!E916),"",Record!E916)</f>
        <v/>
      </c>
      <c r="M915" t="str">
        <f t="shared" si="98"/>
        <v xml:space="preserve">          </v>
      </c>
      <c r="N915" s="227" t="str">
        <f t="shared" si="99"/>
        <v/>
      </c>
      <c r="X915" t="str">
        <f t="shared" si="100"/>
        <v xml:space="preserve">          </v>
      </c>
      <c r="Y915" s="227" t="str">
        <f t="shared" si="101"/>
        <v/>
      </c>
      <c r="Z915" t="str">
        <f t="shared" si="102"/>
        <v/>
      </c>
      <c r="AL915" t="str">
        <f t="shared" si="103"/>
        <v/>
      </c>
      <c r="AM915" t="str">
        <f t="shared" si="104"/>
        <v/>
      </c>
    </row>
    <row r="916" spans="1:39">
      <c r="A916" t="str">
        <f>IF(ISBLANK(Record!A917),"",Record!A917)</f>
        <v/>
      </c>
      <c r="B916" t="str">
        <f>IF(ISBLANK(Record!B917),"",Record!B917)</f>
        <v/>
      </c>
      <c r="C916" s="227" t="str">
        <f>IF(ISBLANK(Record!C917),"",Record!C917)</f>
        <v/>
      </c>
      <c r="D916" t="str">
        <f>IF(ISBLANK(Record!D917),"",Record!D917)</f>
        <v/>
      </c>
      <c r="E916" t="str">
        <f>IF(ISBLANK(Record!E917),"",Record!E917)</f>
        <v/>
      </c>
      <c r="M916" t="str">
        <f t="shared" si="98"/>
        <v xml:space="preserve">          </v>
      </c>
      <c r="N916" s="227" t="str">
        <f t="shared" si="99"/>
        <v/>
      </c>
      <c r="X916" t="str">
        <f t="shared" si="100"/>
        <v xml:space="preserve">          </v>
      </c>
      <c r="Y916" s="227" t="str">
        <f t="shared" si="101"/>
        <v/>
      </c>
      <c r="Z916" t="str">
        <f t="shared" si="102"/>
        <v/>
      </c>
      <c r="AL916" t="str">
        <f t="shared" si="103"/>
        <v/>
      </c>
      <c r="AM916" t="str">
        <f t="shared" si="104"/>
        <v/>
      </c>
    </row>
    <row r="917" spans="1:39">
      <c r="A917" t="str">
        <f>IF(ISBLANK(Record!A918),"",Record!A918)</f>
        <v/>
      </c>
      <c r="B917" t="str">
        <f>IF(ISBLANK(Record!B918),"",Record!B918)</f>
        <v/>
      </c>
      <c r="C917" s="227" t="str">
        <f>IF(ISBLANK(Record!C918),"",Record!C918)</f>
        <v/>
      </c>
      <c r="D917" t="str">
        <f>IF(ISBLANK(Record!D918),"",Record!D918)</f>
        <v/>
      </c>
      <c r="E917" t="str">
        <f>IF(ISBLANK(Record!E918),"",Record!E918)</f>
        <v/>
      </c>
      <c r="M917" t="str">
        <f t="shared" si="98"/>
        <v xml:space="preserve">          </v>
      </c>
      <c r="N917" s="227" t="str">
        <f t="shared" si="99"/>
        <v/>
      </c>
      <c r="X917" t="str">
        <f t="shared" si="100"/>
        <v xml:space="preserve">          </v>
      </c>
      <c r="Y917" s="227" t="str">
        <f t="shared" si="101"/>
        <v/>
      </c>
      <c r="Z917" t="str">
        <f t="shared" si="102"/>
        <v/>
      </c>
      <c r="AL917" t="str">
        <f t="shared" si="103"/>
        <v/>
      </c>
      <c r="AM917" t="str">
        <f t="shared" si="104"/>
        <v/>
      </c>
    </row>
    <row r="918" spans="1:39">
      <c r="A918" t="str">
        <f>IF(ISBLANK(Record!A919),"",Record!A919)</f>
        <v/>
      </c>
      <c r="B918" t="str">
        <f>IF(ISBLANK(Record!B919),"",Record!B919)</f>
        <v/>
      </c>
      <c r="C918" s="227" t="str">
        <f>IF(ISBLANK(Record!C919),"",Record!C919)</f>
        <v/>
      </c>
      <c r="D918" t="str">
        <f>IF(ISBLANK(Record!D919),"",Record!D919)</f>
        <v/>
      </c>
      <c r="E918" t="str">
        <f>IF(ISBLANK(Record!E919),"",Record!E919)</f>
        <v/>
      </c>
      <c r="M918" t="str">
        <f t="shared" si="98"/>
        <v xml:space="preserve">          </v>
      </c>
      <c r="N918" s="227" t="str">
        <f t="shared" si="99"/>
        <v/>
      </c>
      <c r="X918" t="str">
        <f t="shared" si="100"/>
        <v xml:space="preserve">          </v>
      </c>
      <c r="Y918" s="227" t="str">
        <f t="shared" si="101"/>
        <v/>
      </c>
      <c r="Z918" t="str">
        <f t="shared" si="102"/>
        <v/>
      </c>
      <c r="AL918" t="str">
        <f t="shared" si="103"/>
        <v/>
      </c>
      <c r="AM918" t="str">
        <f t="shared" si="104"/>
        <v/>
      </c>
    </row>
    <row r="919" spans="1:39">
      <c r="A919" t="str">
        <f>IF(ISBLANK(Record!A920),"",Record!A920)</f>
        <v/>
      </c>
      <c r="B919" t="str">
        <f>IF(ISBLANK(Record!B920),"",Record!B920)</f>
        <v/>
      </c>
      <c r="C919" s="227" t="str">
        <f>IF(ISBLANK(Record!C920),"",Record!C920)</f>
        <v/>
      </c>
      <c r="D919" t="str">
        <f>IF(ISBLANK(Record!D920),"",Record!D920)</f>
        <v/>
      </c>
      <c r="E919" t="str">
        <f>IF(ISBLANK(Record!E920),"",Record!E920)</f>
        <v/>
      </c>
      <c r="M919" t="str">
        <f t="shared" si="98"/>
        <v xml:space="preserve">          </v>
      </c>
      <c r="N919" s="227" t="str">
        <f t="shared" si="99"/>
        <v/>
      </c>
      <c r="X919" t="str">
        <f t="shared" si="100"/>
        <v xml:space="preserve">          </v>
      </c>
      <c r="Y919" s="227" t="str">
        <f t="shared" si="101"/>
        <v/>
      </c>
      <c r="Z919" t="str">
        <f t="shared" si="102"/>
        <v/>
      </c>
      <c r="AL919" t="str">
        <f t="shared" si="103"/>
        <v/>
      </c>
      <c r="AM919" t="str">
        <f t="shared" si="104"/>
        <v/>
      </c>
    </row>
    <row r="920" spans="1:39">
      <c r="A920" t="str">
        <f>IF(ISBLANK(Record!A921),"",Record!A921)</f>
        <v/>
      </c>
      <c r="B920" t="str">
        <f>IF(ISBLANK(Record!B921),"",Record!B921)</f>
        <v/>
      </c>
      <c r="C920" s="227" t="str">
        <f>IF(ISBLANK(Record!C921),"",Record!C921)</f>
        <v/>
      </c>
      <c r="D920" t="str">
        <f>IF(ISBLANK(Record!D921),"",Record!D921)</f>
        <v/>
      </c>
      <c r="E920" t="str">
        <f>IF(ISBLANK(Record!E921),"",Record!E921)</f>
        <v/>
      </c>
      <c r="M920" t="str">
        <f t="shared" si="98"/>
        <v xml:space="preserve">          </v>
      </c>
      <c r="N920" s="227" t="str">
        <f t="shared" si="99"/>
        <v/>
      </c>
      <c r="X920" t="str">
        <f t="shared" si="100"/>
        <v xml:space="preserve">          </v>
      </c>
      <c r="Y920" s="227" t="str">
        <f t="shared" si="101"/>
        <v/>
      </c>
      <c r="Z920" t="str">
        <f t="shared" si="102"/>
        <v/>
      </c>
      <c r="AL920" t="str">
        <f t="shared" si="103"/>
        <v/>
      </c>
      <c r="AM920" t="str">
        <f t="shared" si="104"/>
        <v/>
      </c>
    </row>
    <row r="921" spans="1:39">
      <c r="A921" t="str">
        <f>IF(ISBLANK(Record!A922),"",Record!A922)</f>
        <v/>
      </c>
      <c r="B921" t="str">
        <f>IF(ISBLANK(Record!B922),"",Record!B922)</f>
        <v/>
      </c>
      <c r="C921" s="227" t="str">
        <f>IF(ISBLANK(Record!C922),"",Record!C922)</f>
        <v/>
      </c>
      <c r="D921" t="str">
        <f>IF(ISBLANK(Record!D922),"",Record!D922)</f>
        <v/>
      </c>
      <c r="E921" t="str">
        <f>IF(ISBLANK(Record!E922),"",Record!E922)</f>
        <v/>
      </c>
      <c r="M921" t="str">
        <f t="shared" si="98"/>
        <v xml:space="preserve">          </v>
      </c>
      <c r="N921" s="227" t="str">
        <f t="shared" si="99"/>
        <v/>
      </c>
      <c r="X921" t="str">
        <f t="shared" si="100"/>
        <v xml:space="preserve">          </v>
      </c>
      <c r="Y921" s="227" t="str">
        <f t="shared" si="101"/>
        <v/>
      </c>
      <c r="Z921" t="str">
        <f t="shared" si="102"/>
        <v/>
      </c>
      <c r="AL921" t="str">
        <f t="shared" si="103"/>
        <v/>
      </c>
      <c r="AM921" t="str">
        <f t="shared" si="104"/>
        <v/>
      </c>
    </row>
    <row r="922" spans="1:39">
      <c r="A922" t="str">
        <f>IF(ISBLANK(Record!A923),"",Record!A923)</f>
        <v/>
      </c>
      <c r="B922" t="str">
        <f>IF(ISBLANK(Record!B923),"",Record!B923)</f>
        <v/>
      </c>
      <c r="C922" s="227" t="str">
        <f>IF(ISBLANK(Record!C923),"",Record!C923)</f>
        <v/>
      </c>
      <c r="D922" t="str">
        <f>IF(ISBLANK(Record!D923),"",Record!D923)</f>
        <v/>
      </c>
      <c r="E922" t="str">
        <f>IF(ISBLANK(Record!E923),"",Record!E923)</f>
        <v/>
      </c>
      <c r="M922" t="str">
        <f t="shared" si="98"/>
        <v xml:space="preserve">          </v>
      </c>
      <c r="N922" s="227" t="str">
        <f t="shared" si="99"/>
        <v/>
      </c>
      <c r="X922" t="str">
        <f t="shared" si="100"/>
        <v xml:space="preserve">          </v>
      </c>
      <c r="Y922" s="227" t="str">
        <f t="shared" si="101"/>
        <v/>
      </c>
      <c r="Z922" t="str">
        <f t="shared" si="102"/>
        <v/>
      </c>
      <c r="AL922" t="str">
        <f t="shared" si="103"/>
        <v/>
      </c>
      <c r="AM922" t="str">
        <f t="shared" si="104"/>
        <v/>
      </c>
    </row>
    <row r="923" spans="1:39">
      <c r="A923" t="str">
        <f>IF(ISBLANK(Record!A924),"",Record!A924)</f>
        <v/>
      </c>
      <c r="B923" t="str">
        <f>IF(ISBLANK(Record!B924),"",Record!B924)</f>
        <v/>
      </c>
      <c r="C923" s="227" t="str">
        <f>IF(ISBLANK(Record!C924),"",Record!C924)</f>
        <v/>
      </c>
      <c r="D923" t="str">
        <f>IF(ISBLANK(Record!D924),"",Record!D924)</f>
        <v/>
      </c>
      <c r="E923" t="str">
        <f>IF(ISBLANK(Record!E924),"",Record!E924)</f>
        <v/>
      </c>
      <c r="M923" t="str">
        <f t="shared" si="98"/>
        <v xml:space="preserve">          </v>
      </c>
      <c r="N923" s="227" t="str">
        <f t="shared" si="99"/>
        <v/>
      </c>
      <c r="X923" t="str">
        <f t="shared" si="100"/>
        <v xml:space="preserve">          </v>
      </c>
      <c r="Y923" s="227" t="str">
        <f t="shared" si="101"/>
        <v/>
      </c>
      <c r="Z923" t="str">
        <f t="shared" si="102"/>
        <v/>
      </c>
      <c r="AL923" t="str">
        <f t="shared" si="103"/>
        <v/>
      </c>
      <c r="AM923" t="str">
        <f t="shared" si="104"/>
        <v/>
      </c>
    </row>
    <row r="924" spans="1:39">
      <c r="A924" t="str">
        <f>IF(ISBLANK(Record!A925),"",Record!A925)</f>
        <v/>
      </c>
      <c r="B924" t="str">
        <f>IF(ISBLANK(Record!B925),"",Record!B925)</f>
        <v/>
      </c>
      <c r="C924" s="227" t="str">
        <f>IF(ISBLANK(Record!C925),"",Record!C925)</f>
        <v/>
      </c>
      <c r="D924" t="str">
        <f>IF(ISBLANK(Record!D925),"",Record!D925)</f>
        <v/>
      </c>
      <c r="E924" t="str">
        <f>IF(ISBLANK(Record!E925),"",Record!E925)</f>
        <v/>
      </c>
      <c r="M924" t="str">
        <f t="shared" si="98"/>
        <v xml:space="preserve">          </v>
      </c>
      <c r="N924" s="227" t="str">
        <f t="shared" si="99"/>
        <v/>
      </c>
      <c r="X924" t="str">
        <f t="shared" si="100"/>
        <v xml:space="preserve">          </v>
      </c>
      <c r="Y924" s="227" t="str">
        <f t="shared" si="101"/>
        <v/>
      </c>
      <c r="Z924" t="str">
        <f t="shared" si="102"/>
        <v/>
      </c>
      <c r="AL924" t="str">
        <f t="shared" si="103"/>
        <v/>
      </c>
      <c r="AM924" t="str">
        <f t="shared" si="104"/>
        <v/>
      </c>
    </row>
    <row r="925" spans="1:39">
      <c r="A925" t="str">
        <f>IF(ISBLANK(Record!A926),"",Record!A926)</f>
        <v/>
      </c>
      <c r="B925" t="str">
        <f>IF(ISBLANK(Record!B926),"",Record!B926)</f>
        <v/>
      </c>
      <c r="C925" s="227" t="str">
        <f>IF(ISBLANK(Record!C926),"",Record!C926)</f>
        <v/>
      </c>
      <c r="D925" t="str">
        <f>IF(ISBLANK(Record!D926),"",Record!D926)</f>
        <v/>
      </c>
      <c r="E925" t="str">
        <f>IF(ISBLANK(Record!E926),"",Record!E926)</f>
        <v/>
      </c>
      <c r="M925" t="str">
        <f t="shared" si="98"/>
        <v xml:space="preserve">          </v>
      </c>
      <c r="N925" s="227" t="str">
        <f t="shared" si="99"/>
        <v/>
      </c>
      <c r="X925" t="str">
        <f t="shared" si="100"/>
        <v xml:space="preserve">          </v>
      </c>
      <c r="Y925" s="227" t="str">
        <f t="shared" si="101"/>
        <v/>
      </c>
      <c r="Z925" t="str">
        <f t="shared" si="102"/>
        <v/>
      </c>
      <c r="AL925" t="str">
        <f t="shared" si="103"/>
        <v/>
      </c>
      <c r="AM925" t="str">
        <f t="shared" si="104"/>
        <v/>
      </c>
    </row>
    <row r="926" spans="1:39">
      <c r="A926" t="str">
        <f>IF(ISBLANK(Record!A927),"",Record!A927)</f>
        <v/>
      </c>
      <c r="B926" t="str">
        <f>IF(ISBLANK(Record!B927),"",Record!B927)</f>
        <v/>
      </c>
      <c r="C926" s="227" t="str">
        <f>IF(ISBLANK(Record!C927),"",Record!C927)</f>
        <v/>
      </c>
      <c r="D926" t="str">
        <f>IF(ISBLANK(Record!D927),"",Record!D927)</f>
        <v/>
      </c>
      <c r="E926" t="str">
        <f>IF(ISBLANK(Record!E927),"",Record!E927)</f>
        <v/>
      </c>
      <c r="M926" t="str">
        <f t="shared" si="98"/>
        <v xml:space="preserve">          </v>
      </c>
      <c r="N926" s="227" t="str">
        <f t="shared" si="99"/>
        <v/>
      </c>
      <c r="X926" t="str">
        <f t="shared" si="100"/>
        <v xml:space="preserve">          </v>
      </c>
      <c r="Y926" s="227" t="str">
        <f t="shared" si="101"/>
        <v/>
      </c>
      <c r="Z926" t="str">
        <f t="shared" si="102"/>
        <v/>
      </c>
      <c r="AL926" t="str">
        <f t="shared" si="103"/>
        <v/>
      </c>
      <c r="AM926" t="str">
        <f t="shared" si="104"/>
        <v/>
      </c>
    </row>
    <row r="927" spans="1:39">
      <c r="A927" t="str">
        <f>IF(ISBLANK(Record!A928),"",Record!A928)</f>
        <v/>
      </c>
      <c r="B927" t="str">
        <f>IF(ISBLANK(Record!B928),"",Record!B928)</f>
        <v/>
      </c>
      <c r="C927" s="227" t="str">
        <f>IF(ISBLANK(Record!C928),"",Record!C928)</f>
        <v/>
      </c>
      <c r="D927" t="str">
        <f>IF(ISBLANK(Record!D928),"",Record!D928)</f>
        <v/>
      </c>
      <c r="E927" t="str">
        <f>IF(ISBLANK(Record!E928),"",Record!E928)</f>
        <v/>
      </c>
      <c r="M927" t="str">
        <f t="shared" si="98"/>
        <v xml:space="preserve">          </v>
      </c>
      <c r="N927" s="227" t="str">
        <f t="shared" si="99"/>
        <v/>
      </c>
      <c r="X927" t="str">
        <f t="shared" si="100"/>
        <v xml:space="preserve">          </v>
      </c>
      <c r="Y927" s="227" t="str">
        <f t="shared" si="101"/>
        <v/>
      </c>
      <c r="Z927" t="str">
        <f t="shared" si="102"/>
        <v/>
      </c>
      <c r="AL927" t="str">
        <f t="shared" si="103"/>
        <v/>
      </c>
      <c r="AM927" t="str">
        <f t="shared" si="104"/>
        <v/>
      </c>
    </row>
    <row r="928" spans="1:39">
      <c r="A928" t="str">
        <f>IF(ISBLANK(Record!A929),"",Record!A929)</f>
        <v/>
      </c>
      <c r="B928" t="str">
        <f>IF(ISBLANK(Record!B929),"",Record!B929)</f>
        <v/>
      </c>
      <c r="C928" s="227" t="str">
        <f>IF(ISBLANK(Record!C929),"",Record!C929)</f>
        <v/>
      </c>
      <c r="D928" t="str">
        <f>IF(ISBLANK(Record!D929),"",Record!D929)</f>
        <v/>
      </c>
      <c r="E928" t="str">
        <f>IF(ISBLANK(Record!E929),"",Record!E929)</f>
        <v/>
      </c>
      <c r="M928" t="str">
        <f t="shared" si="98"/>
        <v xml:space="preserve">          </v>
      </c>
      <c r="N928" s="227" t="str">
        <f t="shared" si="99"/>
        <v/>
      </c>
      <c r="X928" t="str">
        <f t="shared" si="100"/>
        <v xml:space="preserve">          </v>
      </c>
      <c r="Y928" s="227" t="str">
        <f t="shared" si="101"/>
        <v/>
      </c>
      <c r="Z928" t="str">
        <f t="shared" si="102"/>
        <v/>
      </c>
      <c r="AL928" t="str">
        <f t="shared" si="103"/>
        <v/>
      </c>
      <c r="AM928" t="str">
        <f t="shared" si="104"/>
        <v/>
      </c>
    </row>
    <row r="929" spans="1:39">
      <c r="A929" t="str">
        <f>IF(ISBLANK(Record!A930),"",Record!A930)</f>
        <v/>
      </c>
      <c r="B929" t="str">
        <f>IF(ISBLANK(Record!B930),"",Record!B930)</f>
        <v/>
      </c>
      <c r="C929" s="227" t="str">
        <f>IF(ISBLANK(Record!C930),"",Record!C930)</f>
        <v/>
      </c>
      <c r="D929" t="str">
        <f>IF(ISBLANK(Record!D930),"",Record!D930)</f>
        <v/>
      </c>
      <c r="E929" t="str">
        <f>IF(ISBLANK(Record!E930),"",Record!E930)</f>
        <v/>
      </c>
      <c r="M929" t="str">
        <f t="shared" si="98"/>
        <v xml:space="preserve">          </v>
      </c>
      <c r="N929" s="227" t="str">
        <f t="shared" si="99"/>
        <v/>
      </c>
      <c r="X929" t="str">
        <f t="shared" si="100"/>
        <v xml:space="preserve">          </v>
      </c>
      <c r="Y929" s="227" t="str">
        <f t="shared" si="101"/>
        <v/>
      </c>
      <c r="Z929" t="str">
        <f t="shared" si="102"/>
        <v/>
      </c>
      <c r="AL929" t="str">
        <f t="shared" si="103"/>
        <v/>
      </c>
      <c r="AM929" t="str">
        <f t="shared" si="104"/>
        <v/>
      </c>
    </row>
    <row r="930" spans="1:39">
      <c r="A930" t="str">
        <f>IF(ISBLANK(Record!A931),"",Record!A931)</f>
        <v/>
      </c>
      <c r="B930" t="str">
        <f>IF(ISBLANK(Record!B931),"",Record!B931)</f>
        <v/>
      </c>
      <c r="C930" s="227" t="str">
        <f>IF(ISBLANK(Record!C931),"",Record!C931)</f>
        <v/>
      </c>
      <c r="D930" t="str">
        <f>IF(ISBLANK(Record!D931),"",Record!D931)</f>
        <v/>
      </c>
      <c r="E930" t="str">
        <f>IF(ISBLANK(Record!E931),"",Record!E931)</f>
        <v/>
      </c>
      <c r="M930" t="str">
        <f t="shared" si="98"/>
        <v xml:space="preserve">          </v>
      </c>
      <c r="N930" s="227" t="str">
        <f t="shared" si="99"/>
        <v/>
      </c>
      <c r="X930" t="str">
        <f t="shared" si="100"/>
        <v xml:space="preserve">          </v>
      </c>
      <c r="Y930" s="227" t="str">
        <f t="shared" si="101"/>
        <v/>
      </c>
      <c r="Z930" t="str">
        <f t="shared" si="102"/>
        <v/>
      </c>
      <c r="AL930" t="str">
        <f t="shared" si="103"/>
        <v/>
      </c>
      <c r="AM930" t="str">
        <f t="shared" si="104"/>
        <v/>
      </c>
    </row>
    <row r="931" spans="1:39">
      <c r="A931" t="str">
        <f>IF(ISBLANK(Record!A932),"",Record!A932)</f>
        <v/>
      </c>
      <c r="B931" t="str">
        <f>IF(ISBLANK(Record!B932),"",Record!B932)</f>
        <v/>
      </c>
      <c r="C931" s="227" t="str">
        <f>IF(ISBLANK(Record!C932),"",Record!C932)</f>
        <v/>
      </c>
      <c r="D931" t="str">
        <f>IF(ISBLANK(Record!D932),"",Record!D932)</f>
        <v/>
      </c>
      <c r="E931" t="str">
        <f>IF(ISBLANK(Record!E932),"",Record!E932)</f>
        <v/>
      </c>
      <c r="M931" t="str">
        <f t="shared" si="98"/>
        <v xml:space="preserve">          </v>
      </c>
      <c r="N931" s="227" t="str">
        <f t="shared" si="99"/>
        <v/>
      </c>
      <c r="X931" t="str">
        <f t="shared" si="100"/>
        <v xml:space="preserve">          </v>
      </c>
      <c r="Y931" s="227" t="str">
        <f t="shared" si="101"/>
        <v/>
      </c>
      <c r="Z931" t="str">
        <f t="shared" si="102"/>
        <v/>
      </c>
      <c r="AL931" t="str">
        <f t="shared" si="103"/>
        <v/>
      </c>
      <c r="AM931" t="str">
        <f t="shared" si="104"/>
        <v/>
      </c>
    </row>
    <row r="932" spans="1:39">
      <c r="A932" t="str">
        <f>IF(ISBLANK(Record!A933),"",Record!A933)</f>
        <v/>
      </c>
      <c r="B932" t="str">
        <f>IF(ISBLANK(Record!B933),"",Record!B933)</f>
        <v/>
      </c>
      <c r="C932" s="227" t="str">
        <f>IF(ISBLANK(Record!C933),"",Record!C933)</f>
        <v/>
      </c>
      <c r="D932" t="str">
        <f>IF(ISBLANK(Record!D933),"",Record!D933)</f>
        <v/>
      </c>
      <c r="E932" t="str">
        <f>IF(ISBLANK(Record!E933),"",Record!E933)</f>
        <v/>
      </c>
      <c r="M932" t="str">
        <f t="shared" si="98"/>
        <v xml:space="preserve">          </v>
      </c>
      <c r="N932" s="227" t="str">
        <f t="shared" si="99"/>
        <v/>
      </c>
      <c r="X932" t="str">
        <f t="shared" si="100"/>
        <v xml:space="preserve">          </v>
      </c>
      <c r="Y932" s="227" t="str">
        <f t="shared" si="101"/>
        <v/>
      </c>
      <c r="Z932" t="str">
        <f t="shared" si="102"/>
        <v/>
      </c>
      <c r="AL932" t="str">
        <f t="shared" si="103"/>
        <v/>
      </c>
      <c r="AM932" t="str">
        <f t="shared" si="104"/>
        <v/>
      </c>
    </row>
    <row r="933" spans="1:39">
      <c r="A933" t="str">
        <f>IF(ISBLANK(Record!A934),"",Record!A934)</f>
        <v/>
      </c>
      <c r="B933" t="str">
        <f>IF(ISBLANK(Record!B934),"",Record!B934)</f>
        <v/>
      </c>
      <c r="C933" s="227" t="str">
        <f>IF(ISBLANK(Record!C934),"",Record!C934)</f>
        <v/>
      </c>
      <c r="D933" t="str">
        <f>IF(ISBLANK(Record!D934),"",Record!D934)</f>
        <v/>
      </c>
      <c r="E933" t="str">
        <f>IF(ISBLANK(Record!E934),"",Record!E934)</f>
        <v/>
      </c>
      <c r="M933" t="str">
        <f t="shared" si="98"/>
        <v xml:space="preserve">          </v>
      </c>
      <c r="N933" s="227" t="str">
        <f t="shared" si="99"/>
        <v/>
      </c>
      <c r="X933" t="str">
        <f t="shared" si="100"/>
        <v xml:space="preserve">          </v>
      </c>
      <c r="Y933" s="227" t="str">
        <f t="shared" si="101"/>
        <v/>
      </c>
      <c r="Z933" t="str">
        <f t="shared" si="102"/>
        <v/>
      </c>
      <c r="AL933" t="str">
        <f t="shared" si="103"/>
        <v/>
      </c>
      <c r="AM933" t="str">
        <f t="shared" si="104"/>
        <v/>
      </c>
    </row>
    <row r="934" spans="1:39">
      <c r="A934" t="str">
        <f>IF(ISBLANK(Record!A935),"",Record!A935)</f>
        <v/>
      </c>
      <c r="B934" t="str">
        <f>IF(ISBLANK(Record!B935),"",Record!B935)</f>
        <v/>
      </c>
      <c r="C934" s="227" t="str">
        <f>IF(ISBLANK(Record!C935),"",Record!C935)</f>
        <v/>
      </c>
      <c r="D934" t="str">
        <f>IF(ISBLANK(Record!D935),"",Record!D935)</f>
        <v/>
      </c>
      <c r="E934" t="str">
        <f>IF(ISBLANK(Record!E935),"",Record!E935)</f>
        <v/>
      </c>
      <c r="M934" t="str">
        <f t="shared" si="98"/>
        <v xml:space="preserve">          </v>
      </c>
      <c r="N934" s="227" t="str">
        <f t="shared" si="99"/>
        <v/>
      </c>
      <c r="X934" t="str">
        <f t="shared" si="100"/>
        <v xml:space="preserve">          </v>
      </c>
      <c r="Y934" s="227" t="str">
        <f t="shared" si="101"/>
        <v/>
      </c>
      <c r="Z934" t="str">
        <f t="shared" si="102"/>
        <v/>
      </c>
      <c r="AL934" t="str">
        <f t="shared" si="103"/>
        <v/>
      </c>
      <c r="AM934" t="str">
        <f t="shared" si="104"/>
        <v/>
      </c>
    </row>
    <row r="935" spans="1:39">
      <c r="A935" t="str">
        <f>IF(ISBLANK(Record!A936),"",Record!A936)</f>
        <v/>
      </c>
      <c r="B935" t="str">
        <f>IF(ISBLANK(Record!B936),"",Record!B936)</f>
        <v/>
      </c>
      <c r="C935" s="227" t="str">
        <f>IF(ISBLANK(Record!C936),"",Record!C936)</f>
        <v/>
      </c>
      <c r="D935" t="str">
        <f>IF(ISBLANK(Record!D936),"",Record!D936)</f>
        <v/>
      </c>
      <c r="E935" t="str">
        <f>IF(ISBLANK(Record!E936),"",Record!E936)</f>
        <v/>
      </c>
      <c r="M935" t="str">
        <f t="shared" si="98"/>
        <v xml:space="preserve">          </v>
      </c>
      <c r="N935" s="227" t="str">
        <f t="shared" si="99"/>
        <v/>
      </c>
      <c r="X935" t="str">
        <f t="shared" si="100"/>
        <v xml:space="preserve">          </v>
      </c>
      <c r="Y935" s="227" t="str">
        <f t="shared" si="101"/>
        <v/>
      </c>
      <c r="Z935" t="str">
        <f t="shared" si="102"/>
        <v/>
      </c>
      <c r="AL935" t="str">
        <f t="shared" si="103"/>
        <v/>
      </c>
      <c r="AM935" t="str">
        <f t="shared" si="104"/>
        <v/>
      </c>
    </row>
    <row r="936" spans="1:39">
      <c r="A936" t="str">
        <f>IF(ISBLANK(Record!A937),"",Record!A937)</f>
        <v/>
      </c>
      <c r="B936" t="str">
        <f>IF(ISBLANK(Record!B937),"",Record!B937)</f>
        <v/>
      </c>
      <c r="C936" s="227" t="str">
        <f>IF(ISBLANK(Record!C937),"",Record!C937)</f>
        <v/>
      </c>
      <c r="D936" t="str">
        <f>IF(ISBLANK(Record!D937),"",Record!D937)</f>
        <v/>
      </c>
      <c r="E936" t="str">
        <f>IF(ISBLANK(Record!E937),"",Record!E937)</f>
        <v/>
      </c>
      <c r="M936" t="str">
        <f t="shared" si="98"/>
        <v xml:space="preserve">          </v>
      </c>
      <c r="N936" s="227" t="str">
        <f t="shared" si="99"/>
        <v/>
      </c>
      <c r="X936" t="str">
        <f t="shared" si="100"/>
        <v xml:space="preserve">          </v>
      </c>
      <c r="Y936" s="227" t="str">
        <f t="shared" si="101"/>
        <v/>
      </c>
      <c r="Z936" t="str">
        <f t="shared" si="102"/>
        <v/>
      </c>
      <c r="AL936" t="str">
        <f t="shared" si="103"/>
        <v/>
      </c>
      <c r="AM936" t="str">
        <f t="shared" si="104"/>
        <v/>
      </c>
    </row>
    <row r="937" spans="1:39">
      <c r="A937" t="str">
        <f>IF(ISBLANK(Record!A938),"",Record!A938)</f>
        <v/>
      </c>
      <c r="B937" t="str">
        <f>IF(ISBLANK(Record!B938),"",Record!B938)</f>
        <v/>
      </c>
      <c r="C937" s="227" t="str">
        <f>IF(ISBLANK(Record!C938),"",Record!C938)</f>
        <v/>
      </c>
      <c r="D937" t="str">
        <f>IF(ISBLANK(Record!D938),"",Record!D938)</f>
        <v/>
      </c>
      <c r="E937" t="str">
        <f>IF(ISBLANK(Record!E938),"",Record!E938)</f>
        <v/>
      </c>
      <c r="M937" t="str">
        <f t="shared" si="98"/>
        <v xml:space="preserve">          </v>
      </c>
      <c r="N937" s="227" t="str">
        <f t="shared" si="99"/>
        <v/>
      </c>
      <c r="X937" t="str">
        <f t="shared" si="100"/>
        <v xml:space="preserve">          </v>
      </c>
      <c r="Y937" s="227" t="str">
        <f t="shared" si="101"/>
        <v/>
      </c>
      <c r="Z937" t="str">
        <f t="shared" si="102"/>
        <v/>
      </c>
      <c r="AL937" t="str">
        <f t="shared" si="103"/>
        <v/>
      </c>
      <c r="AM937" t="str">
        <f t="shared" si="104"/>
        <v/>
      </c>
    </row>
    <row r="938" spans="1:39">
      <c r="A938" t="str">
        <f>IF(ISBLANK(Record!A939),"",Record!A939)</f>
        <v/>
      </c>
      <c r="B938" t="str">
        <f>IF(ISBLANK(Record!B939),"",Record!B939)</f>
        <v/>
      </c>
      <c r="C938" s="227" t="str">
        <f>IF(ISBLANK(Record!C939),"",Record!C939)</f>
        <v/>
      </c>
      <c r="D938" t="str">
        <f>IF(ISBLANK(Record!D939),"",Record!D939)</f>
        <v/>
      </c>
      <c r="E938" t="str">
        <f>IF(ISBLANK(Record!E939),"",Record!E939)</f>
        <v/>
      </c>
      <c r="M938" t="str">
        <f t="shared" si="98"/>
        <v xml:space="preserve">          </v>
      </c>
      <c r="N938" s="227" t="str">
        <f t="shared" si="99"/>
        <v/>
      </c>
      <c r="X938" t="str">
        <f t="shared" si="100"/>
        <v xml:space="preserve">          </v>
      </c>
      <c r="Y938" s="227" t="str">
        <f t="shared" si="101"/>
        <v/>
      </c>
      <c r="Z938" t="str">
        <f t="shared" si="102"/>
        <v/>
      </c>
      <c r="AL938" t="str">
        <f t="shared" si="103"/>
        <v/>
      </c>
      <c r="AM938" t="str">
        <f t="shared" si="104"/>
        <v/>
      </c>
    </row>
    <row r="939" spans="1:39">
      <c r="A939" t="str">
        <f>IF(ISBLANK(Record!A940),"",Record!A940)</f>
        <v/>
      </c>
      <c r="B939" t="str">
        <f>IF(ISBLANK(Record!B940),"",Record!B940)</f>
        <v/>
      </c>
      <c r="C939" s="227" t="str">
        <f>IF(ISBLANK(Record!C940),"",Record!C940)</f>
        <v/>
      </c>
      <c r="D939" t="str">
        <f>IF(ISBLANK(Record!D940),"",Record!D940)</f>
        <v/>
      </c>
      <c r="E939" t="str">
        <f>IF(ISBLANK(Record!E940),"",Record!E940)</f>
        <v/>
      </c>
      <c r="M939" t="str">
        <f t="shared" si="98"/>
        <v xml:space="preserve">          </v>
      </c>
      <c r="N939" s="227" t="str">
        <f t="shared" si="99"/>
        <v/>
      </c>
      <c r="X939" t="str">
        <f t="shared" si="100"/>
        <v xml:space="preserve">          </v>
      </c>
      <c r="Y939" s="227" t="str">
        <f t="shared" si="101"/>
        <v/>
      </c>
      <c r="Z939" t="str">
        <f t="shared" si="102"/>
        <v/>
      </c>
      <c r="AL939" t="str">
        <f t="shared" si="103"/>
        <v/>
      </c>
      <c r="AM939" t="str">
        <f t="shared" si="104"/>
        <v/>
      </c>
    </row>
    <row r="940" spans="1:39">
      <c r="A940" t="str">
        <f>IF(ISBLANK(Record!A941),"",Record!A941)</f>
        <v/>
      </c>
      <c r="B940" t="str">
        <f>IF(ISBLANK(Record!B941),"",Record!B941)</f>
        <v/>
      </c>
      <c r="C940" s="227" t="str">
        <f>IF(ISBLANK(Record!C941),"",Record!C941)</f>
        <v/>
      </c>
      <c r="D940" t="str">
        <f>IF(ISBLANK(Record!D941),"",Record!D941)</f>
        <v/>
      </c>
      <c r="E940" t="str">
        <f>IF(ISBLANK(Record!E941),"",Record!E941)</f>
        <v/>
      </c>
      <c r="M940" t="str">
        <f t="shared" si="98"/>
        <v xml:space="preserve">          </v>
      </c>
      <c r="N940" s="227" t="str">
        <f t="shared" si="99"/>
        <v/>
      </c>
      <c r="X940" t="str">
        <f t="shared" si="100"/>
        <v xml:space="preserve">          </v>
      </c>
      <c r="Y940" s="227" t="str">
        <f t="shared" si="101"/>
        <v/>
      </c>
      <c r="Z940" t="str">
        <f t="shared" si="102"/>
        <v/>
      </c>
      <c r="AL940" t="str">
        <f t="shared" si="103"/>
        <v/>
      </c>
      <c r="AM940" t="str">
        <f t="shared" si="104"/>
        <v/>
      </c>
    </row>
    <row r="941" spans="1:39">
      <c r="A941" t="str">
        <f>IF(ISBLANK(Record!A942),"",Record!A942)</f>
        <v/>
      </c>
      <c r="B941" t="str">
        <f>IF(ISBLANK(Record!B942),"",Record!B942)</f>
        <v/>
      </c>
      <c r="C941" s="227" t="str">
        <f>IF(ISBLANK(Record!C942),"",Record!C942)</f>
        <v/>
      </c>
      <c r="D941" t="str">
        <f>IF(ISBLANK(Record!D942),"",Record!D942)</f>
        <v/>
      </c>
      <c r="E941" t="str">
        <f>IF(ISBLANK(Record!E942),"",Record!E942)</f>
        <v/>
      </c>
      <c r="M941" t="str">
        <f t="shared" si="98"/>
        <v xml:space="preserve">          </v>
      </c>
      <c r="N941" s="227" t="str">
        <f t="shared" si="99"/>
        <v/>
      </c>
      <c r="X941" t="str">
        <f t="shared" si="100"/>
        <v xml:space="preserve">          </v>
      </c>
      <c r="Y941" s="227" t="str">
        <f t="shared" si="101"/>
        <v/>
      </c>
      <c r="Z941" t="str">
        <f t="shared" si="102"/>
        <v/>
      </c>
      <c r="AL941" t="str">
        <f t="shared" si="103"/>
        <v/>
      </c>
      <c r="AM941" t="str">
        <f t="shared" si="104"/>
        <v/>
      </c>
    </row>
    <row r="942" spans="1:39">
      <c r="A942" t="str">
        <f>IF(ISBLANK(Record!A943),"",Record!A943)</f>
        <v/>
      </c>
      <c r="B942" t="str">
        <f>IF(ISBLANK(Record!B943),"",Record!B943)</f>
        <v/>
      </c>
      <c r="C942" s="227" t="str">
        <f>IF(ISBLANK(Record!C943),"",Record!C943)</f>
        <v/>
      </c>
      <c r="D942" t="str">
        <f>IF(ISBLANK(Record!D943),"",Record!D943)</f>
        <v/>
      </c>
      <c r="E942" t="str">
        <f>IF(ISBLANK(Record!E943),"",Record!E943)</f>
        <v/>
      </c>
      <c r="M942" t="str">
        <f t="shared" si="98"/>
        <v xml:space="preserve">          </v>
      </c>
      <c r="N942" s="227" t="str">
        <f t="shared" si="99"/>
        <v/>
      </c>
      <c r="X942" t="str">
        <f t="shared" si="100"/>
        <v xml:space="preserve">          </v>
      </c>
      <c r="Y942" s="227" t="str">
        <f t="shared" si="101"/>
        <v/>
      </c>
      <c r="Z942" t="str">
        <f t="shared" si="102"/>
        <v/>
      </c>
      <c r="AL942" t="str">
        <f t="shared" si="103"/>
        <v/>
      </c>
      <c r="AM942" t="str">
        <f t="shared" si="104"/>
        <v/>
      </c>
    </row>
    <row r="943" spans="1:39">
      <c r="A943" t="str">
        <f>IF(ISBLANK(Record!A944),"",Record!A944)</f>
        <v/>
      </c>
      <c r="B943" t="str">
        <f>IF(ISBLANK(Record!B944),"",Record!B944)</f>
        <v/>
      </c>
      <c r="C943" s="227" t="str">
        <f>IF(ISBLANK(Record!C944),"",Record!C944)</f>
        <v/>
      </c>
      <c r="D943" t="str">
        <f>IF(ISBLANK(Record!D944),"",Record!D944)</f>
        <v/>
      </c>
      <c r="E943" t="str">
        <f>IF(ISBLANK(Record!E944),"",Record!E944)</f>
        <v/>
      </c>
      <c r="M943" t="str">
        <f t="shared" si="98"/>
        <v xml:space="preserve">          </v>
      </c>
      <c r="N943" s="227" t="str">
        <f t="shared" si="99"/>
        <v/>
      </c>
      <c r="X943" t="str">
        <f t="shared" si="100"/>
        <v xml:space="preserve">          </v>
      </c>
      <c r="Y943" s="227" t="str">
        <f t="shared" si="101"/>
        <v/>
      </c>
      <c r="Z943" t="str">
        <f t="shared" si="102"/>
        <v/>
      </c>
      <c r="AL943" t="str">
        <f t="shared" si="103"/>
        <v/>
      </c>
      <c r="AM943" t="str">
        <f t="shared" si="104"/>
        <v/>
      </c>
    </row>
    <row r="944" spans="1:39">
      <c r="A944" t="str">
        <f>IF(ISBLANK(Record!A945),"",Record!A945)</f>
        <v/>
      </c>
      <c r="B944" t="str">
        <f>IF(ISBLANK(Record!B945),"",Record!B945)</f>
        <v/>
      </c>
      <c r="C944" s="227" t="str">
        <f>IF(ISBLANK(Record!C945),"",Record!C945)</f>
        <v/>
      </c>
      <c r="D944" t="str">
        <f>IF(ISBLANK(Record!D945),"",Record!D945)</f>
        <v/>
      </c>
      <c r="E944" t="str">
        <f>IF(ISBLANK(Record!E945),"",Record!E945)</f>
        <v/>
      </c>
      <c r="M944" t="str">
        <f t="shared" si="98"/>
        <v xml:space="preserve">          </v>
      </c>
      <c r="N944" s="227" t="str">
        <f t="shared" si="99"/>
        <v/>
      </c>
      <c r="X944" t="str">
        <f t="shared" si="100"/>
        <v xml:space="preserve">          </v>
      </c>
      <c r="Y944" s="227" t="str">
        <f t="shared" si="101"/>
        <v/>
      </c>
      <c r="Z944" t="str">
        <f t="shared" si="102"/>
        <v/>
      </c>
      <c r="AL944" t="str">
        <f t="shared" si="103"/>
        <v/>
      </c>
      <c r="AM944" t="str">
        <f t="shared" si="104"/>
        <v/>
      </c>
    </row>
    <row r="945" spans="1:39">
      <c r="A945" t="str">
        <f>IF(ISBLANK(Record!A946),"",Record!A946)</f>
        <v/>
      </c>
      <c r="B945" t="str">
        <f>IF(ISBLANK(Record!B946),"",Record!B946)</f>
        <v/>
      </c>
      <c r="C945" s="227" t="str">
        <f>IF(ISBLANK(Record!C946),"",Record!C946)</f>
        <v/>
      </c>
      <c r="D945" t="str">
        <f>IF(ISBLANK(Record!D946),"",Record!D946)</f>
        <v/>
      </c>
      <c r="E945" t="str">
        <f>IF(ISBLANK(Record!E946),"",Record!E946)</f>
        <v/>
      </c>
      <c r="M945" t="str">
        <f t="shared" si="98"/>
        <v xml:space="preserve">          </v>
      </c>
      <c r="N945" s="227" t="str">
        <f t="shared" si="99"/>
        <v/>
      </c>
      <c r="X945" t="str">
        <f t="shared" si="100"/>
        <v xml:space="preserve">          </v>
      </c>
      <c r="Y945" s="227" t="str">
        <f t="shared" si="101"/>
        <v/>
      </c>
      <c r="Z945" t="str">
        <f t="shared" si="102"/>
        <v/>
      </c>
      <c r="AL945" t="str">
        <f t="shared" si="103"/>
        <v/>
      </c>
      <c r="AM945" t="str">
        <f t="shared" si="104"/>
        <v/>
      </c>
    </row>
    <row r="946" spans="1:39">
      <c r="A946" t="str">
        <f>IF(ISBLANK(Record!A947),"",Record!A947)</f>
        <v/>
      </c>
      <c r="B946" t="str">
        <f>IF(ISBLANK(Record!B947),"",Record!B947)</f>
        <v/>
      </c>
      <c r="C946" s="227" t="str">
        <f>IF(ISBLANK(Record!C947),"",Record!C947)</f>
        <v/>
      </c>
      <c r="D946" t="str">
        <f>IF(ISBLANK(Record!D947),"",Record!D947)</f>
        <v/>
      </c>
      <c r="E946" t="str">
        <f>IF(ISBLANK(Record!E947),"",Record!E947)</f>
        <v/>
      </c>
      <c r="M946" t="str">
        <f t="shared" si="98"/>
        <v xml:space="preserve">          </v>
      </c>
      <c r="N946" s="227" t="str">
        <f t="shared" si="99"/>
        <v/>
      </c>
      <c r="X946" t="str">
        <f t="shared" si="100"/>
        <v xml:space="preserve">          </v>
      </c>
      <c r="Y946" s="227" t="str">
        <f t="shared" si="101"/>
        <v/>
      </c>
      <c r="Z946" t="str">
        <f t="shared" si="102"/>
        <v/>
      </c>
      <c r="AL946" t="str">
        <f t="shared" si="103"/>
        <v/>
      </c>
      <c r="AM946" t="str">
        <f t="shared" si="104"/>
        <v/>
      </c>
    </row>
    <row r="947" spans="1:39">
      <c r="A947" t="str">
        <f>IF(ISBLANK(Record!A948),"",Record!A948)</f>
        <v/>
      </c>
      <c r="B947" t="str">
        <f>IF(ISBLANK(Record!B948),"",Record!B948)</f>
        <v/>
      </c>
      <c r="C947" s="227" t="str">
        <f>IF(ISBLANK(Record!C948),"",Record!C948)</f>
        <v/>
      </c>
      <c r="D947" t="str">
        <f>IF(ISBLANK(Record!D948),"",Record!D948)</f>
        <v/>
      </c>
      <c r="E947" t="str">
        <f>IF(ISBLANK(Record!E948),"",Record!E948)</f>
        <v/>
      </c>
      <c r="M947" t="str">
        <f t="shared" si="98"/>
        <v xml:space="preserve">          </v>
      </c>
      <c r="N947" s="227" t="str">
        <f t="shared" si="99"/>
        <v/>
      </c>
      <c r="X947" t="str">
        <f t="shared" si="100"/>
        <v xml:space="preserve">          </v>
      </c>
      <c r="Y947" s="227" t="str">
        <f t="shared" si="101"/>
        <v/>
      </c>
      <c r="Z947" t="str">
        <f t="shared" si="102"/>
        <v/>
      </c>
      <c r="AL947" t="str">
        <f t="shared" si="103"/>
        <v/>
      </c>
      <c r="AM947" t="str">
        <f t="shared" si="104"/>
        <v/>
      </c>
    </row>
    <row r="948" spans="1:39">
      <c r="A948" t="str">
        <f>IF(ISBLANK(Record!A949),"",Record!A949)</f>
        <v/>
      </c>
      <c r="B948" t="str">
        <f>IF(ISBLANK(Record!B949),"",Record!B949)</f>
        <v/>
      </c>
      <c r="C948" s="227" t="str">
        <f>IF(ISBLANK(Record!C949),"",Record!C949)</f>
        <v/>
      </c>
      <c r="D948" t="str">
        <f>IF(ISBLANK(Record!D949),"",Record!D949)</f>
        <v/>
      </c>
      <c r="E948" t="str">
        <f>IF(ISBLANK(Record!E949),"",Record!E949)</f>
        <v/>
      </c>
      <c r="M948" t="str">
        <f t="shared" si="98"/>
        <v xml:space="preserve">          </v>
      </c>
      <c r="N948" s="227" t="str">
        <f t="shared" si="99"/>
        <v/>
      </c>
      <c r="X948" t="str">
        <f t="shared" si="100"/>
        <v xml:space="preserve">          </v>
      </c>
      <c r="Y948" s="227" t="str">
        <f t="shared" si="101"/>
        <v/>
      </c>
      <c r="Z948" t="str">
        <f t="shared" si="102"/>
        <v/>
      </c>
      <c r="AL948" t="str">
        <f t="shared" si="103"/>
        <v/>
      </c>
      <c r="AM948" t="str">
        <f t="shared" si="104"/>
        <v/>
      </c>
    </row>
    <row r="949" spans="1:39">
      <c r="A949" t="str">
        <f>IF(ISBLANK(Record!A950),"",Record!A950)</f>
        <v/>
      </c>
      <c r="B949" t="str">
        <f>IF(ISBLANK(Record!B950),"",Record!B950)</f>
        <v/>
      </c>
      <c r="C949" s="227" t="str">
        <f>IF(ISBLANK(Record!C950),"",Record!C950)</f>
        <v/>
      </c>
      <c r="D949" t="str">
        <f>IF(ISBLANK(Record!D950),"",Record!D950)</f>
        <v/>
      </c>
      <c r="E949" t="str">
        <f>IF(ISBLANK(Record!E950),"",Record!E950)</f>
        <v/>
      </c>
      <c r="M949" t="str">
        <f t="shared" si="98"/>
        <v xml:space="preserve">          </v>
      </c>
      <c r="N949" s="227" t="str">
        <f t="shared" si="99"/>
        <v/>
      </c>
      <c r="X949" t="str">
        <f t="shared" si="100"/>
        <v xml:space="preserve">          </v>
      </c>
      <c r="Y949" s="227" t="str">
        <f t="shared" si="101"/>
        <v/>
      </c>
      <c r="Z949" t="str">
        <f t="shared" si="102"/>
        <v/>
      </c>
      <c r="AL949" t="str">
        <f t="shared" si="103"/>
        <v/>
      </c>
      <c r="AM949" t="str">
        <f t="shared" si="104"/>
        <v/>
      </c>
    </row>
    <row r="950" spans="1:39">
      <c r="A950" t="str">
        <f>IF(ISBLANK(Record!A951),"",Record!A951)</f>
        <v/>
      </c>
      <c r="B950" t="str">
        <f>IF(ISBLANK(Record!B951),"",Record!B951)</f>
        <v/>
      </c>
      <c r="C950" s="227" t="str">
        <f>IF(ISBLANK(Record!C951),"",Record!C951)</f>
        <v/>
      </c>
      <c r="D950" t="str">
        <f>IF(ISBLANK(Record!D951),"",Record!D951)</f>
        <v/>
      </c>
      <c r="E950" t="str">
        <f>IF(ISBLANK(Record!E951),"",Record!E951)</f>
        <v/>
      </c>
      <c r="M950" t="str">
        <f t="shared" si="98"/>
        <v xml:space="preserve">          </v>
      </c>
      <c r="N950" s="227" t="str">
        <f t="shared" si="99"/>
        <v/>
      </c>
      <c r="X950" t="str">
        <f t="shared" si="100"/>
        <v xml:space="preserve">          </v>
      </c>
      <c r="Y950" s="227" t="str">
        <f t="shared" si="101"/>
        <v/>
      </c>
      <c r="Z950" t="str">
        <f t="shared" si="102"/>
        <v/>
      </c>
      <c r="AL950" t="str">
        <f t="shared" si="103"/>
        <v/>
      </c>
      <c r="AM950" t="str">
        <f t="shared" si="104"/>
        <v/>
      </c>
    </row>
    <row r="951" spans="1:39">
      <c r="A951" t="str">
        <f>IF(ISBLANK(Record!A952),"",Record!A952)</f>
        <v/>
      </c>
      <c r="B951" t="str">
        <f>IF(ISBLANK(Record!B952),"",Record!B952)</f>
        <v/>
      </c>
      <c r="C951" s="227" t="str">
        <f>IF(ISBLANK(Record!C952),"",Record!C952)</f>
        <v/>
      </c>
      <c r="D951" t="str">
        <f>IF(ISBLANK(Record!D952),"",Record!D952)</f>
        <v/>
      </c>
      <c r="E951" t="str">
        <f>IF(ISBLANK(Record!E952),"",Record!E952)</f>
        <v/>
      </c>
      <c r="M951" t="str">
        <f t="shared" si="98"/>
        <v xml:space="preserve">          </v>
      </c>
      <c r="N951" s="227" t="str">
        <f t="shared" si="99"/>
        <v/>
      </c>
      <c r="X951" t="str">
        <f t="shared" si="100"/>
        <v xml:space="preserve">          </v>
      </c>
      <c r="Y951" s="227" t="str">
        <f t="shared" si="101"/>
        <v/>
      </c>
      <c r="Z951" t="str">
        <f t="shared" si="102"/>
        <v/>
      </c>
      <c r="AL951" t="str">
        <f t="shared" si="103"/>
        <v/>
      </c>
      <c r="AM951" t="str">
        <f t="shared" si="104"/>
        <v/>
      </c>
    </row>
    <row r="952" spans="1:39">
      <c r="A952" t="str">
        <f>IF(ISBLANK(Record!A953),"",Record!A953)</f>
        <v/>
      </c>
      <c r="B952" t="str">
        <f>IF(ISBLANK(Record!B953),"",Record!B953)</f>
        <v/>
      </c>
      <c r="C952" s="227" t="str">
        <f>IF(ISBLANK(Record!C953),"",Record!C953)</f>
        <v/>
      </c>
      <c r="D952" t="str">
        <f>IF(ISBLANK(Record!D953),"",Record!D953)</f>
        <v/>
      </c>
      <c r="E952" t="str">
        <f>IF(ISBLANK(Record!E953),"",Record!E953)</f>
        <v/>
      </c>
      <c r="M952" t="str">
        <f t="shared" si="98"/>
        <v xml:space="preserve">          </v>
      </c>
      <c r="N952" s="227" t="str">
        <f t="shared" si="99"/>
        <v/>
      </c>
      <c r="X952" t="str">
        <f t="shared" si="100"/>
        <v xml:space="preserve">          </v>
      </c>
      <c r="Y952" s="227" t="str">
        <f t="shared" si="101"/>
        <v/>
      </c>
      <c r="Z952" t="str">
        <f t="shared" si="102"/>
        <v/>
      </c>
      <c r="AL952" t="str">
        <f t="shared" si="103"/>
        <v/>
      </c>
      <c r="AM952" t="str">
        <f t="shared" si="104"/>
        <v/>
      </c>
    </row>
    <row r="953" spans="1:39">
      <c r="A953" t="str">
        <f>IF(ISBLANK(Record!A954),"",Record!A954)</f>
        <v/>
      </c>
      <c r="B953" t="str">
        <f>IF(ISBLANK(Record!B954),"",Record!B954)</f>
        <v/>
      </c>
      <c r="C953" s="227" t="str">
        <f>IF(ISBLANK(Record!C954),"",Record!C954)</f>
        <v/>
      </c>
      <c r="D953" t="str">
        <f>IF(ISBLANK(Record!D954),"",Record!D954)</f>
        <v/>
      </c>
      <c r="E953" t="str">
        <f>IF(ISBLANK(Record!E954),"",Record!E954)</f>
        <v/>
      </c>
      <c r="M953" t="str">
        <f t="shared" si="98"/>
        <v xml:space="preserve">          </v>
      </c>
      <c r="N953" s="227" t="str">
        <f t="shared" si="99"/>
        <v/>
      </c>
      <c r="X953" t="str">
        <f t="shared" si="100"/>
        <v xml:space="preserve">          </v>
      </c>
      <c r="Y953" s="227" t="str">
        <f t="shared" si="101"/>
        <v/>
      </c>
      <c r="Z953" t="str">
        <f t="shared" si="102"/>
        <v/>
      </c>
      <c r="AL953" t="str">
        <f t="shared" si="103"/>
        <v/>
      </c>
      <c r="AM953" t="str">
        <f t="shared" si="104"/>
        <v/>
      </c>
    </row>
    <row r="954" spans="1:39">
      <c r="A954" t="str">
        <f>IF(ISBLANK(Record!A955),"",Record!A955)</f>
        <v/>
      </c>
      <c r="B954" t="str">
        <f>IF(ISBLANK(Record!B955),"",Record!B955)</f>
        <v/>
      </c>
      <c r="C954" s="227" t="str">
        <f>IF(ISBLANK(Record!C955),"",Record!C955)</f>
        <v/>
      </c>
      <c r="D954" t="str">
        <f>IF(ISBLANK(Record!D955),"",Record!D955)</f>
        <v/>
      </c>
      <c r="E954" t="str">
        <f>IF(ISBLANK(Record!E955),"",Record!E955)</f>
        <v/>
      </c>
      <c r="M954" t="str">
        <f t="shared" si="98"/>
        <v xml:space="preserve">          </v>
      </c>
      <c r="N954" s="227" t="str">
        <f t="shared" si="99"/>
        <v/>
      </c>
      <c r="X954" t="str">
        <f t="shared" si="100"/>
        <v xml:space="preserve">          </v>
      </c>
      <c r="Y954" s="227" t="str">
        <f t="shared" si="101"/>
        <v/>
      </c>
      <c r="Z954" t="str">
        <f t="shared" si="102"/>
        <v/>
      </c>
      <c r="AL954" t="str">
        <f t="shared" si="103"/>
        <v/>
      </c>
      <c r="AM954" t="str">
        <f t="shared" si="104"/>
        <v/>
      </c>
    </row>
    <row r="955" spans="1:39">
      <c r="A955" t="str">
        <f>IF(ISBLANK(Record!A956),"",Record!A956)</f>
        <v/>
      </c>
      <c r="B955" t="str">
        <f>IF(ISBLANK(Record!B956),"",Record!B956)</f>
        <v/>
      </c>
      <c r="C955" s="227" t="str">
        <f>IF(ISBLANK(Record!C956),"",Record!C956)</f>
        <v/>
      </c>
      <c r="D955" t="str">
        <f>IF(ISBLANK(Record!D956),"",Record!D956)</f>
        <v/>
      </c>
      <c r="E955" t="str">
        <f>IF(ISBLANK(Record!E956),"",Record!E956)</f>
        <v/>
      </c>
      <c r="M955" t="str">
        <f t="shared" si="98"/>
        <v xml:space="preserve">          </v>
      </c>
      <c r="N955" s="227" t="str">
        <f t="shared" si="99"/>
        <v/>
      </c>
      <c r="X955" t="str">
        <f t="shared" si="100"/>
        <v xml:space="preserve">          </v>
      </c>
      <c r="Y955" s="227" t="str">
        <f t="shared" si="101"/>
        <v/>
      </c>
      <c r="Z955" t="str">
        <f t="shared" si="102"/>
        <v/>
      </c>
      <c r="AL955" t="str">
        <f t="shared" si="103"/>
        <v/>
      </c>
      <c r="AM955" t="str">
        <f t="shared" si="104"/>
        <v/>
      </c>
    </row>
    <row r="956" spans="1:39">
      <c r="A956" t="str">
        <f>IF(ISBLANK(Record!A957),"",Record!A957)</f>
        <v/>
      </c>
      <c r="B956" t="str">
        <f>IF(ISBLANK(Record!B957),"",Record!B957)</f>
        <v/>
      </c>
      <c r="C956" s="227" t="str">
        <f>IF(ISBLANK(Record!C957),"",Record!C957)</f>
        <v/>
      </c>
      <c r="D956" t="str">
        <f>IF(ISBLANK(Record!D957),"",Record!D957)</f>
        <v/>
      </c>
      <c r="E956" t="str">
        <f>IF(ISBLANK(Record!E957),"",Record!E957)</f>
        <v/>
      </c>
      <c r="M956" t="str">
        <f t="shared" si="98"/>
        <v xml:space="preserve">          </v>
      </c>
      <c r="N956" s="227" t="str">
        <f t="shared" si="99"/>
        <v/>
      </c>
      <c r="X956" t="str">
        <f t="shared" si="100"/>
        <v xml:space="preserve">          </v>
      </c>
      <c r="Y956" s="227" t="str">
        <f t="shared" si="101"/>
        <v/>
      </c>
      <c r="Z956" t="str">
        <f t="shared" si="102"/>
        <v/>
      </c>
      <c r="AL956" t="str">
        <f t="shared" si="103"/>
        <v/>
      </c>
      <c r="AM956" t="str">
        <f t="shared" si="104"/>
        <v/>
      </c>
    </row>
    <row r="957" spans="1:39">
      <c r="A957" t="str">
        <f>IF(ISBLANK(Record!A958),"",Record!A958)</f>
        <v/>
      </c>
      <c r="B957" t="str">
        <f>IF(ISBLANK(Record!B958),"",Record!B958)</f>
        <v/>
      </c>
      <c r="C957" s="227" t="str">
        <f>IF(ISBLANK(Record!C958),"",Record!C958)</f>
        <v/>
      </c>
      <c r="D957" t="str">
        <f>IF(ISBLANK(Record!D958),"",Record!D958)</f>
        <v/>
      </c>
      <c r="E957" t="str">
        <f>IF(ISBLANK(Record!E958),"",Record!E958)</f>
        <v/>
      </c>
      <c r="M957" t="str">
        <f t="shared" si="98"/>
        <v xml:space="preserve">          </v>
      </c>
      <c r="N957" s="227" t="str">
        <f t="shared" si="99"/>
        <v/>
      </c>
      <c r="X957" t="str">
        <f t="shared" si="100"/>
        <v xml:space="preserve">          </v>
      </c>
      <c r="Y957" s="227" t="str">
        <f t="shared" si="101"/>
        <v/>
      </c>
      <c r="Z957" t="str">
        <f t="shared" si="102"/>
        <v/>
      </c>
      <c r="AL957" t="str">
        <f t="shared" si="103"/>
        <v/>
      </c>
      <c r="AM957" t="str">
        <f t="shared" si="104"/>
        <v/>
      </c>
    </row>
    <row r="958" spans="1:39">
      <c r="A958" t="str">
        <f>IF(ISBLANK(Record!A959),"",Record!A959)</f>
        <v/>
      </c>
      <c r="B958" t="str">
        <f>IF(ISBLANK(Record!B959),"",Record!B959)</f>
        <v/>
      </c>
      <c r="C958" s="227" t="str">
        <f>IF(ISBLANK(Record!C959),"",Record!C959)</f>
        <v/>
      </c>
      <c r="D958" t="str">
        <f>IF(ISBLANK(Record!D959),"",Record!D959)</f>
        <v/>
      </c>
      <c r="E958" t="str">
        <f>IF(ISBLANK(Record!E959),"",Record!E959)</f>
        <v/>
      </c>
      <c r="M958" t="str">
        <f t="shared" si="98"/>
        <v xml:space="preserve">          </v>
      </c>
      <c r="N958" s="227" t="str">
        <f t="shared" si="99"/>
        <v/>
      </c>
      <c r="X958" t="str">
        <f t="shared" si="100"/>
        <v xml:space="preserve">          </v>
      </c>
      <c r="Y958" s="227" t="str">
        <f t="shared" si="101"/>
        <v/>
      </c>
      <c r="Z958" t="str">
        <f t="shared" si="102"/>
        <v/>
      </c>
      <c r="AL958" t="str">
        <f t="shared" si="103"/>
        <v/>
      </c>
      <c r="AM958" t="str">
        <f t="shared" si="104"/>
        <v/>
      </c>
    </row>
    <row r="959" spans="1:39">
      <c r="A959" t="str">
        <f>IF(ISBLANK(Record!A960),"",Record!A960)</f>
        <v/>
      </c>
      <c r="B959" t="str">
        <f>IF(ISBLANK(Record!B960),"",Record!B960)</f>
        <v/>
      </c>
      <c r="C959" s="227" t="str">
        <f>IF(ISBLANK(Record!C960),"",Record!C960)</f>
        <v/>
      </c>
      <c r="D959" t="str">
        <f>IF(ISBLANK(Record!D960),"",Record!D960)</f>
        <v/>
      </c>
      <c r="E959" t="str">
        <f>IF(ISBLANK(Record!E960),"",Record!E960)</f>
        <v/>
      </c>
      <c r="M959" t="str">
        <f t="shared" si="98"/>
        <v xml:space="preserve">          </v>
      </c>
      <c r="N959" s="227" t="str">
        <f t="shared" si="99"/>
        <v/>
      </c>
      <c r="X959" t="str">
        <f t="shared" si="100"/>
        <v xml:space="preserve">          </v>
      </c>
      <c r="Y959" s="227" t="str">
        <f t="shared" si="101"/>
        <v/>
      </c>
      <c r="Z959" t="str">
        <f t="shared" si="102"/>
        <v/>
      </c>
      <c r="AL959" t="str">
        <f t="shared" si="103"/>
        <v/>
      </c>
      <c r="AM959" t="str">
        <f t="shared" si="104"/>
        <v/>
      </c>
    </row>
    <row r="960" spans="1:39">
      <c r="A960" t="str">
        <f>IF(ISBLANK(Record!A961),"",Record!A961)</f>
        <v/>
      </c>
      <c r="B960" t="str">
        <f>IF(ISBLANK(Record!B961),"",Record!B961)</f>
        <v/>
      </c>
      <c r="C960" s="227" t="str">
        <f>IF(ISBLANK(Record!C961),"",Record!C961)</f>
        <v/>
      </c>
      <c r="D960" t="str">
        <f>IF(ISBLANK(Record!D961),"",Record!D961)</f>
        <v/>
      </c>
      <c r="E960" t="str">
        <f>IF(ISBLANK(Record!E961),"",Record!E961)</f>
        <v/>
      </c>
      <c r="M960" t="str">
        <f t="shared" si="98"/>
        <v xml:space="preserve">          </v>
      </c>
      <c r="N960" s="227" t="str">
        <f t="shared" si="99"/>
        <v/>
      </c>
      <c r="X960" t="str">
        <f t="shared" si="100"/>
        <v xml:space="preserve">          </v>
      </c>
      <c r="Y960" s="227" t="str">
        <f t="shared" si="101"/>
        <v/>
      </c>
      <c r="Z960" t="str">
        <f t="shared" si="102"/>
        <v/>
      </c>
      <c r="AL960" t="str">
        <f t="shared" si="103"/>
        <v/>
      </c>
      <c r="AM960" t="str">
        <f t="shared" si="104"/>
        <v/>
      </c>
    </row>
    <row r="961" spans="1:39">
      <c r="A961" t="str">
        <f>IF(ISBLANK(Record!A962),"",Record!A962)</f>
        <v/>
      </c>
      <c r="B961" t="str">
        <f>IF(ISBLANK(Record!B962),"",Record!B962)</f>
        <v/>
      </c>
      <c r="C961" s="227" t="str">
        <f>IF(ISBLANK(Record!C962),"",Record!C962)</f>
        <v/>
      </c>
      <c r="D961" t="str">
        <f>IF(ISBLANK(Record!D962),"",Record!D962)</f>
        <v/>
      </c>
      <c r="E961" t="str">
        <f>IF(ISBLANK(Record!E962),"",Record!E962)</f>
        <v/>
      </c>
      <c r="M961" t="str">
        <f t="shared" si="98"/>
        <v xml:space="preserve">          </v>
      </c>
      <c r="N961" s="227" t="str">
        <f t="shared" si="99"/>
        <v/>
      </c>
      <c r="X961" t="str">
        <f t="shared" si="100"/>
        <v xml:space="preserve">          </v>
      </c>
      <c r="Y961" s="227" t="str">
        <f t="shared" si="101"/>
        <v/>
      </c>
      <c r="Z961" t="str">
        <f t="shared" si="102"/>
        <v/>
      </c>
      <c r="AL961" t="str">
        <f t="shared" si="103"/>
        <v/>
      </c>
      <c r="AM961" t="str">
        <f t="shared" si="104"/>
        <v/>
      </c>
    </row>
    <row r="962" spans="1:39">
      <c r="A962" t="str">
        <f>IF(ISBLANK(Record!A963),"",Record!A963)</f>
        <v/>
      </c>
      <c r="B962" t="str">
        <f>IF(ISBLANK(Record!B963),"",Record!B963)</f>
        <v/>
      </c>
      <c r="C962" s="227" t="str">
        <f>IF(ISBLANK(Record!C963),"",Record!C963)</f>
        <v/>
      </c>
      <c r="D962" t="str">
        <f>IF(ISBLANK(Record!D963),"",Record!D963)</f>
        <v/>
      </c>
      <c r="E962" t="str">
        <f>IF(ISBLANK(Record!E963),"",Record!E963)</f>
        <v/>
      </c>
      <c r="M962" t="str">
        <f t="shared" si="98"/>
        <v xml:space="preserve">          </v>
      </c>
      <c r="N962" s="227" t="str">
        <f t="shared" si="99"/>
        <v/>
      </c>
      <c r="X962" t="str">
        <f t="shared" si="100"/>
        <v xml:space="preserve">          </v>
      </c>
      <c r="Y962" s="227" t="str">
        <f t="shared" si="101"/>
        <v/>
      </c>
      <c r="Z962" t="str">
        <f t="shared" si="102"/>
        <v/>
      </c>
      <c r="AL962" t="str">
        <f t="shared" si="103"/>
        <v/>
      </c>
      <c r="AM962" t="str">
        <f t="shared" si="104"/>
        <v/>
      </c>
    </row>
    <row r="963" spans="1:39">
      <c r="A963" t="str">
        <f>IF(ISBLANK(Record!A964),"",Record!A964)</f>
        <v/>
      </c>
      <c r="B963" t="str">
        <f>IF(ISBLANK(Record!B964),"",Record!B964)</f>
        <v/>
      </c>
      <c r="C963" s="227" t="str">
        <f>IF(ISBLANK(Record!C964),"",Record!C964)</f>
        <v/>
      </c>
      <c r="D963" t="str">
        <f>IF(ISBLANK(Record!D964),"",Record!D964)</f>
        <v/>
      </c>
      <c r="E963" t="str">
        <f>IF(ISBLANK(Record!E964),"",Record!E964)</f>
        <v/>
      </c>
      <c r="M963" t="str">
        <f t="shared" ref="M963:M1026" si="105">RIGHT("                                   " &amp; A963,10)</f>
        <v xml:space="preserve">          </v>
      </c>
      <c r="N963" s="227" t="str">
        <f t="shared" ref="N963:N1026" si="106">RIGHT(C963,16)</f>
        <v/>
      </c>
      <c r="X963" t="str">
        <f t="shared" ref="X963:X1026" si="107">RIGHT("                                   " &amp; A963,10)</f>
        <v xml:space="preserve">          </v>
      </c>
      <c r="Y963" s="227" t="str">
        <f t="shared" ref="Y963:Y1026" si="108">RIGHT(C963,16)</f>
        <v/>
      </c>
      <c r="Z963" t="str">
        <f t="shared" ref="Z963:Z1026" si="109">RIGHT(D963,8)</f>
        <v/>
      </c>
      <c r="AL963" t="str">
        <f t="shared" ref="AL963:AL1026" si="110">D963</f>
        <v/>
      </c>
      <c r="AM963" t="str">
        <f t="shared" ref="AM963:AM1026" si="111">IF(E963&lt;&gt;AL963,E963,E963)</f>
        <v/>
      </c>
    </row>
    <row r="964" spans="1:39">
      <c r="A964" t="str">
        <f>IF(ISBLANK(Record!A965),"",Record!A965)</f>
        <v/>
      </c>
      <c r="B964" t="str">
        <f>IF(ISBLANK(Record!B965),"",Record!B965)</f>
        <v/>
      </c>
      <c r="C964" s="227" t="str">
        <f>IF(ISBLANK(Record!C965),"",Record!C965)</f>
        <v/>
      </c>
      <c r="D964" t="str">
        <f>IF(ISBLANK(Record!D965),"",Record!D965)</f>
        <v/>
      </c>
      <c r="E964" t="str">
        <f>IF(ISBLANK(Record!E965),"",Record!E965)</f>
        <v/>
      </c>
      <c r="M964" t="str">
        <f t="shared" si="105"/>
        <v xml:space="preserve">          </v>
      </c>
      <c r="N964" s="227" t="str">
        <f t="shared" si="106"/>
        <v/>
      </c>
      <c r="X964" t="str">
        <f t="shared" si="107"/>
        <v xml:space="preserve">          </v>
      </c>
      <c r="Y964" s="227" t="str">
        <f t="shared" si="108"/>
        <v/>
      </c>
      <c r="Z964" t="str">
        <f t="shared" si="109"/>
        <v/>
      </c>
      <c r="AL964" t="str">
        <f t="shared" si="110"/>
        <v/>
      </c>
      <c r="AM964" t="str">
        <f t="shared" si="111"/>
        <v/>
      </c>
    </row>
    <row r="965" spans="1:39">
      <c r="A965" t="str">
        <f>IF(ISBLANK(Record!A966),"",Record!A966)</f>
        <v/>
      </c>
      <c r="B965" t="str">
        <f>IF(ISBLANK(Record!B966),"",Record!B966)</f>
        <v/>
      </c>
      <c r="C965" s="227" t="str">
        <f>IF(ISBLANK(Record!C966),"",Record!C966)</f>
        <v/>
      </c>
      <c r="D965" t="str">
        <f>IF(ISBLANK(Record!D966),"",Record!D966)</f>
        <v/>
      </c>
      <c r="E965" t="str">
        <f>IF(ISBLANK(Record!E966),"",Record!E966)</f>
        <v/>
      </c>
      <c r="M965" t="str">
        <f t="shared" si="105"/>
        <v xml:space="preserve">          </v>
      </c>
      <c r="N965" s="227" t="str">
        <f t="shared" si="106"/>
        <v/>
      </c>
      <c r="X965" t="str">
        <f t="shared" si="107"/>
        <v xml:space="preserve">          </v>
      </c>
      <c r="Y965" s="227" t="str">
        <f t="shared" si="108"/>
        <v/>
      </c>
      <c r="Z965" t="str">
        <f t="shared" si="109"/>
        <v/>
      </c>
      <c r="AL965" t="str">
        <f t="shared" si="110"/>
        <v/>
      </c>
      <c r="AM965" t="str">
        <f t="shared" si="111"/>
        <v/>
      </c>
    </row>
    <row r="966" spans="1:39">
      <c r="A966" t="str">
        <f>IF(ISBLANK(Record!A967),"",Record!A967)</f>
        <v/>
      </c>
      <c r="B966" t="str">
        <f>IF(ISBLANK(Record!B967),"",Record!B967)</f>
        <v/>
      </c>
      <c r="C966" s="227" t="str">
        <f>IF(ISBLANK(Record!C967),"",Record!C967)</f>
        <v/>
      </c>
      <c r="D966" t="str">
        <f>IF(ISBLANK(Record!D967),"",Record!D967)</f>
        <v/>
      </c>
      <c r="E966" t="str">
        <f>IF(ISBLANK(Record!E967),"",Record!E967)</f>
        <v/>
      </c>
      <c r="M966" t="str">
        <f t="shared" si="105"/>
        <v xml:space="preserve">          </v>
      </c>
      <c r="N966" s="227" t="str">
        <f t="shared" si="106"/>
        <v/>
      </c>
      <c r="X966" t="str">
        <f t="shared" si="107"/>
        <v xml:space="preserve">          </v>
      </c>
      <c r="Y966" s="227" t="str">
        <f t="shared" si="108"/>
        <v/>
      </c>
      <c r="Z966" t="str">
        <f t="shared" si="109"/>
        <v/>
      </c>
      <c r="AL966" t="str">
        <f t="shared" si="110"/>
        <v/>
      </c>
      <c r="AM966" t="str">
        <f t="shared" si="111"/>
        <v/>
      </c>
    </row>
    <row r="967" spans="1:39">
      <c r="A967" t="str">
        <f>IF(ISBLANK(Record!A968),"",Record!A968)</f>
        <v/>
      </c>
      <c r="B967" t="str">
        <f>IF(ISBLANK(Record!B968),"",Record!B968)</f>
        <v/>
      </c>
      <c r="C967" s="227" t="str">
        <f>IF(ISBLANK(Record!C968),"",Record!C968)</f>
        <v/>
      </c>
      <c r="D967" t="str">
        <f>IF(ISBLANK(Record!D968),"",Record!D968)</f>
        <v/>
      </c>
      <c r="E967" t="str">
        <f>IF(ISBLANK(Record!E968),"",Record!E968)</f>
        <v/>
      </c>
      <c r="M967" t="str">
        <f t="shared" si="105"/>
        <v xml:space="preserve">          </v>
      </c>
      <c r="N967" s="227" t="str">
        <f t="shared" si="106"/>
        <v/>
      </c>
      <c r="X967" t="str">
        <f t="shared" si="107"/>
        <v xml:space="preserve">          </v>
      </c>
      <c r="Y967" s="227" t="str">
        <f t="shared" si="108"/>
        <v/>
      </c>
      <c r="Z967" t="str">
        <f t="shared" si="109"/>
        <v/>
      </c>
      <c r="AL967" t="str">
        <f t="shared" si="110"/>
        <v/>
      </c>
      <c r="AM967" t="str">
        <f t="shared" si="111"/>
        <v/>
      </c>
    </row>
    <row r="968" spans="1:39">
      <c r="A968" t="str">
        <f>IF(ISBLANK(Record!A969),"",Record!A969)</f>
        <v/>
      </c>
      <c r="B968" t="str">
        <f>IF(ISBLANK(Record!B969),"",Record!B969)</f>
        <v/>
      </c>
      <c r="C968" s="227" t="str">
        <f>IF(ISBLANK(Record!C969),"",Record!C969)</f>
        <v/>
      </c>
      <c r="D968" t="str">
        <f>IF(ISBLANK(Record!D969),"",Record!D969)</f>
        <v/>
      </c>
      <c r="E968" t="str">
        <f>IF(ISBLANK(Record!E969),"",Record!E969)</f>
        <v/>
      </c>
      <c r="M968" t="str">
        <f t="shared" si="105"/>
        <v xml:space="preserve">          </v>
      </c>
      <c r="N968" s="227" t="str">
        <f t="shared" si="106"/>
        <v/>
      </c>
      <c r="X968" t="str">
        <f t="shared" si="107"/>
        <v xml:space="preserve">          </v>
      </c>
      <c r="Y968" s="227" t="str">
        <f t="shared" si="108"/>
        <v/>
      </c>
      <c r="Z968" t="str">
        <f t="shared" si="109"/>
        <v/>
      </c>
      <c r="AL968" t="str">
        <f t="shared" si="110"/>
        <v/>
      </c>
      <c r="AM968" t="str">
        <f t="shared" si="111"/>
        <v/>
      </c>
    </row>
    <row r="969" spans="1:39">
      <c r="A969" t="str">
        <f>IF(ISBLANK(Record!A970),"",Record!A970)</f>
        <v/>
      </c>
      <c r="B969" t="str">
        <f>IF(ISBLANK(Record!B970),"",Record!B970)</f>
        <v/>
      </c>
      <c r="C969" s="227" t="str">
        <f>IF(ISBLANK(Record!C970),"",Record!C970)</f>
        <v/>
      </c>
      <c r="D969" t="str">
        <f>IF(ISBLANK(Record!D970),"",Record!D970)</f>
        <v/>
      </c>
      <c r="E969" t="str">
        <f>IF(ISBLANK(Record!E970),"",Record!E970)</f>
        <v/>
      </c>
      <c r="M969" t="str">
        <f t="shared" si="105"/>
        <v xml:space="preserve">          </v>
      </c>
      <c r="N969" s="227" t="str">
        <f t="shared" si="106"/>
        <v/>
      </c>
      <c r="X969" t="str">
        <f t="shared" si="107"/>
        <v xml:space="preserve">          </v>
      </c>
      <c r="Y969" s="227" t="str">
        <f t="shared" si="108"/>
        <v/>
      </c>
      <c r="Z969" t="str">
        <f t="shared" si="109"/>
        <v/>
      </c>
      <c r="AL969" t="str">
        <f t="shared" si="110"/>
        <v/>
      </c>
      <c r="AM969" t="str">
        <f t="shared" si="111"/>
        <v/>
      </c>
    </row>
    <row r="970" spans="1:39">
      <c r="A970" t="str">
        <f>IF(ISBLANK(Record!A971),"",Record!A971)</f>
        <v/>
      </c>
      <c r="B970" t="str">
        <f>IF(ISBLANK(Record!B971),"",Record!B971)</f>
        <v/>
      </c>
      <c r="C970" s="227" t="str">
        <f>IF(ISBLANK(Record!C971),"",Record!C971)</f>
        <v/>
      </c>
      <c r="D970" t="str">
        <f>IF(ISBLANK(Record!D971),"",Record!D971)</f>
        <v/>
      </c>
      <c r="E970" t="str">
        <f>IF(ISBLANK(Record!E971),"",Record!E971)</f>
        <v/>
      </c>
      <c r="M970" t="str">
        <f t="shared" si="105"/>
        <v xml:space="preserve">          </v>
      </c>
      <c r="N970" s="227" t="str">
        <f t="shared" si="106"/>
        <v/>
      </c>
      <c r="X970" t="str">
        <f t="shared" si="107"/>
        <v xml:space="preserve">          </v>
      </c>
      <c r="Y970" s="227" t="str">
        <f t="shared" si="108"/>
        <v/>
      </c>
      <c r="Z970" t="str">
        <f t="shared" si="109"/>
        <v/>
      </c>
      <c r="AL970" t="str">
        <f t="shared" si="110"/>
        <v/>
      </c>
      <c r="AM970" t="str">
        <f t="shared" si="111"/>
        <v/>
      </c>
    </row>
    <row r="971" spans="1:39">
      <c r="A971" t="str">
        <f>IF(ISBLANK(Record!A972),"",Record!A972)</f>
        <v/>
      </c>
      <c r="B971" t="str">
        <f>IF(ISBLANK(Record!B972),"",Record!B972)</f>
        <v/>
      </c>
      <c r="C971" s="227" t="str">
        <f>IF(ISBLANK(Record!C972),"",Record!C972)</f>
        <v/>
      </c>
      <c r="D971" t="str">
        <f>IF(ISBLANK(Record!D972),"",Record!D972)</f>
        <v/>
      </c>
      <c r="E971" t="str">
        <f>IF(ISBLANK(Record!E972),"",Record!E972)</f>
        <v/>
      </c>
      <c r="M971" t="str">
        <f t="shared" si="105"/>
        <v xml:space="preserve">          </v>
      </c>
      <c r="N971" s="227" t="str">
        <f t="shared" si="106"/>
        <v/>
      </c>
      <c r="X971" t="str">
        <f t="shared" si="107"/>
        <v xml:space="preserve">          </v>
      </c>
      <c r="Y971" s="227" t="str">
        <f t="shared" si="108"/>
        <v/>
      </c>
      <c r="Z971" t="str">
        <f t="shared" si="109"/>
        <v/>
      </c>
      <c r="AL971" t="str">
        <f t="shared" si="110"/>
        <v/>
      </c>
      <c r="AM971" t="str">
        <f t="shared" si="111"/>
        <v/>
      </c>
    </row>
    <row r="972" spans="1:39">
      <c r="A972" t="str">
        <f>IF(ISBLANK(Record!A973),"",Record!A973)</f>
        <v/>
      </c>
      <c r="B972" t="str">
        <f>IF(ISBLANK(Record!B973),"",Record!B973)</f>
        <v/>
      </c>
      <c r="C972" s="227" t="str">
        <f>IF(ISBLANK(Record!C973),"",Record!C973)</f>
        <v/>
      </c>
      <c r="D972" t="str">
        <f>IF(ISBLANK(Record!D973),"",Record!D973)</f>
        <v/>
      </c>
      <c r="E972" t="str">
        <f>IF(ISBLANK(Record!E973),"",Record!E973)</f>
        <v/>
      </c>
      <c r="M972" t="str">
        <f t="shared" si="105"/>
        <v xml:space="preserve">          </v>
      </c>
      <c r="N972" s="227" t="str">
        <f t="shared" si="106"/>
        <v/>
      </c>
      <c r="X972" t="str">
        <f t="shared" si="107"/>
        <v xml:space="preserve">          </v>
      </c>
      <c r="Y972" s="227" t="str">
        <f t="shared" si="108"/>
        <v/>
      </c>
      <c r="Z972" t="str">
        <f t="shared" si="109"/>
        <v/>
      </c>
      <c r="AL972" t="str">
        <f t="shared" si="110"/>
        <v/>
      </c>
      <c r="AM972" t="str">
        <f t="shared" si="111"/>
        <v/>
      </c>
    </row>
    <row r="973" spans="1:39">
      <c r="A973" t="str">
        <f>IF(ISBLANK(Record!A974),"",Record!A974)</f>
        <v/>
      </c>
      <c r="B973" t="str">
        <f>IF(ISBLANK(Record!B974),"",Record!B974)</f>
        <v/>
      </c>
      <c r="C973" s="227" t="str">
        <f>IF(ISBLANK(Record!C974),"",Record!C974)</f>
        <v/>
      </c>
      <c r="D973" t="str">
        <f>IF(ISBLANK(Record!D974),"",Record!D974)</f>
        <v/>
      </c>
      <c r="E973" t="str">
        <f>IF(ISBLANK(Record!E974),"",Record!E974)</f>
        <v/>
      </c>
      <c r="M973" t="str">
        <f t="shared" si="105"/>
        <v xml:space="preserve">          </v>
      </c>
      <c r="N973" s="227" t="str">
        <f t="shared" si="106"/>
        <v/>
      </c>
      <c r="X973" t="str">
        <f t="shared" si="107"/>
        <v xml:space="preserve">          </v>
      </c>
      <c r="Y973" s="227" t="str">
        <f t="shared" si="108"/>
        <v/>
      </c>
      <c r="Z973" t="str">
        <f t="shared" si="109"/>
        <v/>
      </c>
      <c r="AL973" t="str">
        <f t="shared" si="110"/>
        <v/>
      </c>
      <c r="AM973" t="str">
        <f t="shared" si="111"/>
        <v/>
      </c>
    </row>
    <row r="974" spans="1:39">
      <c r="A974" t="str">
        <f>IF(ISBLANK(Record!A975),"",Record!A975)</f>
        <v/>
      </c>
      <c r="B974" t="str">
        <f>IF(ISBLANK(Record!B975),"",Record!B975)</f>
        <v/>
      </c>
      <c r="C974" s="227" t="str">
        <f>IF(ISBLANK(Record!C975),"",Record!C975)</f>
        <v/>
      </c>
      <c r="D974" t="str">
        <f>IF(ISBLANK(Record!D975),"",Record!D975)</f>
        <v/>
      </c>
      <c r="E974" t="str">
        <f>IF(ISBLANK(Record!E975),"",Record!E975)</f>
        <v/>
      </c>
      <c r="M974" t="str">
        <f t="shared" si="105"/>
        <v xml:space="preserve">          </v>
      </c>
      <c r="N974" s="227" t="str">
        <f t="shared" si="106"/>
        <v/>
      </c>
      <c r="X974" t="str">
        <f t="shared" si="107"/>
        <v xml:space="preserve">          </v>
      </c>
      <c r="Y974" s="227" t="str">
        <f t="shared" si="108"/>
        <v/>
      </c>
      <c r="Z974" t="str">
        <f t="shared" si="109"/>
        <v/>
      </c>
      <c r="AL974" t="str">
        <f t="shared" si="110"/>
        <v/>
      </c>
      <c r="AM974" t="str">
        <f t="shared" si="111"/>
        <v/>
      </c>
    </row>
    <row r="975" spans="1:39">
      <c r="A975" t="str">
        <f>IF(ISBLANK(Record!A976),"",Record!A976)</f>
        <v/>
      </c>
      <c r="B975" t="str">
        <f>IF(ISBLANK(Record!B976),"",Record!B976)</f>
        <v/>
      </c>
      <c r="C975" s="227" t="str">
        <f>IF(ISBLANK(Record!C976),"",Record!C976)</f>
        <v/>
      </c>
      <c r="D975" t="str">
        <f>IF(ISBLANK(Record!D976),"",Record!D976)</f>
        <v/>
      </c>
      <c r="E975" t="str">
        <f>IF(ISBLANK(Record!E976),"",Record!E976)</f>
        <v/>
      </c>
      <c r="M975" t="str">
        <f t="shared" si="105"/>
        <v xml:space="preserve">          </v>
      </c>
      <c r="N975" s="227" t="str">
        <f t="shared" si="106"/>
        <v/>
      </c>
      <c r="X975" t="str">
        <f t="shared" si="107"/>
        <v xml:space="preserve">          </v>
      </c>
      <c r="Y975" s="227" t="str">
        <f t="shared" si="108"/>
        <v/>
      </c>
      <c r="Z975" t="str">
        <f t="shared" si="109"/>
        <v/>
      </c>
      <c r="AL975" t="str">
        <f t="shared" si="110"/>
        <v/>
      </c>
      <c r="AM975" t="str">
        <f t="shared" si="111"/>
        <v/>
      </c>
    </row>
    <row r="976" spans="1:39">
      <c r="A976" t="str">
        <f>IF(ISBLANK(Record!A977),"",Record!A977)</f>
        <v/>
      </c>
      <c r="B976" t="str">
        <f>IF(ISBLANK(Record!B977),"",Record!B977)</f>
        <v/>
      </c>
      <c r="C976" s="227" t="str">
        <f>IF(ISBLANK(Record!C977),"",Record!C977)</f>
        <v/>
      </c>
      <c r="D976" t="str">
        <f>IF(ISBLANK(Record!D977),"",Record!D977)</f>
        <v/>
      </c>
      <c r="E976" t="str">
        <f>IF(ISBLANK(Record!E977),"",Record!E977)</f>
        <v/>
      </c>
      <c r="M976" t="str">
        <f t="shared" si="105"/>
        <v xml:space="preserve">          </v>
      </c>
      <c r="N976" s="227" t="str">
        <f t="shared" si="106"/>
        <v/>
      </c>
      <c r="X976" t="str">
        <f t="shared" si="107"/>
        <v xml:space="preserve">          </v>
      </c>
      <c r="Y976" s="227" t="str">
        <f t="shared" si="108"/>
        <v/>
      </c>
      <c r="Z976" t="str">
        <f t="shared" si="109"/>
        <v/>
      </c>
      <c r="AL976" t="str">
        <f t="shared" si="110"/>
        <v/>
      </c>
      <c r="AM976" t="str">
        <f t="shared" si="111"/>
        <v/>
      </c>
    </row>
    <row r="977" spans="1:39">
      <c r="A977" t="str">
        <f>IF(ISBLANK(Record!A978),"",Record!A978)</f>
        <v/>
      </c>
      <c r="B977" t="str">
        <f>IF(ISBLANK(Record!B978),"",Record!B978)</f>
        <v/>
      </c>
      <c r="C977" s="227" t="str">
        <f>IF(ISBLANK(Record!C978),"",Record!C978)</f>
        <v/>
      </c>
      <c r="D977" t="str">
        <f>IF(ISBLANK(Record!D978),"",Record!D978)</f>
        <v/>
      </c>
      <c r="E977" t="str">
        <f>IF(ISBLANK(Record!E978),"",Record!E978)</f>
        <v/>
      </c>
      <c r="M977" t="str">
        <f t="shared" si="105"/>
        <v xml:space="preserve">          </v>
      </c>
      <c r="N977" s="227" t="str">
        <f t="shared" si="106"/>
        <v/>
      </c>
      <c r="X977" t="str">
        <f t="shared" si="107"/>
        <v xml:space="preserve">          </v>
      </c>
      <c r="Y977" s="227" t="str">
        <f t="shared" si="108"/>
        <v/>
      </c>
      <c r="Z977" t="str">
        <f t="shared" si="109"/>
        <v/>
      </c>
      <c r="AL977" t="str">
        <f t="shared" si="110"/>
        <v/>
      </c>
      <c r="AM977" t="str">
        <f t="shared" si="111"/>
        <v/>
      </c>
    </row>
    <row r="978" spans="1:39">
      <c r="A978" t="str">
        <f>IF(ISBLANK(Record!A979),"",Record!A979)</f>
        <v/>
      </c>
      <c r="B978" t="str">
        <f>IF(ISBLANK(Record!B979),"",Record!B979)</f>
        <v/>
      </c>
      <c r="C978" s="227" t="str">
        <f>IF(ISBLANK(Record!C979),"",Record!C979)</f>
        <v/>
      </c>
      <c r="D978" t="str">
        <f>IF(ISBLANK(Record!D979),"",Record!D979)</f>
        <v/>
      </c>
      <c r="E978" t="str">
        <f>IF(ISBLANK(Record!E979),"",Record!E979)</f>
        <v/>
      </c>
      <c r="M978" t="str">
        <f t="shared" si="105"/>
        <v xml:space="preserve">          </v>
      </c>
      <c r="N978" s="227" t="str">
        <f t="shared" si="106"/>
        <v/>
      </c>
      <c r="X978" t="str">
        <f t="shared" si="107"/>
        <v xml:space="preserve">          </v>
      </c>
      <c r="Y978" s="227" t="str">
        <f t="shared" si="108"/>
        <v/>
      </c>
      <c r="Z978" t="str">
        <f t="shared" si="109"/>
        <v/>
      </c>
      <c r="AL978" t="str">
        <f t="shared" si="110"/>
        <v/>
      </c>
      <c r="AM978" t="str">
        <f t="shared" si="111"/>
        <v/>
      </c>
    </row>
    <row r="979" spans="1:39">
      <c r="A979" t="str">
        <f>IF(ISBLANK(Record!A980),"",Record!A980)</f>
        <v/>
      </c>
      <c r="B979" t="str">
        <f>IF(ISBLANK(Record!B980),"",Record!B980)</f>
        <v/>
      </c>
      <c r="C979" s="227" t="str">
        <f>IF(ISBLANK(Record!C980),"",Record!C980)</f>
        <v/>
      </c>
      <c r="D979" t="str">
        <f>IF(ISBLANK(Record!D980),"",Record!D980)</f>
        <v/>
      </c>
      <c r="E979" t="str">
        <f>IF(ISBLANK(Record!E980),"",Record!E980)</f>
        <v/>
      </c>
      <c r="M979" t="str">
        <f t="shared" si="105"/>
        <v xml:space="preserve">          </v>
      </c>
      <c r="N979" s="227" t="str">
        <f t="shared" si="106"/>
        <v/>
      </c>
      <c r="X979" t="str">
        <f t="shared" si="107"/>
        <v xml:space="preserve">          </v>
      </c>
      <c r="Y979" s="227" t="str">
        <f t="shared" si="108"/>
        <v/>
      </c>
      <c r="Z979" t="str">
        <f t="shared" si="109"/>
        <v/>
      </c>
      <c r="AL979" t="str">
        <f t="shared" si="110"/>
        <v/>
      </c>
      <c r="AM979" t="str">
        <f t="shared" si="111"/>
        <v/>
      </c>
    </row>
    <row r="980" spans="1:39">
      <c r="A980" t="str">
        <f>IF(ISBLANK(Record!A981),"",Record!A981)</f>
        <v/>
      </c>
      <c r="B980" t="str">
        <f>IF(ISBLANK(Record!B981),"",Record!B981)</f>
        <v/>
      </c>
      <c r="C980" s="227" t="str">
        <f>IF(ISBLANK(Record!C981),"",Record!C981)</f>
        <v/>
      </c>
      <c r="D980" t="str">
        <f>IF(ISBLANK(Record!D981),"",Record!D981)</f>
        <v/>
      </c>
      <c r="E980" t="str">
        <f>IF(ISBLANK(Record!E981),"",Record!E981)</f>
        <v/>
      </c>
      <c r="M980" t="str">
        <f t="shared" si="105"/>
        <v xml:space="preserve">          </v>
      </c>
      <c r="N980" s="227" t="str">
        <f t="shared" si="106"/>
        <v/>
      </c>
      <c r="X980" t="str">
        <f t="shared" si="107"/>
        <v xml:space="preserve">          </v>
      </c>
      <c r="Y980" s="227" t="str">
        <f t="shared" si="108"/>
        <v/>
      </c>
      <c r="Z980" t="str">
        <f t="shared" si="109"/>
        <v/>
      </c>
      <c r="AL980" t="str">
        <f t="shared" si="110"/>
        <v/>
      </c>
      <c r="AM980" t="str">
        <f t="shared" si="111"/>
        <v/>
      </c>
    </row>
    <row r="981" spans="1:39">
      <c r="A981" t="str">
        <f>IF(ISBLANK(Record!A982),"",Record!A982)</f>
        <v/>
      </c>
      <c r="B981" t="str">
        <f>IF(ISBLANK(Record!B982),"",Record!B982)</f>
        <v/>
      </c>
      <c r="C981" s="227" t="str">
        <f>IF(ISBLANK(Record!C982),"",Record!C982)</f>
        <v/>
      </c>
      <c r="D981" t="str">
        <f>IF(ISBLANK(Record!D982),"",Record!D982)</f>
        <v/>
      </c>
      <c r="E981" t="str">
        <f>IF(ISBLANK(Record!E982),"",Record!E982)</f>
        <v/>
      </c>
      <c r="M981" t="str">
        <f t="shared" si="105"/>
        <v xml:space="preserve">          </v>
      </c>
      <c r="N981" s="227" t="str">
        <f t="shared" si="106"/>
        <v/>
      </c>
      <c r="X981" t="str">
        <f t="shared" si="107"/>
        <v xml:space="preserve">          </v>
      </c>
      <c r="Y981" s="227" t="str">
        <f t="shared" si="108"/>
        <v/>
      </c>
      <c r="Z981" t="str">
        <f t="shared" si="109"/>
        <v/>
      </c>
      <c r="AL981" t="str">
        <f t="shared" si="110"/>
        <v/>
      </c>
      <c r="AM981" t="str">
        <f t="shared" si="111"/>
        <v/>
      </c>
    </row>
    <row r="982" spans="1:39">
      <c r="A982" t="str">
        <f>IF(ISBLANK(Record!A983),"",Record!A983)</f>
        <v/>
      </c>
      <c r="B982" t="str">
        <f>IF(ISBLANK(Record!B983),"",Record!B983)</f>
        <v/>
      </c>
      <c r="C982" s="227" t="str">
        <f>IF(ISBLANK(Record!C983),"",Record!C983)</f>
        <v/>
      </c>
      <c r="D982" t="str">
        <f>IF(ISBLANK(Record!D983),"",Record!D983)</f>
        <v/>
      </c>
      <c r="E982" t="str">
        <f>IF(ISBLANK(Record!E983),"",Record!E983)</f>
        <v/>
      </c>
      <c r="M982" t="str">
        <f t="shared" si="105"/>
        <v xml:space="preserve">          </v>
      </c>
      <c r="N982" s="227" t="str">
        <f t="shared" si="106"/>
        <v/>
      </c>
      <c r="X982" t="str">
        <f t="shared" si="107"/>
        <v xml:space="preserve">          </v>
      </c>
      <c r="Y982" s="227" t="str">
        <f t="shared" si="108"/>
        <v/>
      </c>
      <c r="Z982" t="str">
        <f t="shared" si="109"/>
        <v/>
      </c>
      <c r="AL982" t="str">
        <f t="shared" si="110"/>
        <v/>
      </c>
      <c r="AM982" t="str">
        <f t="shared" si="111"/>
        <v/>
      </c>
    </row>
    <row r="983" spans="1:39">
      <c r="A983" t="str">
        <f>IF(ISBLANK(Record!A984),"",Record!A984)</f>
        <v/>
      </c>
      <c r="B983" t="str">
        <f>IF(ISBLANK(Record!B984),"",Record!B984)</f>
        <v/>
      </c>
      <c r="C983" s="227" t="str">
        <f>IF(ISBLANK(Record!C984),"",Record!C984)</f>
        <v/>
      </c>
      <c r="D983" t="str">
        <f>IF(ISBLANK(Record!D984),"",Record!D984)</f>
        <v/>
      </c>
      <c r="E983" t="str">
        <f>IF(ISBLANK(Record!E984),"",Record!E984)</f>
        <v/>
      </c>
      <c r="M983" t="str">
        <f t="shared" si="105"/>
        <v xml:space="preserve">          </v>
      </c>
      <c r="N983" s="227" t="str">
        <f t="shared" si="106"/>
        <v/>
      </c>
      <c r="X983" t="str">
        <f t="shared" si="107"/>
        <v xml:space="preserve">          </v>
      </c>
      <c r="Y983" s="227" t="str">
        <f t="shared" si="108"/>
        <v/>
      </c>
      <c r="Z983" t="str">
        <f t="shared" si="109"/>
        <v/>
      </c>
      <c r="AL983" t="str">
        <f t="shared" si="110"/>
        <v/>
      </c>
      <c r="AM983" t="str">
        <f t="shared" si="111"/>
        <v/>
      </c>
    </row>
    <row r="984" spans="1:39">
      <c r="A984" t="str">
        <f>IF(ISBLANK(Record!A985),"",Record!A985)</f>
        <v/>
      </c>
      <c r="B984" t="str">
        <f>IF(ISBLANK(Record!B985),"",Record!B985)</f>
        <v/>
      </c>
      <c r="C984" s="227" t="str">
        <f>IF(ISBLANK(Record!C985),"",Record!C985)</f>
        <v/>
      </c>
      <c r="D984" t="str">
        <f>IF(ISBLANK(Record!D985),"",Record!D985)</f>
        <v/>
      </c>
      <c r="E984" t="str">
        <f>IF(ISBLANK(Record!E985),"",Record!E985)</f>
        <v/>
      </c>
      <c r="M984" t="str">
        <f t="shared" si="105"/>
        <v xml:space="preserve">          </v>
      </c>
      <c r="N984" s="227" t="str">
        <f t="shared" si="106"/>
        <v/>
      </c>
      <c r="X984" t="str">
        <f t="shared" si="107"/>
        <v xml:space="preserve">          </v>
      </c>
      <c r="Y984" s="227" t="str">
        <f t="shared" si="108"/>
        <v/>
      </c>
      <c r="Z984" t="str">
        <f t="shared" si="109"/>
        <v/>
      </c>
      <c r="AL984" t="str">
        <f t="shared" si="110"/>
        <v/>
      </c>
      <c r="AM984" t="str">
        <f t="shared" si="111"/>
        <v/>
      </c>
    </row>
    <row r="985" spans="1:39">
      <c r="A985" t="str">
        <f>IF(ISBLANK(Record!A986),"",Record!A986)</f>
        <v/>
      </c>
      <c r="B985" t="str">
        <f>IF(ISBLANK(Record!B986),"",Record!B986)</f>
        <v/>
      </c>
      <c r="C985" s="227" t="str">
        <f>IF(ISBLANK(Record!C986),"",Record!C986)</f>
        <v/>
      </c>
      <c r="D985" t="str">
        <f>IF(ISBLANK(Record!D986),"",Record!D986)</f>
        <v/>
      </c>
      <c r="E985" t="str">
        <f>IF(ISBLANK(Record!E986),"",Record!E986)</f>
        <v/>
      </c>
      <c r="M985" t="str">
        <f t="shared" si="105"/>
        <v xml:space="preserve">          </v>
      </c>
      <c r="N985" s="227" t="str">
        <f t="shared" si="106"/>
        <v/>
      </c>
      <c r="X985" t="str">
        <f t="shared" si="107"/>
        <v xml:space="preserve">          </v>
      </c>
      <c r="Y985" s="227" t="str">
        <f t="shared" si="108"/>
        <v/>
      </c>
      <c r="Z985" t="str">
        <f t="shared" si="109"/>
        <v/>
      </c>
      <c r="AL985" t="str">
        <f t="shared" si="110"/>
        <v/>
      </c>
      <c r="AM985" t="str">
        <f t="shared" si="111"/>
        <v/>
      </c>
    </row>
    <row r="986" spans="1:39">
      <c r="A986" t="str">
        <f>IF(ISBLANK(Record!A987),"",Record!A987)</f>
        <v/>
      </c>
      <c r="B986" t="str">
        <f>IF(ISBLANK(Record!B987),"",Record!B987)</f>
        <v/>
      </c>
      <c r="C986" s="227" t="str">
        <f>IF(ISBLANK(Record!C987),"",Record!C987)</f>
        <v/>
      </c>
      <c r="D986" t="str">
        <f>IF(ISBLANK(Record!D987),"",Record!D987)</f>
        <v/>
      </c>
      <c r="E986" t="str">
        <f>IF(ISBLANK(Record!E987),"",Record!E987)</f>
        <v/>
      </c>
      <c r="M986" t="str">
        <f t="shared" si="105"/>
        <v xml:space="preserve">          </v>
      </c>
      <c r="N986" s="227" t="str">
        <f t="shared" si="106"/>
        <v/>
      </c>
      <c r="X986" t="str">
        <f t="shared" si="107"/>
        <v xml:space="preserve">          </v>
      </c>
      <c r="Y986" s="227" t="str">
        <f t="shared" si="108"/>
        <v/>
      </c>
      <c r="Z986" t="str">
        <f t="shared" si="109"/>
        <v/>
      </c>
      <c r="AL986" t="str">
        <f t="shared" si="110"/>
        <v/>
      </c>
      <c r="AM986" t="str">
        <f t="shared" si="111"/>
        <v/>
      </c>
    </row>
    <row r="987" spans="1:39">
      <c r="A987" t="str">
        <f>IF(ISBLANK(Record!A988),"",Record!A988)</f>
        <v/>
      </c>
      <c r="B987" t="str">
        <f>IF(ISBLANK(Record!B988),"",Record!B988)</f>
        <v/>
      </c>
      <c r="C987" s="227" t="str">
        <f>IF(ISBLANK(Record!C988),"",Record!C988)</f>
        <v/>
      </c>
      <c r="D987" t="str">
        <f>IF(ISBLANK(Record!D988),"",Record!D988)</f>
        <v/>
      </c>
      <c r="E987" t="str">
        <f>IF(ISBLANK(Record!E988),"",Record!E988)</f>
        <v/>
      </c>
      <c r="M987" t="str">
        <f t="shared" si="105"/>
        <v xml:space="preserve">          </v>
      </c>
      <c r="N987" s="227" t="str">
        <f t="shared" si="106"/>
        <v/>
      </c>
      <c r="X987" t="str">
        <f t="shared" si="107"/>
        <v xml:space="preserve">          </v>
      </c>
      <c r="Y987" s="227" t="str">
        <f t="shared" si="108"/>
        <v/>
      </c>
      <c r="Z987" t="str">
        <f t="shared" si="109"/>
        <v/>
      </c>
      <c r="AL987" t="str">
        <f t="shared" si="110"/>
        <v/>
      </c>
      <c r="AM987" t="str">
        <f t="shared" si="111"/>
        <v/>
      </c>
    </row>
    <row r="988" spans="1:39">
      <c r="A988" t="str">
        <f>IF(ISBLANK(Record!A989),"",Record!A989)</f>
        <v/>
      </c>
      <c r="B988" t="str">
        <f>IF(ISBLANK(Record!B989),"",Record!B989)</f>
        <v/>
      </c>
      <c r="C988" s="227" t="str">
        <f>IF(ISBLANK(Record!C989),"",Record!C989)</f>
        <v/>
      </c>
      <c r="D988" t="str">
        <f>IF(ISBLANK(Record!D989),"",Record!D989)</f>
        <v/>
      </c>
      <c r="E988" t="str">
        <f>IF(ISBLANK(Record!E989),"",Record!E989)</f>
        <v/>
      </c>
      <c r="M988" t="str">
        <f t="shared" si="105"/>
        <v xml:space="preserve">          </v>
      </c>
      <c r="N988" s="227" t="str">
        <f t="shared" si="106"/>
        <v/>
      </c>
      <c r="X988" t="str">
        <f t="shared" si="107"/>
        <v xml:space="preserve">          </v>
      </c>
      <c r="Y988" s="227" t="str">
        <f t="shared" si="108"/>
        <v/>
      </c>
      <c r="Z988" t="str">
        <f t="shared" si="109"/>
        <v/>
      </c>
      <c r="AL988" t="str">
        <f t="shared" si="110"/>
        <v/>
      </c>
      <c r="AM988" t="str">
        <f t="shared" si="111"/>
        <v/>
      </c>
    </row>
    <row r="989" spans="1:39">
      <c r="A989" t="str">
        <f>IF(ISBLANK(Record!A990),"",Record!A990)</f>
        <v/>
      </c>
      <c r="B989" t="str">
        <f>IF(ISBLANK(Record!B990),"",Record!B990)</f>
        <v/>
      </c>
      <c r="C989" s="227" t="str">
        <f>IF(ISBLANK(Record!C990),"",Record!C990)</f>
        <v/>
      </c>
      <c r="D989" t="str">
        <f>IF(ISBLANK(Record!D990),"",Record!D990)</f>
        <v/>
      </c>
      <c r="E989" t="str">
        <f>IF(ISBLANK(Record!E990),"",Record!E990)</f>
        <v/>
      </c>
      <c r="M989" t="str">
        <f t="shared" si="105"/>
        <v xml:space="preserve">          </v>
      </c>
      <c r="N989" s="227" t="str">
        <f t="shared" si="106"/>
        <v/>
      </c>
      <c r="X989" t="str">
        <f t="shared" si="107"/>
        <v xml:space="preserve">          </v>
      </c>
      <c r="Y989" s="227" t="str">
        <f t="shared" si="108"/>
        <v/>
      </c>
      <c r="Z989" t="str">
        <f t="shared" si="109"/>
        <v/>
      </c>
      <c r="AL989" t="str">
        <f t="shared" si="110"/>
        <v/>
      </c>
      <c r="AM989" t="str">
        <f t="shared" si="111"/>
        <v/>
      </c>
    </row>
    <row r="990" spans="1:39">
      <c r="A990" t="str">
        <f>IF(ISBLANK(Record!A991),"",Record!A991)</f>
        <v/>
      </c>
      <c r="B990" t="str">
        <f>IF(ISBLANK(Record!B991),"",Record!B991)</f>
        <v/>
      </c>
      <c r="C990" s="227" t="str">
        <f>IF(ISBLANK(Record!C991),"",Record!C991)</f>
        <v/>
      </c>
      <c r="D990" t="str">
        <f>IF(ISBLANK(Record!D991),"",Record!D991)</f>
        <v/>
      </c>
      <c r="E990" t="str">
        <f>IF(ISBLANK(Record!E991),"",Record!E991)</f>
        <v/>
      </c>
      <c r="M990" t="str">
        <f t="shared" si="105"/>
        <v xml:space="preserve">          </v>
      </c>
      <c r="N990" s="227" t="str">
        <f t="shared" si="106"/>
        <v/>
      </c>
      <c r="X990" t="str">
        <f t="shared" si="107"/>
        <v xml:space="preserve">          </v>
      </c>
      <c r="Y990" s="227" t="str">
        <f t="shared" si="108"/>
        <v/>
      </c>
      <c r="Z990" t="str">
        <f t="shared" si="109"/>
        <v/>
      </c>
      <c r="AL990" t="str">
        <f t="shared" si="110"/>
        <v/>
      </c>
      <c r="AM990" t="str">
        <f t="shared" si="111"/>
        <v/>
      </c>
    </row>
    <row r="991" spans="1:39">
      <c r="A991" t="str">
        <f>IF(ISBLANK(Record!A992),"",Record!A992)</f>
        <v/>
      </c>
      <c r="B991" t="str">
        <f>IF(ISBLANK(Record!B992),"",Record!B992)</f>
        <v/>
      </c>
      <c r="C991" s="227" t="str">
        <f>IF(ISBLANK(Record!C992),"",Record!C992)</f>
        <v/>
      </c>
      <c r="D991" t="str">
        <f>IF(ISBLANK(Record!D992),"",Record!D992)</f>
        <v/>
      </c>
      <c r="E991" t="str">
        <f>IF(ISBLANK(Record!E992),"",Record!E992)</f>
        <v/>
      </c>
      <c r="M991" t="str">
        <f t="shared" si="105"/>
        <v xml:space="preserve">          </v>
      </c>
      <c r="N991" s="227" t="str">
        <f t="shared" si="106"/>
        <v/>
      </c>
      <c r="X991" t="str">
        <f t="shared" si="107"/>
        <v xml:space="preserve">          </v>
      </c>
      <c r="Y991" s="227" t="str">
        <f t="shared" si="108"/>
        <v/>
      </c>
      <c r="Z991" t="str">
        <f t="shared" si="109"/>
        <v/>
      </c>
      <c r="AL991" t="str">
        <f t="shared" si="110"/>
        <v/>
      </c>
      <c r="AM991" t="str">
        <f t="shared" si="111"/>
        <v/>
      </c>
    </row>
    <row r="992" spans="1:39">
      <c r="A992" t="str">
        <f>IF(ISBLANK(Record!A993),"",Record!A993)</f>
        <v/>
      </c>
      <c r="B992" t="str">
        <f>IF(ISBLANK(Record!B993),"",Record!B993)</f>
        <v/>
      </c>
      <c r="C992" s="227" t="str">
        <f>IF(ISBLANK(Record!C993),"",Record!C993)</f>
        <v/>
      </c>
      <c r="D992" t="str">
        <f>IF(ISBLANK(Record!D993),"",Record!D993)</f>
        <v/>
      </c>
      <c r="E992" t="str">
        <f>IF(ISBLANK(Record!E993),"",Record!E993)</f>
        <v/>
      </c>
      <c r="M992" t="str">
        <f t="shared" si="105"/>
        <v xml:space="preserve">          </v>
      </c>
      <c r="N992" s="227" t="str">
        <f t="shared" si="106"/>
        <v/>
      </c>
      <c r="X992" t="str">
        <f t="shared" si="107"/>
        <v xml:space="preserve">          </v>
      </c>
      <c r="Y992" s="227" t="str">
        <f t="shared" si="108"/>
        <v/>
      </c>
      <c r="Z992" t="str">
        <f t="shared" si="109"/>
        <v/>
      </c>
      <c r="AL992" t="str">
        <f t="shared" si="110"/>
        <v/>
      </c>
      <c r="AM992" t="str">
        <f t="shared" si="111"/>
        <v/>
      </c>
    </row>
    <row r="993" spans="1:39">
      <c r="A993" t="str">
        <f>IF(ISBLANK(Record!A994),"",Record!A994)</f>
        <v/>
      </c>
      <c r="B993" t="str">
        <f>IF(ISBLANK(Record!B994),"",Record!B994)</f>
        <v/>
      </c>
      <c r="C993" s="227" t="str">
        <f>IF(ISBLANK(Record!C994),"",Record!C994)</f>
        <v/>
      </c>
      <c r="D993" t="str">
        <f>IF(ISBLANK(Record!D994),"",Record!D994)</f>
        <v/>
      </c>
      <c r="E993" t="str">
        <f>IF(ISBLANK(Record!E994),"",Record!E994)</f>
        <v/>
      </c>
      <c r="M993" t="str">
        <f t="shared" si="105"/>
        <v xml:space="preserve">          </v>
      </c>
      <c r="N993" s="227" t="str">
        <f t="shared" si="106"/>
        <v/>
      </c>
      <c r="X993" t="str">
        <f t="shared" si="107"/>
        <v xml:space="preserve">          </v>
      </c>
      <c r="Y993" s="227" t="str">
        <f t="shared" si="108"/>
        <v/>
      </c>
      <c r="Z993" t="str">
        <f t="shared" si="109"/>
        <v/>
      </c>
      <c r="AL993" t="str">
        <f t="shared" si="110"/>
        <v/>
      </c>
      <c r="AM993" t="str">
        <f t="shared" si="111"/>
        <v/>
      </c>
    </row>
    <row r="994" spans="1:39">
      <c r="A994" t="str">
        <f>IF(ISBLANK(Record!A995),"",Record!A995)</f>
        <v/>
      </c>
      <c r="B994" t="str">
        <f>IF(ISBLANK(Record!B995),"",Record!B995)</f>
        <v/>
      </c>
      <c r="C994" s="227" t="str">
        <f>IF(ISBLANK(Record!C995),"",Record!C995)</f>
        <v/>
      </c>
      <c r="D994" t="str">
        <f>IF(ISBLANK(Record!D995),"",Record!D995)</f>
        <v/>
      </c>
      <c r="E994" t="str">
        <f>IF(ISBLANK(Record!E995),"",Record!E995)</f>
        <v/>
      </c>
      <c r="M994" t="str">
        <f t="shared" si="105"/>
        <v xml:space="preserve">          </v>
      </c>
      <c r="N994" s="227" t="str">
        <f t="shared" si="106"/>
        <v/>
      </c>
      <c r="X994" t="str">
        <f t="shared" si="107"/>
        <v xml:space="preserve">          </v>
      </c>
      <c r="Y994" s="227" t="str">
        <f t="shared" si="108"/>
        <v/>
      </c>
      <c r="Z994" t="str">
        <f t="shared" si="109"/>
        <v/>
      </c>
      <c r="AL994" t="str">
        <f t="shared" si="110"/>
        <v/>
      </c>
      <c r="AM994" t="str">
        <f t="shared" si="111"/>
        <v/>
      </c>
    </row>
    <row r="995" spans="1:39">
      <c r="A995" t="str">
        <f>IF(ISBLANK(Record!A996),"",Record!A996)</f>
        <v/>
      </c>
      <c r="B995" t="str">
        <f>IF(ISBLANK(Record!B996),"",Record!B996)</f>
        <v/>
      </c>
      <c r="C995" s="227" t="str">
        <f>IF(ISBLANK(Record!C996),"",Record!C996)</f>
        <v/>
      </c>
      <c r="D995" t="str">
        <f>IF(ISBLANK(Record!D996),"",Record!D996)</f>
        <v/>
      </c>
      <c r="E995" t="str">
        <f>IF(ISBLANK(Record!E996),"",Record!E996)</f>
        <v/>
      </c>
      <c r="M995" t="str">
        <f t="shared" si="105"/>
        <v xml:space="preserve">          </v>
      </c>
      <c r="N995" s="227" t="str">
        <f t="shared" si="106"/>
        <v/>
      </c>
      <c r="X995" t="str">
        <f t="shared" si="107"/>
        <v xml:space="preserve">          </v>
      </c>
      <c r="Y995" s="227" t="str">
        <f t="shared" si="108"/>
        <v/>
      </c>
      <c r="Z995" t="str">
        <f t="shared" si="109"/>
        <v/>
      </c>
      <c r="AL995" t="str">
        <f t="shared" si="110"/>
        <v/>
      </c>
      <c r="AM995" t="str">
        <f t="shared" si="111"/>
        <v/>
      </c>
    </row>
    <row r="996" spans="1:39">
      <c r="A996" t="str">
        <f>IF(ISBLANK(Record!A997),"",Record!A997)</f>
        <v/>
      </c>
      <c r="B996" t="str">
        <f>IF(ISBLANK(Record!B997),"",Record!B997)</f>
        <v/>
      </c>
      <c r="C996" s="227" t="str">
        <f>IF(ISBLANK(Record!C997),"",Record!C997)</f>
        <v/>
      </c>
      <c r="D996" t="str">
        <f>IF(ISBLANK(Record!D997),"",Record!D997)</f>
        <v/>
      </c>
      <c r="E996" t="str">
        <f>IF(ISBLANK(Record!E997),"",Record!E997)</f>
        <v/>
      </c>
      <c r="M996" t="str">
        <f t="shared" si="105"/>
        <v xml:space="preserve">          </v>
      </c>
      <c r="N996" s="227" t="str">
        <f t="shared" si="106"/>
        <v/>
      </c>
      <c r="X996" t="str">
        <f t="shared" si="107"/>
        <v xml:space="preserve">          </v>
      </c>
      <c r="Y996" s="227" t="str">
        <f t="shared" si="108"/>
        <v/>
      </c>
      <c r="Z996" t="str">
        <f t="shared" si="109"/>
        <v/>
      </c>
      <c r="AL996" t="str">
        <f t="shared" si="110"/>
        <v/>
      </c>
      <c r="AM996" t="str">
        <f t="shared" si="111"/>
        <v/>
      </c>
    </row>
    <row r="997" spans="1:39">
      <c r="A997" t="str">
        <f>IF(ISBLANK(Record!A998),"",Record!A998)</f>
        <v/>
      </c>
      <c r="B997" t="str">
        <f>IF(ISBLANK(Record!B998),"",Record!B998)</f>
        <v/>
      </c>
      <c r="C997" s="227" t="str">
        <f>IF(ISBLANK(Record!C998),"",Record!C998)</f>
        <v/>
      </c>
      <c r="D997" t="str">
        <f>IF(ISBLANK(Record!D998),"",Record!D998)</f>
        <v/>
      </c>
      <c r="E997" t="str">
        <f>IF(ISBLANK(Record!E998),"",Record!E998)</f>
        <v/>
      </c>
      <c r="M997" t="str">
        <f t="shared" si="105"/>
        <v xml:space="preserve">          </v>
      </c>
      <c r="N997" s="227" t="str">
        <f t="shared" si="106"/>
        <v/>
      </c>
      <c r="X997" t="str">
        <f t="shared" si="107"/>
        <v xml:space="preserve">          </v>
      </c>
      <c r="Y997" s="227" t="str">
        <f t="shared" si="108"/>
        <v/>
      </c>
      <c r="Z997" t="str">
        <f t="shared" si="109"/>
        <v/>
      </c>
      <c r="AL997" t="str">
        <f t="shared" si="110"/>
        <v/>
      </c>
      <c r="AM997" t="str">
        <f t="shared" si="111"/>
        <v/>
      </c>
    </row>
    <row r="998" spans="1:39">
      <c r="A998" t="str">
        <f>IF(ISBLANK(Record!A999),"",Record!A999)</f>
        <v/>
      </c>
      <c r="B998" t="str">
        <f>IF(ISBLANK(Record!B999),"",Record!B999)</f>
        <v/>
      </c>
      <c r="C998" s="227" t="str">
        <f>IF(ISBLANK(Record!C999),"",Record!C999)</f>
        <v/>
      </c>
      <c r="D998" t="str">
        <f>IF(ISBLANK(Record!D999),"",Record!D999)</f>
        <v/>
      </c>
      <c r="E998" t="str">
        <f>IF(ISBLANK(Record!E999),"",Record!E999)</f>
        <v/>
      </c>
      <c r="M998" t="str">
        <f t="shared" si="105"/>
        <v xml:space="preserve">          </v>
      </c>
      <c r="N998" s="227" t="str">
        <f t="shared" si="106"/>
        <v/>
      </c>
      <c r="X998" t="str">
        <f t="shared" si="107"/>
        <v xml:space="preserve">          </v>
      </c>
      <c r="Y998" s="227" t="str">
        <f t="shared" si="108"/>
        <v/>
      </c>
      <c r="Z998" t="str">
        <f t="shared" si="109"/>
        <v/>
      </c>
      <c r="AL998" t="str">
        <f t="shared" si="110"/>
        <v/>
      </c>
      <c r="AM998" t="str">
        <f t="shared" si="111"/>
        <v/>
      </c>
    </row>
    <row r="999" spans="1:39">
      <c r="A999" t="str">
        <f>IF(ISBLANK(Record!A1000),"",Record!A1000)</f>
        <v/>
      </c>
      <c r="B999" t="str">
        <f>IF(ISBLANK(Record!B1000),"",Record!B1000)</f>
        <v/>
      </c>
      <c r="C999" s="227" t="str">
        <f>IF(ISBLANK(Record!C1000),"",Record!C1000)</f>
        <v/>
      </c>
      <c r="D999" t="str">
        <f>IF(ISBLANK(Record!D1000),"",Record!D1000)</f>
        <v/>
      </c>
      <c r="E999" t="str">
        <f>IF(ISBLANK(Record!E1000),"",Record!E1000)</f>
        <v/>
      </c>
      <c r="M999" t="str">
        <f t="shared" si="105"/>
        <v xml:space="preserve">          </v>
      </c>
      <c r="N999" s="227" t="str">
        <f t="shared" si="106"/>
        <v/>
      </c>
      <c r="X999" t="str">
        <f t="shared" si="107"/>
        <v xml:space="preserve">          </v>
      </c>
      <c r="Y999" s="227" t="str">
        <f t="shared" si="108"/>
        <v/>
      </c>
      <c r="Z999" t="str">
        <f t="shared" si="109"/>
        <v/>
      </c>
      <c r="AL999" t="str">
        <f t="shared" si="110"/>
        <v/>
      </c>
      <c r="AM999" t="str">
        <f t="shared" si="111"/>
        <v/>
      </c>
    </row>
    <row r="1000" spans="1:39">
      <c r="A1000" t="str">
        <f>IF(ISBLANK(Record!A1001),"",Record!A1001)</f>
        <v/>
      </c>
      <c r="B1000" t="str">
        <f>IF(ISBLANK(Record!B1001),"",Record!B1001)</f>
        <v/>
      </c>
      <c r="C1000" s="227" t="str">
        <f>IF(ISBLANK(Record!C1001),"",Record!C1001)</f>
        <v/>
      </c>
      <c r="D1000" t="str">
        <f>IF(ISBLANK(Record!D1001),"",Record!D1001)</f>
        <v/>
      </c>
      <c r="E1000" t="str">
        <f>IF(ISBLANK(Record!E1001),"",Record!E1001)</f>
        <v/>
      </c>
      <c r="M1000" t="str">
        <f t="shared" si="105"/>
        <v xml:space="preserve">          </v>
      </c>
      <c r="N1000" s="227" t="str">
        <f t="shared" si="106"/>
        <v/>
      </c>
      <c r="X1000" t="str">
        <f t="shared" si="107"/>
        <v xml:space="preserve">          </v>
      </c>
      <c r="Y1000" s="227" t="str">
        <f t="shared" si="108"/>
        <v/>
      </c>
      <c r="Z1000" t="str">
        <f t="shared" si="109"/>
        <v/>
      </c>
      <c r="AL1000" t="str">
        <f t="shared" si="110"/>
        <v/>
      </c>
      <c r="AM1000" t="str">
        <f t="shared" si="111"/>
        <v/>
      </c>
    </row>
    <row r="1001" spans="1:39">
      <c r="A1001" t="str">
        <f>IF(ISBLANK(Record!A1002),"",Record!A1002)</f>
        <v/>
      </c>
      <c r="B1001" t="str">
        <f>IF(ISBLANK(Record!B1002),"",Record!B1002)</f>
        <v/>
      </c>
      <c r="C1001" s="227" t="str">
        <f>IF(ISBLANK(Record!C1002),"",Record!C1002)</f>
        <v/>
      </c>
      <c r="D1001" t="str">
        <f>IF(ISBLANK(Record!D1002),"",Record!D1002)</f>
        <v/>
      </c>
      <c r="E1001" t="str">
        <f>IF(ISBLANK(Record!E1002),"",Record!E1002)</f>
        <v/>
      </c>
      <c r="M1001" t="str">
        <f t="shared" si="105"/>
        <v xml:space="preserve">          </v>
      </c>
      <c r="N1001" s="227" t="str">
        <f t="shared" si="106"/>
        <v/>
      </c>
      <c r="X1001" t="str">
        <f t="shared" si="107"/>
        <v xml:space="preserve">          </v>
      </c>
      <c r="Y1001" s="227" t="str">
        <f t="shared" si="108"/>
        <v/>
      </c>
      <c r="Z1001" t="str">
        <f t="shared" si="109"/>
        <v/>
      </c>
      <c r="AL1001" t="str">
        <f t="shared" si="110"/>
        <v/>
      </c>
      <c r="AM1001" t="str">
        <f t="shared" si="111"/>
        <v/>
      </c>
    </row>
    <row r="1002" spans="1:39">
      <c r="A1002" t="str">
        <f>IF(ISBLANK(Record!A1003),"",Record!A1003)</f>
        <v/>
      </c>
      <c r="B1002" t="str">
        <f>IF(ISBLANK(Record!B1003),"",Record!B1003)</f>
        <v/>
      </c>
      <c r="C1002" s="227" t="str">
        <f>IF(ISBLANK(Record!C1003),"",Record!C1003)</f>
        <v/>
      </c>
      <c r="D1002" t="str">
        <f>IF(ISBLANK(Record!D1003),"",Record!D1003)</f>
        <v/>
      </c>
      <c r="E1002" t="str">
        <f>IF(ISBLANK(Record!E1003),"",Record!E1003)</f>
        <v/>
      </c>
      <c r="M1002" t="str">
        <f t="shared" si="105"/>
        <v xml:space="preserve">          </v>
      </c>
      <c r="N1002" s="227" t="str">
        <f t="shared" si="106"/>
        <v/>
      </c>
      <c r="X1002" t="str">
        <f t="shared" si="107"/>
        <v xml:space="preserve">          </v>
      </c>
      <c r="Y1002" s="227" t="str">
        <f t="shared" si="108"/>
        <v/>
      </c>
      <c r="Z1002" t="str">
        <f t="shared" si="109"/>
        <v/>
      </c>
      <c r="AL1002" t="str">
        <f t="shared" si="110"/>
        <v/>
      </c>
      <c r="AM1002" t="str">
        <f t="shared" si="111"/>
        <v/>
      </c>
    </row>
    <row r="1003" spans="1:39">
      <c r="A1003" t="str">
        <f>IF(ISBLANK(Record!A1004),"",Record!A1004)</f>
        <v/>
      </c>
      <c r="B1003" t="str">
        <f>IF(ISBLANK(Record!B1004),"",Record!B1004)</f>
        <v/>
      </c>
      <c r="C1003" s="227" t="str">
        <f>IF(ISBLANK(Record!C1004),"",Record!C1004)</f>
        <v/>
      </c>
      <c r="D1003" t="str">
        <f>IF(ISBLANK(Record!D1004),"",Record!D1004)</f>
        <v/>
      </c>
      <c r="E1003" t="str">
        <f>IF(ISBLANK(Record!E1004),"",Record!E1004)</f>
        <v/>
      </c>
      <c r="M1003" t="str">
        <f t="shared" si="105"/>
        <v xml:space="preserve">          </v>
      </c>
      <c r="N1003" s="227" t="str">
        <f t="shared" si="106"/>
        <v/>
      </c>
      <c r="X1003" t="str">
        <f t="shared" si="107"/>
        <v xml:space="preserve">          </v>
      </c>
      <c r="Y1003" s="227" t="str">
        <f t="shared" si="108"/>
        <v/>
      </c>
      <c r="Z1003" t="str">
        <f t="shared" si="109"/>
        <v/>
      </c>
      <c r="AL1003" t="str">
        <f t="shared" si="110"/>
        <v/>
      </c>
      <c r="AM1003" t="str">
        <f t="shared" si="111"/>
        <v/>
      </c>
    </row>
    <row r="1004" spans="1:39">
      <c r="A1004" t="str">
        <f>IF(ISBLANK(Record!A1005),"",Record!A1005)</f>
        <v/>
      </c>
      <c r="B1004" t="str">
        <f>IF(ISBLANK(Record!B1005),"",Record!B1005)</f>
        <v/>
      </c>
      <c r="C1004" s="227" t="str">
        <f>IF(ISBLANK(Record!C1005),"",Record!C1005)</f>
        <v/>
      </c>
      <c r="D1004" t="str">
        <f>IF(ISBLANK(Record!D1005),"",Record!D1005)</f>
        <v/>
      </c>
      <c r="E1004" t="str">
        <f>IF(ISBLANK(Record!E1005),"",Record!E1005)</f>
        <v/>
      </c>
      <c r="M1004" t="str">
        <f t="shared" si="105"/>
        <v xml:space="preserve">          </v>
      </c>
      <c r="N1004" s="227" t="str">
        <f t="shared" si="106"/>
        <v/>
      </c>
      <c r="X1004" t="str">
        <f t="shared" si="107"/>
        <v xml:space="preserve">          </v>
      </c>
      <c r="Y1004" s="227" t="str">
        <f t="shared" si="108"/>
        <v/>
      </c>
      <c r="Z1004" t="str">
        <f t="shared" si="109"/>
        <v/>
      </c>
      <c r="AL1004" t="str">
        <f t="shared" si="110"/>
        <v/>
      </c>
      <c r="AM1004" t="str">
        <f t="shared" si="111"/>
        <v/>
      </c>
    </row>
    <row r="1005" spans="1:39">
      <c r="A1005" t="str">
        <f>IF(ISBLANK(Record!A1006),"",Record!A1006)</f>
        <v/>
      </c>
      <c r="B1005" t="str">
        <f>IF(ISBLANK(Record!B1006),"",Record!B1006)</f>
        <v/>
      </c>
      <c r="C1005" s="227" t="str">
        <f>IF(ISBLANK(Record!C1006),"",Record!C1006)</f>
        <v/>
      </c>
      <c r="D1005" t="str">
        <f>IF(ISBLANK(Record!D1006),"",Record!D1006)</f>
        <v/>
      </c>
      <c r="E1005" t="str">
        <f>IF(ISBLANK(Record!E1006),"",Record!E1006)</f>
        <v/>
      </c>
      <c r="M1005" t="str">
        <f t="shared" si="105"/>
        <v xml:space="preserve">          </v>
      </c>
      <c r="N1005" s="227" t="str">
        <f t="shared" si="106"/>
        <v/>
      </c>
      <c r="X1005" t="str">
        <f t="shared" si="107"/>
        <v xml:space="preserve">          </v>
      </c>
      <c r="Y1005" s="227" t="str">
        <f t="shared" si="108"/>
        <v/>
      </c>
      <c r="Z1005" t="str">
        <f t="shared" si="109"/>
        <v/>
      </c>
      <c r="AL1005" t="str">
        <f t="shared" si="110"/>
        <v/>
      </c>
      <c r="AM1005" t="str">
        <f t="shared" si="111"/>
        <v/>
      </c>
    </row>
    <row r="1006" spans="1:39">
      <c r="A1006" t="str">
        <f>IF(ISBLANK(Record!A1007),"",Record!A1007)</f>
        <v/>
      </c>
      <c r="B1006" t="str">
        <f>IF(ISBLANK(Record!B1007),"",Record!B1007)</f>
        <v/>
      </c>
      <c r="C1006" s="227" t="str">
        <f>IF(ISBLANK(Record!C1007),"",Record!C1007)</f>
        <v/>
      </c>
      <c r="D1006" t="str">
        <f>IF(ISBLANK(Record!D1007),"",Record!D1007)</f>
        <v/>
      </c>
      <c r="E1006" t="str">
        <f>IF(ISBLANK(Record!E1007),"",Record!E1007)</f>
        <v/>
      </c>
      <c r="M1006" t="str">
        <f t="shared" si="105"/>
        <v xml:space="preserve">          </v>
      </c>
      <c r="N1006" s="227" t="str">
        <f t="shared" si="106"/>
        <v/>
      </c>
      <c r="X1006" t="str">
        <f t="shared" si="107"/>
        <v xml:space="preserve">          </v>
      </c>
      <c r="Y1006" s="227" t="str">
        <f t="shared" si="108"/>
        <v/>
      </c>
      <c r="Z1006" t="str">
        <f t="shared" si="109"/>
        <v/>
      </c>
      <c r="AL1006" t="str">
        <f t="shared" si="110"/>
        <v/>
      </c>
      <c r="AM1006" t="str">
        <f t="shared" si="111"/>
        <v/>
      </c>
    </row>
    <row r="1007" spans="1:39">
      <c r="A1007" t="str">
        <f>IF(ISBLANK(Record!A1008),"",Record!A1008)</f>
        <v/>
      </c>
      <c r="B1007" t="str">
        <f>IF(ISBLANK(Record!B1008),"",Record!B1008)</f>
        <v/>
      </c>
      <c r="C1007" s="227" t="str">
        <f>IF(ISBLANK(Record!C1008),"",Record!C1008)</f>
        <v/>
      </c>
      <c r="D1007" t="str">
        <f>IF(ISBLANK(Record!D1008),"",Record!D1008)</f>
        <v/>
      </c>
      <c r="E1007" t="str">
        <f>IF(ISBLANK(Record!E1008),"",Record!E1008)</f>
        <v/>
      </c>
      <c r="M1007" t="str">
        <f t="shared" si="105"/>
        <v xml:space="preserve">          </v>
      </c>
      <c r="N1007" s="227" t="str">
        <f t="shared" si="106"/>
        <v/>
      </c>
      <c r="X1007" t="str">
        <f t="shared" si="107"/>
        <v xml:space="preserve">          </v>
      </c>
      <c r="Y1007" s="227" t="str">
        <f t="shared" si="108"/>
        <v/>
      </c>
      <c r="Z1007" t="str">
        <f t="shared" si="109"/>
        <v/>
      </c>
      <c r="AL1007" t="str">
        <f t="shared" si="110"/>
        <v/>
      </c>
      <c r="AM1007" t="str">
        <f t="shared" si="111"/>
        <v/>
      </c>
    </row>
    <row r="1008" spans="1:39">
      <c r="A1008" t="str">
        <f>IF(ISBLANK(Record!A1009),"",Record!A1009)</f>
        <v/>
      </c>
      <c r="B1008" t="str">
        <f>IF(ISBLANK(Record!B1009),"",Record!B1009)</f>
        <v/>
      </c>
      <c r="C1008" s="227" t="str">
        <f>IF(ISBLANK(Record!C1009),"",Record!C1009)</f>
        <v/>
      </c>
      <c r="D1008" t="str">
        <f>IF(ISBLANK(Record!D1009),"",Record!D1009)</f>
        <v/>
      </c>
      <c r="E1008" t="str">
        <f>IF(ISBLANK(Record!E1009),"",Record!E1009)</f>
        <v/>
      </c>
      <c r="M1008" t="str">
        <f t="shared" si="105"/>
        <v xml:space="preserve">          </v>
      </c>
      <c r="N1008" s="227" t="str">
        <f t="shared" si="106"/>
        <v/>
      </c>
      <c r="X1008" t="str">
        <f t="shared" si="107"/>
        <v xml:space="preserve">          </v>
      </c>
      <c r="Y1008" s="227" t="str">
        <f t="shared" si="108"/>
        <v/>
      </c>
      <c r="Z1008" t="str">
        <f t="shared" si="109"/>
        <v/>
      </c>
      <c r="AL1008" t="str">
        <f t="shared" si="110"/>
        <v/>
      </c>
      <c r="AM1008" t="str">
        <f t="shared" si="111"/>
        <v/>
      </c>
    </row>
    <row r="1009" spans="1:39">
      <c r="A1009" t="str">
        <f>IF(ISBLANK(Record!A1010),"",Record!A1010)</f>
        <v/>
      </c>
      <c r="B1009" t="str">
        <f>IF(ISBLANK(Record!B1010),"",Record!B1010)</f>
        <v/>
      </c>
      <c r="C1009" s="227" t="str">
        <f>IF(ISBLANK(Record!C1010),"",Record!C1010)</f>
        <v/>
      </c>
      <c r="D1009" t="str">
        <f>IF(ISBLANK(Record!D1010),"",Record!D1010)</f>
        <v/>
      </c>
      <c r="E1009" t="str">
        <f>IF(ISBLANK(Record!E1010),"",Record!E1010)</f>
        <v/>
      </c>
      <c r="M1009" t="str">
        <f t="shared" si="105"/>
        <v xml:space="preserve">          </v>
      </c>
      <c r="N1009" s="227" t="str">
        <f t="shared" si="106"/>
        <v/>
      </c>
      <c r="X1009" t="str">
        <f t="shared" si="107"/>
        <v xml:space="preserve">          </v>
      </c>
      <c r="Y1009" s="227" t="str">
        <f t="shared" si="108"/>
        <v/>
      </c>
      <c r="Z1009" t="str">
        <f t="shared" si="109"/>
        <v/>
      </c>
      <c r="AL1009" t="str">
        <f t="shared" si="110"/>
        <v/>
      </c>
      <c r="AM1009" t="str">
        <f t="shared" si="111"/>
        <v/>
      </c>
    </row>
    <row r="1010" spans="1:39">
      <c r="A1010" t="str">
        <f>IF(ISBLANK(Record!A1011),"",Record!A1011)</f>
        <v/>
      </c>
      <c r="B1010" t="str">
        <f>IF(ISBLANK(Record!B1011),"",Record!B1011)</f>
        <v/>
      </c>
      <c r="C1010" s="227" t="str">
        <f>IF(ISBLANK(Record!C1011),"",Record!C1011)</f>
        <v/>
      </c>
      <c r="D1010" t="str">
        <f>IF(ISBLANK(Record!D1011),"",Record!D1011)</f>
        <v/>
      </c>
      <c r="E1010" t="str">
        <f>IF(ISBLANK(Record!E1011),"",Record!E1011)</f>
        <v/>
      </c>
      <c r="M1010" t="str">
        <f t="shared" si="105"/>
        <v xml:space="preserve">          </v>
      </c>
      <c r="N1010" s="227" t="str">
        <f t="shared" si="106"/>
        <v/>
      </c>
      <c r="X1010" t="str">
        <f t="shared" si="107"/>
        <v xml:space="preserve">          </v>
      </c>
      <c r="Y1010" s="227" t="str">
        <f t="shared" si="108"/>
        <v/>
      </c>
      <c r="Z1010" t="str">
        <f t="shared" si="109"/>
        <v/>
      </c>
      <c r="AL1010" t="str">
        <f t="shared" si="110"/>
        <v/>
      </c>
      <c r="AM1010" t="str">
        <f t="shared" si="111"/>
        <v/>
      </c>
    </row>
    <row r="1011" spans="1:39">
      <c r="A1011" t="str">
        <f>IF(ISBLANK(Record!A1012),"",Record!A1012)</f>
        <v/>
      </c>
      <c r="B1011" t="str">
        <f>IF(ISBLANK(Record!B1012),"",Record!B1012)</f>
        <v/>
      </c>
      <c r="C1011" s="227" t="str">
        <f>IF(ISBLANK(Record!C1012),"",Record!C1012)</f>
        <v/>
      </c>
      <c r="D1011" t="str">
        <f>IF(ISBLANK(Record!D1012),"",Record!D1012)</f>
        <v/>
      </c>
      <c r="E1011" t="str">
        <f>IF(ISBLANK(Record!E1012),"",Record!E1012)</f>
        <v/>
      </c>
      <c r="M1011" t="str">
        <f t="shared" si="105"/>
        <v xml:space="preserve">          </v>
      </c>
      <c r="N1011" s="227" t="str">
        <f t="shared" si="106"/>
        <v/>
      </c>
      <c r="X1011" t="str">
        <f t="shared" si="107"/>
        <v xml:space="preserve">          </v>
      </c>
      <c r="Y1011" s="227" t="str">
        <f t="shared" si="108"/>
        <v/>
      </c>
      <c r="Z1011" t="str">
        <f t="shared" si="109"/>
        <v/>
      </c>
      <c r="AL1011" t="str">
        <f t="shared" si="110"/>
        <v/>
      </c>
      <c r="AM1011" t="str">
        <f t="shared" si="111"/>
        <v/>
      </c>
    </row>
    <row r="1012" spans="1:39">
      <c r="A1012" t="str">
        <f>IF(ISBLANK(Record!A1013),"",Record!A1013)</f>
        <v/>
      </c>
      <c r="B1012" t="str">
        <f>IF(ISBLANK(Record!B1013),"",Record!B1013)</f>
        <v/>
      </c>
      <c r="C1012" s="227" t="str">
        <f>IF(ISBLANK(Record!C1013),"",Record!C1013)</f>
        <v/>
      </c>
      <c r="D1012" t="str">
        <f>IF(ISBLANK(Record!D1013),"",Record!D1013)</f>
        <v/>
      </c>
      <c r="E1012" t="str">
        <f>IF(ISBLANK(Record!E1013),"",Record!E1013)</f>
        <v/>
      </c>
      <c r="M1012" t="str">
        <f t="shared" si="105"/>
        <v xml:space="preserve">          </v>
      </c>
      <c r="N1012" s="227" t="str">
        <f t="shared" si="106"/>
        <v/>
      </c>
      <c r="X1012" t="str">
        <f t="shared" si="107"/>
        <v xml:space="preserve">          </v>
      </c>
      <c r="Y1012" s="227" t="str">
        <f t="shared" si="108"/>
        <v/>
      </c>
      <c r="Z1012" t="str">
        <f t="shared" si="109"/>
        <v/>
      </c>
      <c r="AL1012" t="str">
        <f t="shared" si="110"/>
        <v/>
      </c>
      <c r="AM1012" t="str">
        <f t="shared" si="111"/>
        <v/>
      </c>
    </row>
    <row r="1013" spans="1:39">
      <c r="A1013" t="str">
        <f>IF(ISBLANK(Record!A1014),"",Record!A1014)</f>
        <v/>
      </c>
      <c r="B1013" t="str">
        <f>IF(ISBLANK(Record!B1014),"",Record!B1014)</f>
        <v/>
      </c>
      <c r="C1013" s="227" t="str">
        <f>IF(ISBLANK(Record!C1014),"",Record!C1014)</f>
        <v/>
      </c>
      <c r="D1013" t="str">
        <f>IF(ISBLANK(Record!D1014),"",Record!D1014)</f>
        <v/>
      </c>
      <c r="E1013" t="str">
        <f>IF(ISBLANK(Record!E1014),"",Record!E1014)</f>
        <v/>
      </c>
      <c r="M1013" t="str">
        <f t="shared" si="105"/>
        <v xml:space="preserve">          </v>
      </c>
      <c r="N1013" s="227" t="str">
        <f t="shared" si="106"/>
        <v/>
      </c>
      <c r="X1013" t="str">
        <f t="shared" si="107"/>
        <v xml:space="preserve">          </v>
      </c>
      <c r="Y1013" s="227" t="str">
        <f t="shared" si="108"/>
        <v/>
      </c>
      <c r="Z1013" t="str">
        <f t="shared" si="109"/>
        <v/>
      </c>
      <c r="AL1013" t="str">
        <f t="shared" si="110"/>
        <v/>
      </c>
      <c r="AM1013" t="str">
        <f t="shared" si="111"/>
        <v/>
      </c>
    </row>
    <row r="1014" spans="1:39">
      <c r="A1014" t="str">
        <f>IF(ISBLANK(Record!A1015),"",Record!A1015)</f>
        <v/>
      </c>
      <c r="B1014" t="str">
        <f>IF(ISBLANK(Record!B1015),"",Record!B1015)</f>
        <v/>
      </c>
      <c r="C1014" s="227" t="str">
        <f>IF(ISBLANK(Record!C1015),"",Record!C1015)</f>
        <v/>
      </c>
      <c r="D1014" t="str">
        <f>IF(ISBLANK(Record!D1015),"",Record!D1015)</f>
        <v/>
      </c>
      <c r="E1014" t="str">
        <f>IF(ISBLANK(Record!E1015),"",Record!E1015)</f>
        <v/>
      </c>
      <c r="M1014" t="str">
        <f t="shared" si="105"/>
        <v xml:space="preserve">          </v>
      </c>
      <c r="N1014" s="227" t="str">
        <f t="shared" si="106"/>
        <v/>
      </c>
      <c r="X1014" t="str">
        <f t="shared" si="107"/>
        <v xml:space="preserve">          </v>
      </c>
      <c r="Y1014" s="227" t="str">
        <f t="shared" si="108"/>
        <v/>
      </c>
      <c r="Z1014" t="str">
        <f t="shared" si="109"/>
        <v/>
      </c>
      <c r="AL1014" t="str">
        <f t="shared" si="110"/>
        <v/>
      </c>
      <c r="AM1014" t="str">
        <f t="shared" si="111"/>
        <v/>
      </c>
    </row>
    <row r="1015" spans="1:39">
      <c r="A1015" t="str">
        <f>IF(ISBLANK(Record!A1016),"",Record!A1016)</f>
        <v/>
      </c>
      <c r="B1015" t="str">
        <f>IF(ISBLANK(Record!B1016),"",Record!B1016)</f>
        <v/>
      </c>
      <c r="C1015" s="227" t="str">
        <f>IF(ISBLANK(Record!C1016),"",Record!C1016)</f>
        <v/>
      </c>
      <c r="D1015" t="str">
        <f>IF(ISBLANK(Record!D1016),"",Record!D1016)</f>
        <v/>
      </c>
      <c r="E1015" t="str">
        <f>IF(ISBLANK(Record!E1016),"",Record!E1016)</f>
        <v/>
      </c>
      <c r="M1015" t="str">
        <f t="shared" si="105"/>
        <v xml:space="preserve">          </v>
      </c>
      <c r="N1015" s="227" t="str">
        <f t="shared" si="106"/>
        <v/>
      </c>
      <c r="X1015" t="str">
        <f t="shared" si="107"/>
        <v xml:space="preserve">          </v>
      </c>
      <c r="Y1015" s="227" t="str">
        <f t="shared" si="108"/>
        <v/>
      </c>
      <c r="Z1015" t="str">
        <f t="shared" si="109"/>
        <v/>
      </c>
      <c r="AL1015" t="str">
        <f t="shared" si="110"/>
        <v/>
      </c>
      <c r="AM1015" t="str">
        <f t="shared" si="111"/>
        <v/>
      </c>
    </row>
    <row r="1016" spans="1:39">
      <c r="A1016" t="str">
        <f>IF(ISBLANK(Record!A1017),"",Record!A1017)</f>
        <v/>
      </c>
      <c r="B1016" t="str">
        <f>IF(ISBLANK(Record!B1017),"",Record!B1017)</f>
        <v/>
      </c>
      <c r="C1016" s="227" t="str">
        <f>IF(ISBLANK(Record!C1017),"",Record!C1017)</f>
        <v/>
      </c>
      <c r="D1016" t="str">
        <f>IF(ISBLANK(Record!D1017),"",Record!D1017)</f>
        <v/>
      </c>
      <c r="E1016" t="str">
        <f>IF(ISBLANK(Record!E1017),"",Record!E1017)</f>
        <v/>
      </c>
      <c r="M1016" t="str">
        <f t="shared" si="105"/>
        <v xml:space="preserve">          </v>
      </c>
      <c r="N1016" s="227" t="str">
        <f t="shared" si="106"/>
        <v/>
      </c>
      <c r="X1016" t="str">
        <f t="shared" si="107"/>
        <v xml:space="preserve">          </v>
      </c>
      <c r="Y1016" s="227" t="str">
        <f t="shared" si="108"/>
        <v/>
      </c>
      <c r="Z1016" t="str">
        <f t="shared" si="109"/>
        <v/>
      </c>
      <c r="AL1016" t="str">
        <f t="shared" si="110"/>
        <v/>
      </c>
      <c r="AM1016" t="str">
        <f t="shared" si="111"/>
        <v/>
      </c>
    </row>
    <row r="1017" spans="1:39">
      <c r="A1017" t="str">
        <f>IF(ISBLANK(Record!A1018),"",Record!A1018)</f>
        <v/>
      </c>
      <c r="B1017" t="str">
        <f>IF(ISBLANK(Record!B1018),"",Record!B1018)</f>
        <v/>
      </c>
      <c r="C1017" s="227" t="str">
        <f>IF(ISBLANK(Record!C1018),"",Record!C1018)</f>
        <v/>
      </c>
      <c r="D1017" t="str">
        <f>IF(ISBLANK(Record!D1018),"",Record!D1018)</f>
        <v/>
      </c>
      <c r="E1017" t="str">
        <f>IF(ISBLANK(Record!E1018),"",Record!E1018)</f>
        <v/>
      </c>
      <c r="M1017" t="str">
        <f t="shared" si="105"/>
        <v xml:space="preserve">          </v>
      </c>
      <c r="N1017" s="227" t="str">
        <f t="shared" si="106"/>
        <v/>
      </c>
      <c r="X1017" t="str">
        <f t="shared" si="107"/>
        <v xml:space="preserve">          </v>
      </c>
      <c r="Y1017" s="227" t="str">
        <f t="shared" si="108"/>
        <v/>
      </c>
      <c r="Z1017" t="str">
        <f t="shared" si="109"/>
        <v/>
      </c>
      <c r="AL1017" t="str">
        <f t="shared" si="110"/>
        <v/>
      </c>
      <c r="AM1017" t="str">
        <f t="shared" si="111"/>
        <v/>
      </c>
    </row>
    <row r="1018" spans="1:39">
      <c r="A1018" t="str">
        <f>IF(ISBLANK(Record!A1019),"",Record!A1019)</f>
        <v/>
      </c>
      <c r="B1018" t="str">
        <f>IF(ISBLANK(Record!B1019),"",Record!B1019)</f>
        <v/>
      </c>
      <c r="C1018" s="227" t="str">
        <f>IF(ISBLANK(Record!C1019),"",Record!C1019)</f>
        <v/>
      </c>
      <c r="D1018" t="str">
        <f>IF(ISBLANK(Record!D1019),"",Record!D1019)</f>
        <v/>
      </c>
      <c r="E1018" t="str">
        <f>IF(ISBLANK(Record!E1019),"",Record!E1019)</f>
        <v/>
      </c>
      <c r="M1018" t="str">
        <f t="shared" si="105"/>
        <v xml:space="preserve">          </v>
      </c>
      <c r="N1018" s="227" t="str">
        <f t="shared" si="106"/>
        <v/>
      </c>
      <c r="X1018" t="str">
        <f t="shared" si="107"/>
        <v xml:space="preserve">          </v>
      </c>
      <c r="Y1018" s="227" t="str">
        <f t="shared" si="108"/>
        <v/>
      </c>
      <c r="Z1018" t="str">
        <f t="shared" si="109"/>
        <v/>
      </c>
      <c r="AL1018" t="str">
        <f t="shared" si="110"/>
        <v/>
      </c>
      <c r="AM1018" t="str">
        <f t="shared" si="111"/>
        <v/>
      </c>
    </row>
    <row r="1019" spans="1:39">
      <c r="A1019" t="str">
        <f>IF(ISBLANK(Record!A1020),"",Record!A1020)</f>
        <v/>
      </c>
      <c r="B1019" t="str">
        <f>IF(ISBLANK(Record!B1020),"",Record!B1020)</f>
        <v/>
      </c>
      <c r="C1019" s="227" t="str">
        <f>IF(ISBLANK(Record!C1020),"",Record!C1020)</f>
        <v/>
      </c>
      <c r="D1019" t="str">
        <f>IF(ISBLANK(Record!D1020),"",Record!D1020)</f>
        <v/>
      </c>
      <c r="E1019" t="str">
        <f>IF(ISBLANK(Record!E1020),"",Record!E1020)</f>
        <v/>
      </c>
      <c r="M1019" t="str">
        <f t="shared" si="105"/>
        <v xml:space="preserve">          </v>
      </c>
      <c r="N1019" s="227" t="str">
        <f t="shared" si="106"/>
        <v/>
      </c>
      <c r="X1019" t="str">
        <f t="shared" si="107"/>
        <v xml:space="preserve">          </v>
      </c>
      <c r="Y1019" s="227" t="str">
        <f t="shared" si="108"/>
        <v/>
      </c>
      <c r="Z1019" t="str">
        <f t="shared" si="109"/>
        <v/>
      </c>
      <c r="AL1019" t="str">
        <f t="shared" si="110"/>
        <v/>
      </c>
      <c r="AM1019" t="str">
        <f t="shared" si="111"/>
        <v/>
      </c>
    </row>
    <row r="1020" spans="1:39">
      <c r="A1020" t="str">
        <f>IF(ISBLANK(Record!A1021),"",Record!A1021)</f>
        <v/>
      </c>
      <c r="B1020" t="str">
        <f>IF(ISBLANK(Record!B1021),"",Record!B1021)</f>
        <v/>
      </c>
      <c r="C1020" s="227" t="str">
        <f>IF(ISBLANK(Record!C1021),"",Record!C1021)</f>
        <v/>
      </c>
      <c r="D1020" t="str">
        <f>IF(ISBLANK(Record!D1021),"",Record!D1021)</f>
        <v/>
      </c>
      <c r="E1020" t="str">
        <f>IF(ISBLANK(Record!E1021),"",Record!E1021)</f>
        <v/>
      </c>
      <c r="M1020" t="str">
        <f t="shared" si="105"/>
        <v xml:space="preserve">          </v>
      </c>
      <c r="N1020" s="227" t="str">
        <f t="shared" si="106"/>
        <v/>
      </c>
      <c r="X1020" t="str">
        <f t="shared" si="107"/>
        <v xml:space="preserve">          </v>
      </c>
      <c r="Y1020" s="227" t="str">
        <f t="shared" si="108"/>
        <v/>
      </c>
      <c r="Z1020" t="str">
        <f t="shared" si="109"/>
        <v/>
      </c>
      <c r="AL1020" t="str">
        <f t="shared" si="110"/>
        <v/>
      </c>
      <c r="AM1020" t="str">
        <f t="shared" si="111"/>
        <v/>
      </c>
    </row>
    <row r="1021" spans="1:39">
      <c r="A1021" t="str">
        <f>IF(ISBLANK(Record!A1022),"",Record!A1022)</f>
        <v/>
      </c>
      <c r="B1021" t="str">
        <f>IF(ISBLANK(Record!B1022),"",Record!B1022)</f>
        <v/>
      </c>
      <c r="C1021" s="227" t="str">
        <f>IF(ISBLANK(Record!C1022),"",Record!C1022)</f>
        <v/>
      </c>
      <c r="D1021" t="str">
        <f>IF(ISBLANK(Record!D1022),"",Record!D1022)</f>
        <v/>
      </c>
      <c r="E1021" t="str">
        <f>IF(ISBLANK(Record!E1022),"",Record!E1022)</f>
        <v/>
      </c>
      <c r="M1021" t="str">
        <f t="shared" si="105"/>
        <v xml:space="preserve">          </v>
      </c>
      <c r="N1021" s="227" t="str">
        <f t="shared" si="106"/>
        <v/>
      </c>
      <c r="X1021" t="str">
        <f t="shared" si="107"/>
        <v xml:space="preserve">          </v>
      </c>
      <c r="Y1021" s="227" t="str">
        <f t="shared" si="108"/>
        <v/>
      </c>
      <c r="Z1021" t="str">
        <f t="shared" si="109"/>
        <v/>
      </c>
      <c r="AL1021" t="str">
        <f t="shared" si="110"/>
        <v/>
      </c>
      <c r="AM1021" t="str">
        <f t="shared" si="111"/>
        <v/>
      </c>
    </row>
    <row r="1022" spans="1:39">
      <c r="A1022" t="str">
        <f>IF(ISBLANK(Record!A1023),"",Record!A1023)</f>
        <v/>
      </c>
      <c r="B1022" t="str">
        <f>IF(ISBLANK(Record!B1023),"",Record!B1023)</f>
        <v/>
      </c>
      <c r="C1022" s="227" t="str">
        <f>IF(ISBLANK(Record!C1023),"",Record!C1023)</f>
        <v/>
      </c>
      <c r="D1022" t="str">
        <f>IF(ISBLANK(Record!D1023),"",Record!D1023)</f>
        <v/>
      </c>
      <c r="E1022" t="str">
        <f>IF(ISBLANK(Record!E1023),"",Record!E1023)</f>
        <v/>
      </c>
      <c r="M1022" t="str">
        <f t="shared" si="105"/>
        <v xml:space="preserve">          </v>
      </c>
      <c r="N1022" s="227" t="str">
        <f t="shared" si="106"/>
        <v/>
      </c>
      <c r="X1022" t="str">
        <f t="shared" si="107"/>
        <v xml:space="preserve">          </v>
      </c>
      <c r="Y1022" s="227" t="str">
        <f t="shared" si="108"/>
        <v/>
      </c>
      <c r="Z1022" t="str">
        <f t="shared" si="109"/>
        <v/>
      </c>
      <c r="AL1022" t="str">
        <f t="shared" si="110"/>
        <v/>
      </c>
      <c r="AM1022" t="str">
        <f t="shared" si="111"/>
        <v/>
      </c>
    </row>
    <row r="1023" spans="1:39">
      <c r="A1023" t="str">
        <f>IF(ISBLANK(Record!A1024),"",Record!A1024)</f>
        <v/>
      </c>
      <c r="B1023" t="str">
        <f>IF(ISBLANK(Record!B1024),"",Record!B1024)</f>
        <v/>
      </c>
      <c r="C1023" s="227" t="str">
        <f>IF(ISBLANK(Record!C1024),"",Record!C1024)</f>
        <v/>
      </c>
      <c r="D1023" t="str">
        <f>IF(ISBLANK(Record!D1024),"",Record!D1024)</f>
        <v/>
      </c>
      <c r="E1023" t="str">
        <f>IF(ISBLANK(Record!E1024),"",Record!E1024)</f>
        <v/>
      </c>
      <c r="M1023" t="str">
        <f t="shared" si="105"/>
        <v xml:space="preserve">          </v>
      </c>
      <c r="N1023" s="227" t="str">
        <f t="shared" si="106"/>
        <v/>
      </c>
      <c r="X1023" t="str">
        <f t="shared" si="107"/>
        <v xml:space="preserve">          </v>
      </c>
      <c r="Y1023" s="227" t="str">
        <f t="shared" si="108"/>
        <v/>
      </c>
      <c r="Z1023" t="str">
        <f t="shared" si="109"/>
        <v/>
      </c>
      <c r="AL1023" t="str">
        <f t="shared" si="110"/>
        <v/>
      </c>
      <c r="AM1023" t="str">
        <f t="shared" si="111"/>
        <v/>
      </c>
    </row>
    <row r="1024" spans="1:39">
      <c r="A1024" t="str">
        <f>IF(ISBLANK(Record!A1025),"",Record!A1025)</f>
        <v/>
      </c>
      <c r="B1024" t="str">
        <f>IF(ISBLANK(Record!B1025),"",Record!B1025)</f>
        <v/>
      </c>
      <c r="C1024" s="227" t="str">
        <f>IF(ISBLANK(Record!C1025),"",Record!C1025)</f>
        <v/>
      </c>
      <c r="D1024" t="str">
        <f>IF(ISBLANK(Record!D1025),"",Record!D1025)</f>
        <v/>
      </c>
      <c r="E1024" t="str">
        <f>IF(ISBLANK(Record!E1025),"",Record!E1025)</f>
        <v/>
      </c>
      <c r="M1024" t="str">
        <f t="shared" si="105"/>
        <v xml:space="preserve">          </v>
      </c>
      <c r="N1024" s="227" t="str">
        <f t="shared" si="106"/>
        <v/>
      </c>
      <c r="X1024" t="str">
        <f t="shared" si="107"/>
        <v xml:space="preserve">          </v>
      </c>
      <c r="Y1024" s="227" t="str">
        <f t="shared" si="108"/>
        <v/>
      </c>
      <c r="Z1024" t="str">
        <f t="shared" si="109"/>
        <v/>
      </c>
      <c r="AL1024" t="str">
        <f t="shared" si="110"/>
        <v/>
      </c>
      <c r="AM1024" t="str">
        <f t="shared" si="111"/>
        <v/>
      </c>
    </row>
    <row r="1025" spans="1:39">
      <c r="A1025" t="str">
        <f>IF(ISBLANK(Record!A1026),"",Record!A1026)</f>
        <v/>
      </c>
      <c r="B1025" t="str">
        <f>IF(ISBLANK(Record!B1026),"",Record!B1026)</f>
        <v/>
      </c>
      <c r="C1025" s="227" t="str">
        <f>IF(ISBLANK(Record!C1026),"",Record!C1026)</f>
        <v/>
      </c>
      <c r="D1025" t="str">
        <f>IF(ISBLANK(Record!D1026),"",Record!D1026)</f>
        <v/>
      </c>
      <c r="E1025" t="str">
        <f>IF(ISBLANK(Record!E1026),"",Record!E1026)</f>
        <v/>
      </c>
      <c r="M1025" t="str">
        <f t="shared" si="105"/>
        <v xml:space="preserve">          </v>
      </c>
      <c r="N1025" s="227" t="str">
        <f t="shared" si="106"/>
        <v/>
      </c>
      <c r="X1025" t="str">
        <f t="shared" si="107"/>
        <v xml:space="preserve">          </v>
      </c>
      <c r="Y1025" s="227" t="str">
        <f t="shared" si="108"/>
        <v/>
      </c>
      <c r="Z1025" t="str">
        <f t="shared" si="109"/>
        <v/>
      </c>
      <c r="AL1025" t="str">
        <f t="shared" si="110"/>
        <v/>
      </c>
      <c r="AM1025" t="str">
        <f t="shared" si="111"/>
        <v/>
      </c>
    </row>
    <row r="1026" spans="1:39">
      <c r="A1026" t="str">
        <f>IF(ISBLANK(Record!A1027),"",Record!A1027)</f>
        <v/>
      </c>
      <c r="B1026" t="str">
        <f>IF(ISBLANK(Record!B1027),"",Record!B1027)</f>
        <v/>
      </c>
      <c r="C1026" s="227" t="str">
        <f>IF(ISBLANK(Record!C1027),"",Record!C1027)</f>
        <v/>
      </c>
      <c r="D1026" t="str">
        <f>IF(ISBLANK(Record!D1027),"",Record!D1027)</f>
        <v/>
      </c>
      <c r="E1026" t="str">
        <f>IF(ISBLANK(Record!E1027),"",Record!E1027)</f>
        <v/>
      </c>
      <c r="M1026" t="str">
        <f t="shared" si="105"/>
        <v xml:space="preserve">          </v>
      </c>
      <c r="N1026" s="227" t="str">
        <f t="shared" si="106"/>
        <v/>
      </c>
      <c r="X1026" t="str">
        <f t="shared" si="107"/>
        <v xml:space="preserve">          </v>
      </c>
      <c r="Y1026" s="227" t="str">
        <f t="shared" si="108"/>
        <v/>
      </c>
      <c r="Z1026" t="str">
        <f t="shared" si="109"/>
        <v/>
      </c>
      <c r="AL1026" t="str">
        <f t="shared" si="110"/>
        <v/>
      </c>
      <c r="AM1026" t="str">
        <f t="shared" si="111"/>
        <v/>
      </c>
    </row>
    <row r="1027" spans="1:39">
      <c r="A1027" t="str">
        <f>IF(ISBLANK(Record!A1028),"",Record!A1028)</f>
        <v/>
      </c>
      <c r="B1027" t="str">
        <f>IF(ISBLANK(Record!B1028),"",Record!B1028)</f>
        <v/>
      </c>
      <c r="C1027" s="227" t="str">
        <f>IF(ISBLANK(Record!C1028),"",Record!C1028)</f>
        <v/>
      </c>
      <c r="D1027" t="str">
        <f>IF(ISBLANK(Record!D1028),"",Record!D1028)</f>
        <v/>
      </c>
      <c r="E1027" t="str">
        <f>IF(ISBLANK(Record!E1028),"",Record!E1028)</f>
        <v/>
      </c>
      <c r="M1027" t="str">
        <f t="shared" ref="M1027:M1090" si="112">RIGHT("                                   " &amp; A1027,10)</f>
        <v xml:space="preserve">          </v>
      </c>
      <c r="N1027" s="227" t="str">
        <f t="shared" ref="N1027:N1090" si="113">RIGHT(C1027,16)</f>
        <v/>
      </c>
      <c r="X1027" t="str">
        <f t="shared" ref="X1027:X1090" si="114">RIGHT("                                   " &amp; A1027,10)</f>
        <v xml:space="preserve">          </v>
      </c>
      <c r="Y1027" s="227" t="str">
        <f t="shared" ref="Y1027:Y1090" si="115">RIGHT(C1027,16)</f>
        <v/>
      </c>
      <c r="Z1027" t="str">
        <f t="shared" ref="Z1027:Z1090" si="116">RIGHT(D1027,8)</f>
        <v/>
      </c>
      <c r="AL1027" t="str">
        <f t="shared" ref="AL1027:AL1090" si="117">D1027</f>
        <v/>
      </c>
      <c r="AM1027" t="str">
        <f t="shared" ref="AM1027:AM1090" si="118">IF(E1027&lt;&gt;AL1027,E1027,E1027)</f>
        <v/>
      </c>
    </row>
    <row r="1028" spans="1:39">
      <c r="A1028" t="str">
        <f>IF(ISBLANK(Record!A1029),"",Record!A1029)</f>
        <v/>
      </c>
      <c r="B1028" t="str">
        <f>IF(ISBLANK(Record!B1029),"",Record!B1029)</f>
        <v/>
      </c>
      <c r="C1028" s="227" t="str">
        <f>IF(ISBLANK(Record!C1029),"",Record!C1029)</f>
        <v/>
      </c>
      <c r="D1028" t="str">
        <f>IF(ISBLANK(Record!D1029),"",Record!D1029)</f>
        <v/>
      </c>
      <c r="E1028" t="str">
        <f>IF(ISBLANK(Record!E1029),"",Record!E1029)</f>
        <v/>
      </c>
      <c r="M1028" t="str">
        <f t="shared" si="112"/>
        <v xml:space="preserve">          </v>
      </c>
      <c r="N1028" s="227" t="str">
        <f t="shared" si="113"/>
        <v/>
      </c>
      <c r="X1028" t="str">
        <f t="shared" si="114"/>
        <v xml:space="preserve">          </v>
      </c>
      <c r="Y1028" s="227" t="str">
        <f t="shared" si="115"/>
        <v/>
      </c>
      <c r="Z1028" t="str">
        <f t="shared" si="116"/>
        <v/>
      </c>
      <c r="AL1028" t="str">
        <f t="shared" si="117"/>
        <v/>
      </c>
      <c r="AM1028" t="str">
        <f t="shared" si="118"/>
        <v/>
      </c>
    </row>
    <row r="1029" spans="1:39">
      <c r="A1029" t="str">
        <f>IF(ISBLANK(Record!A1030),"",Record!A1030)</f>
        <v/>
      </c>
      <c r="B1029" t="str">
        <f>IF(ISBLANK(Record!B1030),"",Record!B1030)</f>
        <v/>
      </c>
      <c r="C1029" s="227" t="str">
        <f>IF(ISBLANK(Record!C1030),"",Record!C1030)</f>
        <v/>
      </c>
      <c r="D1029" t="str">
        <f>IF(ISBLANK(Record!D1030),"",Record!D1030)</f>
        <v/>
      </c>
      <c r="E1029" t="str">
        <f>IF(ISBLANK(Record!E1030),"",Record!E1030)</f>
        <v/>
      </c>
      <c r="M1029" t="str">
        <f t="shared" si="112"/>
        <v xml:space="preserve">          </v>
      </c>
      <c r="N1029" s="227" t="str">
        <f t="shared" si="113"/>
        <v/>
      </c>
      <c r="X1029" t="str">
        <f t="shared" si="114"/>
        <v xml:space="preserve">          </v>
      </c>
      <c r="Y1029" s="227" t="str">
        <f t="shared" si="115"/>
        <v/>
      </c>
      <c r="Z1029" t="str">
        <f t="shared" si="116"/>
        <v/>
      </c>
      <c r="AL1029" t="str">
        <f t="shared" si="117"/>
        <v/>
      </c>
      <c r="AM1029" t="str">
        <f t="shared" si="118"/>
        <v/>
      </c>
    </row>
    <row r="1030" spans="1:39">
      <c r="A1030" t="str">
        <f>IF(ISBLANK(Record!A1031),"",Record!A1031)</f>
        <v/>
      </c>
      <c r="B1030" t="str">
        <f>IF(ISBLANK(Record!B1031),"",Record!B1031)</f>
        <v/>
      </c>
      <c r="C1030" s="227" t="str">
        <f>IF(ISBLANK(Record!C1031),"",Record!C1031)</f>
        <v/>
      </c>
      <c r="D1030" t="str">
        <f>IF(ISBLANK(Record!D1031),"",Record!D1031)</f>
        <v/>
      </c>
      <c r="E1030" t="str">
        <f>IF(ISBLANK(Record!E1031),"",Record!E1031)</f>
        <v/>
      </c>
      <c r="M1030" t="str">
        <f t="shared" si="112"/>
        <v xml:space="preserve">          </v>
      </c>
      <c r="N1030" s="227" t="str">
        <f t="shared" si="113"/>
        <v/>
      </c>
      <c r="X1030" t="str">
        <f t="shared" si="114"/>
        <v xml:space="preserve">          </v>
      </c>
      <c r="Y1030" s="227" t="str">
        <f t="shared" si="115"/>
        <v/>
      </c>
      <c r="Z1030" t="str">
        <f t="shared" si="116"/>
        <v/>
      </c>
      <c r="AL1030" t="str">
        <f t="shared" si="117"/>
        <v/>
      </c>
      <c r="AM1030" t="str">
        <f t="shared" si="118"/>
        <v/>
      </c>
    </row>
    <row r="1031" spans="1:39">
      <c r="A1031" t="str">
        <f>IF(ISBLANK(Record!A1032),"",Record!A1032)</f>
        <v/>
      </c>
      <c r="B1031" t="str">
        <f>IF(ISBLANK(Record!B1032),"",Record!B1032)</f>
        <v/>
      </c>
      <c r="C1031" s="227" t="str">
        <f>IF(ISBLANK(Record!C1032),"",Record!C1032)</f>
        <v/>
      </c>
      <c r="D1031" t="str">
        <f>IF(ISBLANK(Record!D1032),"",Record!D1032)</f>
        <v/>
      </c>
      <c r="E1031" t="str">
        <f>IF(ISBLANK(Record!E1032),"",Record!E1032)</f>
        <v/>
      </c>
      <c r="M1031" t="str">
        <f t="shared" si="112"/>
        <v xml:space="preserve">          </v>
      </c>
      <c r="N1031" s="227" t="str">
        <f t="shared" si="113"/>
        <v/>
      </c>
      <c r="X1031" t="str">
        <f t="shared" si="114"/>
        <v xml:space="preserve">          </v>
      </c>
      <c r="Y1031" s="227" t="str">
        <f t="shared" si="115"/>
        <v/>
      </c>
      <c r="Z1031" t="str">
        <f t="shared" si="116"/>
        <v/>
      </c>
      <c r="AL1031" t="str">
        <f t="shared" si="117"/>
        <v/>
      </c>
      <c r="AM1031" t="str">
        <f t="shared" si="118"/>
        <v/>
      </c>
    </row>
    <row r="1032" spans="1:39">
      <c r="A1032" t="str">
        <f>IF(ISBLANK(Record!A1033),"",Record!A1033)</f>
        <v/>
      </c>
      <c r="B1032" t="str">
        <f>IF(ISBLANK(Record!B1033),"",Record!B1033)</f>
        <v/>
      </c>
      <c r="C1032" s="227" t="str">
        <f>IF(ISBLANK(Record!C1033),"",Record!C1033)</f>
        <v/>
      </c>
      <c r="D1032" t="str">
        <f>IF(ISBLANK(Record!D1033),"",Record!D1033)</f>
        <v/>
      </c>
      <c r="E1032" t="str">
        <f>IF(ISBLANK(Record!E1033),"",Record!E1033)</f>
        <v/>
      </c>
      <c r="M1032" t="str">
        <f t="shared" si="112"/>
        <v xml:space="preserve">          </v>
      </c>
      <c r="N1032" s="227" t="str">
        <f t="shared" si="113"/>
        <v/>
      </c>
      <c r="X1032" t="str">
        <f t="shared" si="114"/>
        <v xml:space="preserve">          </v>
      </c>
      <c r="Y1032" s="227" t="str">
        <f t="shared" si="115"/>
        <v/>
      </c>
      <c r="Z1032" t="str">
        <f t="shared" si="116"/>
        <v/>
      </c>
      <c r="AL1032" t="str">
        <f t="shared" si="117"/>
        <v/>
      </c>
      <c r="AM1032" t="str">
        <f t="shared" si="118"/>
        <v/>
      </c>
    </row>
    <row r="1033" spans="1:39">
      <c r="A1033" t="str">
        <f>IF(ISBLANK(Record!A1034),"",Record!A1034)</f>
        <v/>
      </c>
      <c r="B1033" t="str">
        <f>IF(ISBLANK(Record!B1034),"",Record!B1034)</f>
        <v/>
      </c>
      <c r="C1033" s="227" t="str">
        <f>IF(ISBLANK(Record!C1034),"",Record!C1034)</f>
        <v/>
      </c>
      <c r="D1033" t="str">
        <f>IF(ISBLANK(Record!D1034),"",Record!D1034)</f>
        <v/>
      </c>
      <c r="E1033" t="str">
        <f>IF(ISBLANK(Record!E1034),"",Record!E1034)</f>
        <v/>
      </c>
      <c r="M1033" t="str">
        <f t="shared" si="112"/>
        <v xml:space="preserve">          </v>
      </c>
      <c r="N1033" s="227" t="str">
        <f t="shared" si="113"/>
        <v/>
      </c>
      <c r="X1033" t="str">
        <f t="shared" si="114"/>
        <v xml:space="preserve">          </v>
      </c>
      <c r="Y1033" s="227" t="str">
        <f t="shared" si="115"/>
        <v/>
      </c>
      <c r="Z1033" t="str">
        <f t="shared" si="116"/>
        <v/>
      </c>
      <c r="AL1033" t="str">
        <f t="shared" si="117"/>
        <v/>
      </c>
      <c r="AM1033" t="str">
        <f t="shared" si="118"/>
        <v/>
      </c>
    </row>
    <row r="1034" spans="1:39">
      <c r="A1034" t="str">
        <f>IF(ISBLANK(Record!A1035),"",Record!A1035)</f>
        <v/>
      </c>
      <c r="B1034" t="str">
        <f>IF(ISBLANK(Record!B1035),"",Record!B1035)</f>
        <v/>
      </c>
      <c r="C1034" s="227" t="str">
        <f>IF(ISBLANK(Record!C1035),"",Record!C1035)</f>
        <v/>
      </c>
      <c r="D1034" t="str">
        <f>IF(ISBLANK(Record!D1035),"",Record!D1035)</f>
        <v/>
      </c>
      <c r="E1034" t="str">
        <f>IF(ISBLANK(Record!E1035),"",Record!E1035)</f>
        <v/>
      </c>
      <c r="M1034" t="str">
        <f t="shared" si="112"/>
        <v xml:space="preserve">          </v>
      </c>
      <c r="N1034" s="227" t="str">
        <f t="shared" si="113"/>
        <v/>
      </c>
      <c r="X1034" t="str">
        <f t="shared" si="114"/>
        <v xml:space="preserve">          </v>
      </c>
      <c r="Y1034" s="227" t="str">
        <f t="shared" si="115"/>
        <v/>
      </c>
      <c r="Z1034" t="str">
        <f t="shared" si="116"/>
        <v/>
      </c>
      <c r="AL1034" t="str">
        <f t="shared" si="117"/>
        <v/>
      </c>
      <c r="AM1034" t="str">
        <f t="shared" si="118"/>
        <v/>
      </c>
    </row>
    <row r="1035" spans="1:39">
      <c r="A1035" t="str">
        <f>IF(ISBLANK(Record!A1036),"",Record!A1036)</f>
        <v/>
      </c>
      <c r="B1035" t="str">
        <f>IF(ISBLANK(Record!B1036),"",Record!B1036)</f>
        <v/>
      </c>
      <c r="C1035" s="227" t="str">
        <f>IF(ISBLANK(Record!C1036),"",Record!C1036)</f>
        <v/>
      </c>
      <c r="D1035" t="str">
        <f>IF(ISBLANK(Record!D1036),"",Record!D1036)</f>
        <v/>
      </c>
      <c r="E1035" t="str">
        <f>IF(ISBLANK(Record!E1036),"",Record!E1036)</f>
        <v/>
      </c>
      <c r="M1035" t="str">
        <f t="shared" si="112"/>
        <v xml:space="preserve">          </v>
      </c>
      <c r="N1035" s="227" t="str">
        <f t="shared" si="113"/>
        <v/>
      </c>
      <c r="X1035" t="str">
        <f t="shared" si="114"/>
        <v xml:space="preserve">          </v>
      </c>
      <c r="Y1035" s="227" t="str">
        <f t="shared" si="115"/>
        <v/>
      </c>
      <c r="Z1035" t="str">
        <f t="shared" si="116"/>
        <v/>
      </c>
      <c r="AL1035" t="str">
        <f t="shared" si="117"/>
        <v/>
      </c>
      <c r="AM1035" t="str">
        <f t="shared" si="118"/>
        <v/>
      </c>
    </row>
    <row r="1036" spans="1:39">
      <c r="A1036" t="str">
        <f>IF(ISBLANK(Record!A1037),"",Record!A1037)</f>
        <v/>
      </c>
      <c r="B1036" t="str">
        <f>IF(ISBLANK(Record!B1037),"",Record!B1037)</f>
        <v/>
      </c>
      <c r="C1036" s="227" t="str">
        <f>IF(ISBLANK(Record!C1037),"",Record!C1037)</f>
        <v/>
      </c>
      <c r="D1036" t="str">
        <f>IF(ISBLANK(Record!D1037),"",Record!D1037)</f>
        <v/>
      </c>
      <c r="E1036" t="str">
        <f>IF(ISBLANK(Record!E1037),"",Record!E1037)</f>
        <v/>
      </c>
      <c r="M1036" t="str">
        <f t="shared" si="112"/>
        <v xml:space="preserve">          </v>
      </c>
      <c r="N1036" s="227" t="str">
        <f t="shared" si="113"/>
        <v/>
      </c>
      <c r="X1036" t="str">
        <f t="shared" si="114"/>
        <v xml:space="preserve">          </v>
      </c>
      <c r="Y1036" s="227" t="str">
        <f t="shared" si="115"/>
        <v/>
      </c>
      <c r="Z1036" t="str">
        <f t="shared" si="116"/>
        <v/>
      </c>
      <c r="AL1036" t="str">
        <f t="shared" si="117"/>
        <v/>
      </c>
      <c r="AM1036" t="str">
        <f t="shared" si="118"/>
        <v/>
      </c>
    </row>
    <row r="1037" spans="1:39">
      <c r="A1037" t="str">
        <f>IF(ISBLANK(Record!A1038),"",Record!A1038)</f>
        <v/>
      </c>
      <c r="B1037" t="str">
        <f>IF(ISBLANK(Record!B1038),"",Record!B1038)</f>
        <v/>
      </c>
      <c r="C1037" s="227" t="str">
        <f>IF(ISBLANK(Record!C1038),"",Record!C1038)</f>
        <v/>
      </c>
      <c r="D1037" t="str">
        <f>IF(ISBLANK(Record!D1038),"",Record!D1038)</f>
        <v/>
      </c>
      <c r="E1037" t="str">
        <f>IF(ISBLANK(Record!E1038),"",Record!E1038)</f>
        <v/>
      </c>
      <c r="M1037" t="str">
        <f t="shared" si="112"/>
        <v xml:space="preserve">          </v>
      </c>
      <c r="N1037" s="227" t="str">
        <f t="shared" si="113"/>
        <v/>
      </c>
      <c r="X1037" t="str">
        <f t="shared" si="114"/>
        <v xml:space="preserve">          </v>
      </c>
      <c r="Y1037" s="227" t="str">
        <f t="shared" si="115"/>
        <v/>
      </c>
      <c r="Z1037" t="str">
        <f t="shared" si="116"/>
        <v/>
      </c>
      <c r="AL1037" t="str">
        <f t="shared" si="117"/>
        <v/>
      </c>
      <c r="AM1037" t="str">
        <f t="shared" si="118"/>
        <v/>
      </c>
    </row>
    <row r="1038" spans="1:39">
      <c r="A1038" t="str">
        <f>IF(ISBLANK(Record!A1039),"",Record!A1039)</f>
        <v/>
      </c>
      <c r="B1038" t="str">
        <f>IF(ISBLANK(Record!B1039),"",Record!B1039)</f>
        <v/>
      </c>
      <c r="C1038" s="227" t="str">
        <f>IF(ISBLANK(Record!C1039),"",Record!C1039)</f>
        <v/>
      </c>
      <c r="D1038" t="str">
        <f>IF(ISBLANK(Record!D1039),"",Record!D1039)</f>
        <v/>
      </c>
      <c r="E1038" t="str">
        <f>IF(ISBLANK(Record!E1039),"",Record!E1039)</f>
        <v/>
      </c>
      <c r="M1038" t="str">
        <f t="shared" si="112"/>
        <v xml:space="preserve">          </v>
      </c>
      <c r="N1038" s="227" t="str">
        <f t="shared" si="113"/>
        <v/>
      </c>
      <c r="X1038" t="str">
        <f t="shared" si="114"/>
        <v xml:space="preserve">          </v>
      </c>
      <c r="Y1038" s="227" t="str">
        <f t="shared" si="115"/>
        <v/>
      </c>
      <c r="Z1038" t="str">
        <f t="shared" si="116"/>
        <v/>
      </c>
      <c r="AL1038" t="str">
        <f t="shared" si="117"/>
        <v/>
      </c>
      <c r="AM1038" t="str">
        <f t="shared" si="118"/>
        <v/>
      </c>
    </row>
    <row r="1039" spans="1:39">
      <c r="A1039" t="str">
        <f>IF(ISBLANK(Record!A1040),"",Record!A1040)</f>
        <v/>
      </c>
      <c r="B1039" t="str">
        <f>IF(ISBLANK(Record!B1040),"",Record!B1040)</f>
        <v/>
      </c>
      <c r="C1039" s="227" t="str">
        <f>IF(ISBLANK(Record!C1040),"",Record!C1040)</f>
        <v/>
      </c>
      <c r="D1039" t="str">
        <f>IF(ISBLANK(Record!D1040),"",Record!D1040)</f>
        <v/>
      </c>
      <c r="E1039" t="str">
        <f>IF(ISBLANK(Record!E1040),"",Record!E1040)</f>
        <v/>
      </c>
      <c r="M1039" t="str">
        <f t="shared" si="112"/>
        <v xml:space="preserve">          </v>
      </c>
      <c r="N1039" s="227" t="str">
        <f t="shared" si="113"/>
        <v/>
      </c>
      <c r="X1039" t="str">
        <f t="shared" si="114"/>
        <v xml:space="preserve">          </v>
      </c>
      <c r="Y1039" s="227" t="str">
        <f t="shared" si="115"/>
        <v/>
      </c>
      <c r="Z1039" t="str">
        <f t="shared" si="116"/>
        <v/>
      </c>
      <c r="AL1039" t="str">
        <f t="shared" si="117"/>
        <v/>
      </c>
      <c r="AM1039" t="str">
        <f t="shared" si="118"/>
        <v/>
      </c>
    </row>
    <row r="1040" spans="1:39">
      <c r="A1040" t="str">
        <f>IF(ISBLANK(Record!A1041),"",Record!A1041)</f>
        <v/>
      </c>
      <c r="B1040" t="str">
        <f>IF(ISBLANK(Record!B1041),"",Record!B1041)</f>
        <v/>
      </c>
      <c r="C1040" s="227" t="str">
        <f>IF(ISBLANK(Record!C1041),"",Record!C1041)</f>
        <v/>
      </c>
      <c r="D1040" t="str">
        <f>IF(ISBLANK(Record!D1041),"",Record!D1041)</f>
        <v/>
      </c>
      <c r="E1040" t="str">
        <f>IF(ISBLANK(Record!E1041),"",Record!E1041)</f>
        <v/>
      </c>
      <c r="M1040" t="str">
        <f t="shared" si="112"/>
        <v xml:space="preserve">          </v>
      </c>
      <c r="N1040" s="227" t="str">
        <f t="shared" si="113"/>
        <v/>
      </c>
      <c r="X1040" t="str">
        <f t="shared" si="114"/>
        <v xml:space="preserve">          </v>
      </c>
      <c r="Y1040" s="227" t="str">
        <f t="shared" si="115"/>
        <v/>
      </c>
      <c r="Z1040" t="str">
        <f t="shared" si="116"/>
        <v/>
      </c>
      <c r="AL1040" t="str">
        <f t="shared" si="117"/>
        <v/>
      </c>
      <c r="AM1040" t="str">
        <f t="shared" si="118"/>
        <v/>
      </c>
    </row>
    <row r="1041" spans="1:39">
      <c r="A1041" t="str">
        <f>IF(ISBLANK(Record!A1042),"",Record!A1042)</f>
        <v/>
      </c>
      <c r="B1041" t="str">
        <f>IF(ISBLANK(Record!B1042),"",Record!B1042)</f>
        <v/>
      </c>
      <c r="C1041" s="227" t="str">
        <f>IF(ISBLANK(Record!C1042),"",Record!C1042)</f>
        <v/>
      </c>
      <c r="D1041" t="str">
        <f>IF(ISBLANK(Record!D1042),"",Record!D1042)</f>
        <v/>
      </c>
      <c r="E1041" t="str">
        <f>IF(ISBLANK(Record!E1042),"",Record!E1042)</f>
        <v/>
      </c>
      <c r="M1041" t="str">
        <f t="shared" si="112"/>
        <v xml:space="preserve">          </v>
      </c>
      <c r="N1041" s="227" t="str">
        <f t="shared" si="113"/>
        <v/>
      </c>
      <c r="X1041" t="str">
        <f t="shared" si="114"/>
        <v xml:space="preserve">          </v>
      </c>
      <c r="Y1041" s="227" t="str">
        <f t="shared" si="115"/>
        <v/>
      </c>
      <c r="Z1041" t="str">
        <f t="shared" si="116"/>
        <v/>
      </c>
      <c r="AL1041" t="str">
        <f t="shared" si="117"/>
        <v/>
      </c>
      <c r="AM1041" t="str">
        <f t="shared" si="118"/>
        <v/>
      </c>
    </row>
    <row r="1042" spans="1:39">
      <c r="A1042" t="str">
        <f>IF(ISBLANK(Record!A1043),"",Record!A1043)</f>
        <v/>
      </c>
      <c r="B1042" t="str">
        <f>IF(ISBLANK(Record!B1043),"",Record!B1043)</f>
        <v/>
      </c>
      <c r="C1042" s="227" t="str">
        <f>IF(ISBLANK(Record!C1043),"",Record!C1043)</f>
        <v/>
      </c>
      <c r="D1042" t="str">
        <f>IF(ISBLANK(Record!D1043),"",Record!D1043)</f>
        <v/>
      </c>
      <c r="E1042" t="str">
        <f>IF(ISBLANK(Record!E1043),"",Record!E1043)</f>
        <v/>
      </c>
      <c r="M1042" t="str">
        <f t="shared" si="112"/>
        <v xml:space="preserve">          </v>
      </c>
      <c r="N1042" s="227" t="str">
        <f t="shared" si="113"/>
        <v/>
      </c>
      <c r="X1042" t="str">
        <f t="shared" si="114"/>
        <v xml:space="preserve">          </v>
      </c>
      <c r="Y1042" s="227" t="str">
        <f t="shared" si="115"/>
        <v/>
      </c>
      <c r="Z1042" t="str">
        <f t="shared" si="116"/>
        <v/>
      </c>
      <c r="AL1042" t="str">
        <f t="shared" si="117"/>
        <v/>
      </c>
      <c r="AM1042" t="str">
        <f t="shared" si="118"/>
        <v/>
      </c>
    </row>
    <row r="1043" spans="1:39">
      <c r="A1043" t="str">
        <f>IF(ISBLANK(Record!A1044),"",Record!A1044)</f>
        <v/>
      </c>
      <c r="B1043" t="str">
        <f>IF(ISBLANK(Record!B1044),"",Record!B1044)</f>
        <v/>
      </c>
      <c r="C1043" s="227" t="str">
        <f>IF(ISBLANK(Record!C1044),"",Record!C1044)</f>
        <v/>
      </c>
      <c r="D1043" t="str">
        <f>IF(ISBLANK(Record!D1044),"",Record!D1044)</f>
        <v/>
      </c>
      <c r="E1043" t="str">
        <f>IF(ISBLANK(Record!E1044),"",Record!E1044)</f>
        <v/>
      </c>
      <c r="M1043" t="str">
        <f t="shared" si="112"/>
        <v xml:space="preserve">          </v>
      </c>
      <c r="N1043" s="227" t="str">
        <f t="shared" si="113"/>
        <v/>
      </c>
      <c r="X1043" t="str">
        <f t="shared" si="114"/>
        <v xml:space="preserve">          </v>
      </c>
      <c r="Y1043" s="227" t="str">
        <f t="shared" si="115"/>
        <v/>
      </c>
      <c r="Z1043" t="str">
        <f t="shared" si="116"/>
        <v/>
      </c>
      <c r="AL1043" t="str">
        <f t="shared" si="117"/>
        <v/>
      </c>
      <c r="AM1043" t="str">
        <f t="shared" si="118"/>
        <v/>
      </c>
    </row>
    <row r="1044" spans="1:39">
      <c r="A1044" t="str">
        <f>IF(ISBLANK(Record!A1045),"",Record!A1045)</f>
        <v/>
      </c>
      <c r="B1044" t="str">
        <f>IF(ISBLANK(Record!B1045),"",Record!B1045)</f>
        <v/>
      </c>
      <c r="C1044" s="227" t="str">
        <f>IF(ISBLANK(Record!C1045),"",Record!C1045)</f>
        <v/>
      </c>
      <c r="D1044" t="str">
        <f>IF(ISBLANK(Record!D1045),"",Record!D1045)</f>
        <v/>
      </c>
      <c r="E1044" t="str">
        <f>IF(ISBLANK(Record!E1045),"",Record!E1045)</f>
        <v/>
      </c>
      <c r="M1044" t="str">
        <f t="shared" si="112"/>
        <v xml:space="preserve">          </v>
      </c>
      <c r="N1044" s="227" t="str">
        <f t="shared" si="113"/>
        <v/>
      </c>
      <c r="X1044" t="str">
        <f t="shared" si="114"/>
        <v xml:space="preserve">          </v>
      </c>
      <c r="Y1044" s="227" t="str">
        <f t="shared" si="115"/>
        <v/>
      </c>
      <c r="Z1044" t="str">
        <f t="shared" si="116"/>
        <v/>
      </c>
      <c r="AL1044" t="str">
        <f t="shared" si="117"/>
        <v/>
      </c>
      <c r="AM1044" t="str">
        <f t="shared" si="118"/>
        <v/>
      </c>
    </row>
    <row r="1045" spans="1:39">
      <c r="A1045" t="str">
        <f>IF(ISBLANK(Record!A1046),"",Record!A1046)</f>
        <v/>
      </c>
      <c r="B1045" t="str">
        <f>IF(ISBLANK(Record!B1046),"",Record!B1046)</f>
        <v/>
      </c>
      <c r="C1045" s="227" t="str">
        <f>IF(ISBLANK(Record!C1046),"",Record!C1046)</f>
        <v/>
      </c>
      <c r="D1045" t="str">
        <f>IF(ISBLANK(Record!D1046),"",Record!D1046)</f>
        <v/>
      </c>
      <c r="E1045" t="str">
        <f>IF(ISBLANK(Record!E1046),"",Record!E1046)</f>
        <v/>
      </c>
      <c r="M1045" t="str">
        <f t="shared" si="112"/>
        <v xml:space="preserve">          </v>
      </c>
      <c r="N1045" s="227" t="str">
        <f t="shared" si="113"/>
        <v/>
      </c>
      <c r="X1045" t="str">
        <f t="shared" si="114"/>
        <v xml:space="preserve">          </v>
      </c>
      <c r="Y1045" s="227" t="str">
        <f t="shared" si="115"/>
        <v/>
      </c>
      <c r="Z1045" t="str">
        <f t="shared" si="116"/>
        <v/>
      </c>
      <c r="AL1045" t="str">
        <f t="shared" si="117"/>
        <v/>
      </c>
      <c r="AM1045" t="str">
        <f t="shared" si="118"/>
        <v/>
      </c>
    </row>
    <row r="1046" spans="1:39">
      <c r="A1046" t="str">
        <f>IF(ISBLANK(Record!A1047),"",Record!A1047)</f>
        <v/>
      </c>
      <c r="B1046" t="str">
        <f>IF(ISBLANK(Record!B1047),"",Record!B1047)</f>
        <v/>
      </c>
      <c r="C1046" s="227" t="str">
        <f>IF(ISBLANK(Record!C1047),"",Record!C1047)</f>
        <v/>
      </c>
      <c r="D1046" t="str">
        <f>IF(ISBLANK(Record!D1047),"",Record!D1047)</f>
        <v/>
      </c>
      <c r="E1046" t="str">
        <f>IF(ISBLANK(Record!E1047),"",Record!E1047)</f>
        <v/>
      </c>
      <c r="M1046" t="str">
        <f t="shared" si="112"/>
        <v xml:space="preserve">          </v>
      </c>
      <c r="N1046" s="227" t="str">
        <f t="shared" si="113"/>
        <v/>
      </c>
      <c r="X1046" t="str">
        <f t="shared" si="114"/>
        <v xml:space="preserve">          </v>
      </c>
      <c r="Y1046" s="227" t="str">
        <f t="shared" si="115"/>
        <v/>
      </c>
      <c r="Z1046" t="str">
        <f t="shared" si="116"/>
        <v/>
      </c>
      <c r="AL1046" t="str">
        <f t="shared" si="117"/>
        <v/>
      </c>
      <c r="AM1046" t="str">
        <f t="shared" si="118"/>
        <v/>
      </c>
    </row>
    <row r="1047" spans="1:39">
      <c r="A1047" t="str">
        <f>IF(ISBLANK(Record!A1048),"",Record!A1048)</f>
        <v/>
      </c>
      <c r="B1047" t="str">
        <f>IF(ISBLANK(Record!B1048),"",Record!B1048)</f>
        <v/>
      </c>
      <c r="C1047" s="227" t="str">
        <f>IF(ISBLANK(Record!C1048),"",Record!C1048)</f>
        <v/>
      </c>
      <c r="D1047" t="str">
        <f>IF(ISBLANK(Record!D1048),"",Record!D1048)</f>
        <v/>
      </c>
      <c r="E1047" t="str">
        <f>IF(ISBLANK(Record!E1048),"",Record!E1048)</f>
        <v/>
      </c>
      <c r="M1047" t="str">
        <f t="shared" si="112"/>
        <v xml:space="preserve">          </v>
      </c>
      <c r="N1047" s="227" t="str">
        <f t="shared" si="113"/>
        <v/>
      </c>
      <c r="X1047" t="str">
        <f t="shared" si="114"/>
        <v xml:space="preserve">          </v>
      </c>
      <c r="Y1047" s="227" t="str">
        <f t="shared" si="115"/>
        <v/>
      </c>
      <c r="Z1047" t="str">
        <f t="shared" si="116"/>
        <v/>
      </c>
      <c r="AL1047" t="str">
        <f t="shared" si="117"/>
        <v/>
      </c>
      <c r="AM1047" t="str">
        <f t="shared" si="118"/>
        <v/>
      </c>
    </row>
    <row r="1048" spans="1:39">
      <c r="A1048" t="str">
        <f>IF(ISBLANK(Record!A1049),"",Record!A1049)</f>
        <v/>
      </c>
      <c r="B1048" t="str">
        <f>IF(ISBLANK(Record!B1049),"",Record!B1049)</f>
        <v/>
      </c>
      <c r="C1048" s="227" t="str">
        <f>IF(ISBLANK(Record!C1049),"",Record!C1049)</f>
        <v/>
      </c>
      <c r="D1048" t="str">
        <f>IF(ISBLANK(Record!D1049),"",Record!D1049)</f>
        <v/>
      </c>
      <c r="E1048" t="str">
        <f>IF(ISBLANK(Record!E1049),"",Record!E1049)</f>
        <v/>
      </c>
      <c r="M1048" t="str">
        <f t="shared" si="112"/>
        <v xml:space="preserve">          </v>
      </c>
      <c r="N1048" s="227" t="str">
        <f t="shared" si="113"/>
        <v/>
      </c>
      <c r="X1048" t="str">
        <f t="shared" si="114"/>
        <v xml:space="preserve">          </v>
      </c>
      <c r="Y1048" s="227" t="str">
        <f t="shared" si="115"/>
        <v/>
      </c>
      <c r="Z1048" t="str">
        <f t="shared" si="116"/>
        <v/>
      </c>
      <c r="AL1048" t="str">
        <f t="shared" si="117"/>
        <v/>
      </c>
      <c r="AM1048" t="str">
        <f t="shared" si="118"/>
        <v/>
      </c>
    </row>
    <row r="1049" spans="1:39">
      <c r="A1049" t="str">
        <f>IF(ISBLANK(Record!A1050),"",Record!A1050)</f>
        <v/>
      </c>
      <c r="B1049" t="str">
        <f>IF(ISBLANK(Record!B1050),"",Record!B1050)</f>
        <v/>
      </c>
      <c r="C1049" s="227" t="str">
        <f>IF(ISBLANK(Record!C1050),"",Record!C1050)</f>
        <v/>
      </c>
      <c r="D1049" t="str">
        <f>IF(ISBLANK(Record!D1050),"",Record!D1050)</f>
        <v/>
      </c>
      <c r="E1049" t="str">
        <f>IF(ISBLANK(Record!E1050),"",Record!E1050)</f>
        <v/>
      </c>
      <c r="M1049" t="str">
        <f t="shared" si="112"/>
        <v xml:space="preserve">          </v>
      </c>
      <c r="N1049" s="227" t="str">
        <f t="shared" si="113"/>
        <v/>
      </c>
      <c r="X1049" t="str">
        <f t="shared" si="114"/>
        <v xml:space="preserve">          </v>
      </c>
      <c r="Y1049" s="227" t="str">
        <f t="shared" si="115"/>
        <v/>
      </c>
      <c r="Z1049" t="str">
        <f t="shared" si="116"/>
        <v/>
      </c>
      <c r="AL1049" t="str">
        <f t="shared" si="117"/>
        <v/>
      </c>
      <c r="AM1049" t="str">
        <f t="shared" si="118"/>
        <v/>
      </c>
    </row>
    <row r="1050" spans="1:39">
      <c r="A1050" t="str">
        <f>IF(ISBLANK(Record!A1051),"",Record!A1051)</f>
        <v/>
      </c>
      <c r="B1050" t="str">
        <f>IF(ISBLANK(Record!B1051),"",Record!B1051)</f>
        <v/>
      </c>
      <c r="C1050" s="227" t="str">
        <f>IF(ISBLANK(Record!C1051),"",Record!C1051)</f>
        <v/>
      </c>
      <c r="D1050" t="str">
        <f>IF(ISBLANK(Record!D1051),"",Record!D1051)</f>
        <v/>
      </c>
      <c r="E1050" t="str">
        <f>IF(ISBLANK(Record!E1051),"",Record!E1051)</f>
        <v/>
      </c>
      <c r="M1050" t="str">
        <f t="shared" si="112"/>
        <v xml:space="preserve">          </v>
      </c>
      <c r="N1050" s="227" t="str">
        <f t="shared" si="113"/>
        <v/>
      </c>
      <c r="X1050" t="str">
        <f t="shared" si="114"/>
        <v xml:space="preserve">          </v>
      </c>
      <c r="Y1050" s="227" t="str">
        <f t="shared" si="115"/>
        <v/>
      </c>
      <c r="Z1050" t="str">
        <f t="shared" si="116"/>
        <v/>
      </c>
      <c r="AL1050" t="str">
        <f t="shared" si="117"/>
        <v/>
      </c>
      <c r="AM1050" t="str">
        <f t="shared" si="118"/>
        <v/>
      </c>
    </row>
    <row r="1051" spans="1:39">
      <c r="A1051" t="str">
        <f>IF(ISBLANK(Record!A1052),"",Record!A1052)</f>
        <v/>
      </c>
      <c r="B1051" t="str">
        <f>IF(ISBLANK(Record!B1052),"",Record!B1052)</f>
        <v/>
      </c>
      <c r="C1051" s="227" t="str">
        <f>IF(ISBLANK(Record!C1052),"",Record!C1052)</f>
        <v/>
      </c>
      <c r="D1051" t="str">
        <f>IF(ISBLANK(Record!D1052),"",Record!D1052)</f>
        <v/>
      </c>
      <c r="E1051" t="str">
        <f>IF(ISBLANK(Record!E1052),"",Record!E1052)</f>
        <v/>
      </c>
      <c r="M1051" t="str">
        <f t="shared" si="112"/>
        <v xml:space="preserve">          </v>
      </c>
      <c r="N1051" s="227" t="str">
        <f t="shared" si="113"/>
        <v/>
      </c>
      <c r="X1051" t="str">
        <f t="shared" si="114"/>
        <v xml:space="preserve">          </v>
      </c>
      <c r="Y1051" s="227" t="str">
        <f t="shared" si="115"/>
        <v/>
      </c>
      <c r="Z1051" t="str">
        <f t="shared" si="116"/>
        <v/>
      </c>
      <c r="AL1051" t="str">
        <f t="shared" si="117"/>
        <v/>
      </c>
      <c r="AM1051" t="str">
        <f t="shared" si="118"/>
        <v/>
      </c>
    </row>
    <row r="1052" spans="1:39">
      <c r="A1052" t="str">
        <f>IF(ISBLANK(Record!A1053),"",Record!A1053)</f>
        <v/>
      </c>
      <c r="B1052" t="str">
        <f>IF(ISBLANK(Record!B1053),"",Record!B1053)</f>
        <v/>
      </c>
      <c r="C1052" s="227" t="str">
        <f>IF(ISBLANK(Record!C1053),"",Record!C1053)</f>
        <v/>
      </c>
      <c r="D1052" t="str">
        <f>IF(ISBLANK(Record!D1053),"",Record!D1053)</f>
        <v/>
      </c>
      <c r="E1052" t="str">
        <f>IF(ISBLANK(Record!E1053),"",Record!E1053)</f>
        <v/>
      </c>
      <c r="M1052" t="str">
        <f t="shared" si="112"/>
        <v xml:space="preserve">          </v>
      </c>
      <c r="N1052" s="227" t="str">
        <f t="shared" si="113"/>
        <v/>
      </c>
      <c r="X1052" t="str">
        <f t="shared" si="114"/>
        <v xml:space="preserve">          </v>
      </c>
      <c r="Y1052" s="227" t="str">
        <f t="shared" si="115"/>
        <v/>
      </c>
      <c r="Z1052" t="str">
        <f t="shared" si="116"/>
        <v/>
      </c>
      <c r="AL1052" t="str">
        <f t="shared" si="117"/>
        <v/>
      </c>
      <c r="AM1052" t="str">
        <f t="shared" si="118"/>
        <v/>
      </c>
    </row>
    <row r="1053" spans="1:39">
      <c r="A1053" t="str">
        <f>IF(ISBLANK(Record!A1054),"",Record!A1054)</f>
        <v/>
      </c>
      <c r="B1053" t="str">
        <f>IF(ISBLANK(Record!B1054),"",Record!B1054)</f>
        <v/>
      </c>
      <c r="C1053" s="227" t="str">
        <f>IF(ISBLANK(Record!C1054),"",Record!C1054)</f>
        <v/>
      </c>
      <c r="D1053" t="str">
        <f>IF(ISBLANK(Record!D1054),"",Record!D1054)</f>
        <v/>
      </c>
      <c r="E1053" t="str">
        <f>IF(ISBLANK(Record!E1054),"",Record!E1054)</f>
        <v/>
      </c>
      <c r="M1053" t="str">
        <f t="shared" si="112"/>
        <v xml:space="preserve">          </v>
      </c>
      <c r="N1053" s="227" t="str">
        <f t="shared" si="113"/>
        <v/>
      </c>
      <c r="X1053" t="str">
        <f t="shared" si="114"/>
        <v xml:space="preserve">          </v>
      </c>
      <c r="Y1053" s="227" t="str">
        <f t="shared" si="115"/>
        <v/>
      </c>
      <c r="Z1053" t="str">
        <f t="shared" si="116"/>
        <v/>
      </c>
      <c r="AL1053" t="str">
        <f t="shared" si="117"/>
        <v/>
      </c>
      <c r="AM1053" t="str">
        <f t="shared" si="118"/>
        <v/>
      </c>
    </row>
    <row r="1054" spans="1:39">
      <c r="A1054" t="str">
        <f>IF(ISBLANK(Record!A1055),"",Record!A1055)</f>
        <v/>
      </c>
      <c r="B1054" t="str">
        <f>IF(ISBLANK(Record!B1055),"",Record!B1055)</f>
        <v/>
      </c>
      <c r="C1054" s="227" t="str">
        <f>IF(ISBLANK(Record!C1055),"",Record!C1055)</f>
        <v/>
      </c>
      <c r="D1054" t="str">
        <f>IF(ISBLANK(Record!D1055),"",Record!D1055)</f>
        <v/>
      </c>
      <c r="E1054" t="str">
        <f>IF(ISBLANK(Record!E1055),"",Record!E1055)</f>
        <v/>
      </c>
      <c r="M1054" t="str">
        <f t="shared" si="112"/>
        <v xml:space="preserve">          </v>
      </c>
      <c r="N1054" s="227" t="str">
        <f t="shared" si="113"/>
        <v/>
      </c>
      <c r="X1054" t="str">
        <f t="shared" si="114"/>
        <v xml:space="preserve">          </v>
      </c>
      <c r="Y1054" s="227" t="str">
        <f t="shared" si="115"/>
        <v/>
      </c>
      <c r="Z1054" t="str">
        <f t="shared" si="116"/>
        <v/>
      </c>
      <c r="AL1054" t="str">
        <f t="shared" si="117"/>
        <v/>
      </c>
      <c r="AM1054" t="str">
        <f t="shared" si="118"/>
        <v/>
      </c>
    </row>
    <row r="1055" spans="1:39">
      <c r="A1055" t="str">
        <f>IF(ISBLANK(Record!A1056),"",Record!A1056)</f>
        <v/>
      </c>
      <c r="B1055" t="str">
        <f>IF(ISBLANK(Record!B1056),"",Record!B1056)</f>
        <v/>
      </c>
      <c r="C1055" s="227" t="str">
        <f>IF(ISBLANK(Record!C1056),"",Record!C1056)</f>
        <v/>
      </c>
      <c r="D1055" t="str">
        <f>IF(ISBLANK(Record!D1056),"",Record!D1056)</f>
        <v/>
      </c>
      <c r="E1055" t="str">
        <f>IF(ISBLANK(Record!E1056),"",Record!E1056)</f>
        <v/>
      </c>
      <c r="M1055" t="str">
        <f t="shared" si="112"/>
        <v xml:space="preserve">          </v>
      </c>
      <c r="N1055" s="227" t="str">
        <f t="shared" si="113"/>
        <v/>
      </c>
      <c r="X1055" t="str">
        <f t="shared" si="114"/>
        <v xml:space="preserve">          </v>
      </c>
      <c r="Y1055" s="227" t="str">
        <f t="shared" si="115"/>
        <v/>
      </c>
      <c r="Z1055" t="str">
        <f t="shared" si="116"/>
        <v/>
      </c>
      <c r="AL1055" t="str">
        <f t="shared" si="117"/>
        <v/>
      </c>
      <c r="AM1055" t="str">
        <f t="shared" si="118"/>
        <v/>
      </c>
    </row>
    <row r="1056" spans="1:39">
      <c r="A1056" t="str">
        <f>IF(ISBLANK(Record!A1057),"",Record!A1057)</f>
        <v/>
      </c>
      <c r="B1056" t="str">
        <f>IF(ISBLANK(Record!B1057),"",Record!B1057)</f>
        <v/>
      </c>
      <c r="C1056" s="227" t="str">
        <f>IF(ISBLANK(Record!C1057),"",Record!C1057)</f>
        <v/>
      </c>
      <c r="D1056" t="str">
        <f>IF(ISBLANK(Record!D1057),"",Record!D1057)</f>
        <v/>
      </c>
      <c r="E1056" t="str">
        <f>IF(ISBLANK(Record!E1057),"",Record!E1057)</f>
        <v/>
      </c>
      <c r="M1056" t="str">
        <f t="shared" si="112"/>
        <v xml:space="preserve">          </v>
      </c>
      <c r="N1056" s="227" t="str">
        <f t="shared" si="113"/>
        <v/>
      </c>
      <c r="X1056" t="str">
        <f t="shared" si="114"/>
        <v xml:space="preserve">          </v>
      </c>
      <c r="Y1056" s="227" t="str">
        <f t="shared" si="115"/>
        <v/>
      </c>
      <c r="Z1056" t="str">
        <f t="shared" si="116"/>
        <v/>
      </c>
      <c r="AL1056" t="str">
        <f t="shared" si="117"/>
        <v/>
      </c>
      <c r="AM1056" t="str">
        <f t="shared" si="118"/>
        <v/>
      </c>
    </row>
    <row r="1057" spans="1:39">
      <c r="A1057" t="str">
        <f>IF(ISBLANK(Record!A1058),"",Record!A1058)</f>
        <v/>
      </c>
      <c r="B1057" t="str">
        <f>IF(ISBLANK(Record!B1058),"",Record!B1058)</f>
        <v/>
      </c>
      <c r="C1057" s="227" t="str">
        <f>IF(ISBLANK(Record!C1058),"",Record!C1058)</f>
        <v/>
      </c>
      <c r="D1057" t="str">
        <f>IF(ISBLANK(Record!D1058),"",Record!D1058)</f>
        <v/>
      </c>
      <c r="E1057" t="str">
        <f>IF(ISBLANK(Record!E1058),"",Record!E1058)</f>
        <v/>
      </c>
      <c r="M1057" t="str">
        <f t="shared" si="112"/>
        <v xml:space="preserve">          </v>
      </c>
      <c r="N1057" s="227" t="str">
        <f t="shared" si="113"/>
        <v/>
      </c>
      <c r="X1057" t="str">
        <f t="shared" si="114"/>
        <v xml:space="preserve">          </v>
      </c>
      <c r="Y1057" s="227" t="str">
        <f t="shared" si="115"/>
        <v/>
      </c>
      <c r="Z1057" t="str">
        <f t="shared" si="116"/>
        <v/>
      </c>
      <c r="AL1057" t="str">
        <f t="shared" si="117"/>
        <v/>
      </c>
      <c r="AM1057" t="str">
        <f t="shared" si="118"/>
        <v/>
      </c>
    </row>
    <row r="1058" spans="1:39">
      <c r="A1058" t="str">
        <f>IF(ISBLANK(Record!A1059),"",Record!A1059)</f>
        <v/>
      </c>
      <c r="B1058" t="str">
        <f>IF(ISBLANK(Record!B1059),"",Record!B1059)</f>
        <v/>
      </c>
      <c r="C1058" s="227" t="str">
        <f>IF(ISBLANK(Record!C1059),"",Record!C1059)</f>
        <v/>
      </c>
      <c r="D1058" t="str">
        <f>IF(ISBLANK(Record!D1059),"",Record!D1059)</f>
        <v/>
      </c>
      <c r="E1058" t="str">
        <f>IF(ISBLANK(Record!E1059),"",Record!E1059)</f>
        <v/>
      </c>
      <c r="M1058" t="str">
        <f t="shared" si="112"/>
        <v xml:space="preserve">          </v>
      </c>
      <c r="N1058" s="227" t="str">
        <f t="shared" si="113"/>
        <v/>
      </c>
      <c r="X1058" t="str">
        <f t="shared" si="114"/>
        <v xml:space="preserve">          </v>
      </c>
      <c r="Y1058" s="227" t="str">
        <f t="shared" si="115"/>
        <v/>
      </c>
      <c r="Z1058" t="str">
        <f t="shared" si="116"/>
        <v/>
      </c>
      <c r="AL1058" t="str">
        <f t="shared" si="117"/>
        <v/>
      </c>
      <c r="AM1058" t="str">
        <f t="shared" si="118"/>
        <v/>
      </c>
    </row>
    <row r="1059" spans="1:39">
      <c r="A1059" t="str">
        <f>IF(ISBLANK(Record!A1060),"",Record!A1060)</f>
        <v/>
      </c>
      <c r="B1059" t="str">
        <f>IF(ISBLANK(Record!B1060),"",Record!B1060)</f>
        <v/>
      </c>
      <c r="C1059" s="227" t="str">
        <f>IF(ISBLANK(Record!C1060),"",Record!C1060)</f>
        <v/>
      </c>
      <c r="D1059" t="str">
        <f>IF(ISBLANK(Record!D1060),"",Record!D1060)</f>
        <v/>
      </c>
      <c r="E1059" t="str">
        <f>IF(ISBLANK(Record!E1060),"",Record!E1060)</f>
        <v/>
      </c>
      <c r="M1059" t="str">
        <f t="shared" si="112"/>
        <v xml:space="preserve">          </v>
      </c>
      <c r="N1059" s="227" t="str">
        <f t="shared" si="113"/>
        <v/>
      </c>
      <c r="X1059" t="str">
        <f t="shared" si="114"/>
        <v xml:space="preserve">          </v>
      </c>
      <c r="Y1059" s="227" t="str">
        <f t="shared" si="115"/>
        <v/>
      </c>
      <c r="Z1059" t="str">
        <f t="shared" si="116"/>
        <v/>
      </c>
      <c r="AL1059" t="str">
        <f t="shared" si="117"/>
        <v/>
      </c>
      <c r="AM1059" t="str">
        <f t="shared" si="118"/>
        <v/>
      </c>
    </row>
    <row r="1060" spans="1:39">
      <c r="A1060" t="str">
        <f>IF(ISBLANK(Record!A1061),"",Record!A1061)</f>
        <v/>
      </c>
      <c r="B1060" t="str">
        <f>IF(ISBLANK(Record!B1061),"",Record!B1061)</f>
        <v/>
      </c>
      <c r="C1060" s="227" t="str">
        <f>IF(ISBLANK(Record!C1061),"",Record!C1061)</f>
        <v/>
      </c>
      <c r="D1060" t="str">
        <f>IF(ISBLANK(Record!D1061),"",Record!D1061)</f>
        <v/>
      </c>
      <c r="E1060" t="str">
        <f>IF(ISBLANK(Record!E1061),"",Record!E1061)</f>
        <v/>
      </c>
      <c r="M1060" t="str">
        <f t="shared" si="112"/>
        <v xml:space="preserve">          </v>
      </c>
      <c r="N1060" s="227" t="str">
        <f t="shared" si="113"/>
        <v/>
      </c>
      <c r="X1060" t="str">
        <f t="shared" si="114"/>
        <v xml:space="preserve">          </v>
      </c>
      <c r="Y1060" s="227" t="str">
        <f t="shared" si="115"/>
        <v/>
      </c>
      <c r="Z1060" t="str">
        <f t="shared" si="116"/>
        <v/>
      </c>
      <c r="AL1060" t="str">
        <f t="shared" si="117"/>
        <v/>
      </c>
      <c r="AM1060" t="str">
        <f t="shared" si="118"/>
        <v/>
      </c>
    </row>
    <row r="1061" spans="1:39">
      <c r="A1061" t="str">
        <f>IF(ISBLANK(Record!A1062),"",Record!A1062)</f>
        <v/>
      </c>
      <c r="B1061" t="str">
        <f>IF(ISBLANK(Record!B1062),"",Record!B1062)</f>
        <v/>
      </c>
      <c r="C1061" s="227" t="str">
        <f>IF(ISBLANK(Record!C1062),"",Record!C1062)</f>
        <v/>
      </c>
      <c r="D1061" t="str">
        <f>IF(ISBLANK(Record!D1062),"",Record!D1062)</f>
        <v/>
      </c>
      <c r="E1061" t="str">
        <f>IF(ISBLANK(Record!E1062),"",Record!E1062)</f>
        <v/>
      </c>
      <c r="M1061" t="str">
        <f t="shared" si="112"/>
        <v xml:space="preserve">          </v>
      </c>
      <c r="N1061" s="227" t="str">
        <f t="shared" si="113"/>
        <v/>
      </c>
      <c r="X1061" t="str">
        <f t="shared" si="114"/>
        <v xml:space="preserve">          </v>
      </c>
      <c r="Y1061" s="227" t="str">
        <f t="shared" si="115"/>
        <v/>
      </c>
      <c r="Z1061" t="str">
        <f t="shared" si="116"/>
        <v/>
      </c>
      <c r="AL1061" t="str">
        <f t="shared" si="117"/>
        <v/>
      </c>
      <c r="AM1061" t="str">
        <f t="shared" si="118"/>
        <v/>
      </c>
    </row>
    <row r="1062" spans="1:39">
      <c r="A1062" t="str">
        <f>IF(ISBLANK(Record!A1063),"",Record!A1063)</f>
        <v/>
      </c>
      <c r="B1062" t="str">
        <f>IF(ISBLANK(Record!B1063),"",Record!B1063)</f>
        <v/>
      </c>
      <c r="C1062" s="227" t="str">
        <f>IF(ISBLANK(Record!C1063),"",Record!C1063)</f>
        <v/>
      </c>
      <c r="D1062" t="str">
        <f>IF(ISBLANK(Record!D1063),"",Record!D1063)</f>
        <v/>
      </c>
      <c r="E1062" t="str">
        <f>IF(ISBLANK(Record!E1063),"",Record!E1063)</f>
        <v/>
      </c>
      <c r="M1062" t="str">
        <f t="shared" si="112"/>
        <v xml:space="preserve">          </v>
      </c>
      <c r="N1062" s="227" t="str">
        <f t="shared" si="113"/>
        <v/>
      </c>
      <c r="X1062" t="str">
        <f t="shared" si="114"/>
        <v xml:space="preserve">          </v>
      </c>
      <c r="Y1062" s="227" t="str">
        <f t="shared" si="115"/>
        <v/>
      </c>
      <c r="Z1062" t="str">
        <f t="shared" si="116"/>
        <v/>
      </c>
      <c r="AL1062" t="str">
        <f t="shared" si="117"/>
        <v/>
      </c>
      <c r="AM1062" t="str">
        <f t="shared" si="118"/>
        <v/>
      </c>
    </row>
    <row r="1063" spans="1:39">
      <c r="A1063" t="str">
        <f>IF(ISBLANK(Record!A1064),"",Record!A1064)</f>
        <v/>
      </c>
      <c r="B1063" t="str">
        <f>IF(ISBLANK(Record!B1064),"",Record!B1064)</f>
        <v/>
      </c>
      <c r="C1063" s="227" t="str">
        <f>IF(ISBLANK(Record!C1064),"",Record!C1064)</f>
        <v/>
      </c>
      <c r="D1063" t="str">
        <f>IF(ISBLANK(Record!D1064),"",Record!D1064)</f>
        <v/>
      </c>
      <c r="E1063" t="str">
        <f>IF(ISBLANK(Record!E1064),"",Record!E1064)</f>
        <v/>
      </c>
      <c r="M1063" t="str">
        <f t="shared" si="112"/>
        <v xml:space="preserve">          </v>
      </c>
      <c r="N1063" s="227" t="str">
        <f t="shared" si="113"/>
        <v/>
      </c>
      <c r="X1063" t="str">
        <f t="shared" si="114"/>
        <v xml:space="preserve">          </v>
      </c>
      <c r="Y1063" s="227" t="str">
        <f t="shared" si="115"/>
        <v/>
      </c>
      <c r="Z1063" t="str">
        <f t="shared" si="116"/>
        <v/>
      </c>
      <c r="AL1063" t="str">
        <f t="shared" si="117"/>
        <v/>
      </c>
      <c r="AM1063" t="str">
        <f t="shared" si="118"/>
        <v/>
      </c>
    </row>
    <row r="1064" spans="1:39">
      <c r="A1064" t="str">
        <f>IF(ISBLANK(Record!A1065),"",Record!A1065)</f>
        <v/>
      </c>
      <c r="B1064" t="str">
        <f>IF(ISBLANK(Record!B1065),"",Record!B1065)</f>
        <v/>
      </c>
      <c r="C1064" s="227" t="str">
        <f>IF(ISBLANK(Record!C1065),"",Record!C1065)</f>
        <v/>
      </c>
      <c r="D1064" t="str">
        <f>IF(ISBLANK(Record!D1065),"",Record!D1065)</f>
        <v/>
      </c>
      <c r="E1064" t="str">
        <f>IF(ISBLANK(Record!E1065),"",Record!E1065)</f>
        <v/>
      </c>
      <c r="M1064" t="str">
        <f t="shared" si="112"/>
        <v xml:space="preserve">          </v>
      </c>
      <c r="N1064" s="227" t="str">
        <f t="shared" si="113"/>
        <v/>
      </c>
      <c r="X1064" t="str">
        <f t="shared" si="114"/>
        <v xml:space="preserve">          </v>
      </c>
      <c r="Y1064" s="227" t="str">
        <f t="shared" si="115"/>
        <v/>
      </c>
      <c r="Z1064" t="str">
        <f t="shared" si="116"/>
        <v/>
      </c>
      <c r="AL1064" t="str">
        <f t="shared" si="117"/>
        <v/>
      </c>
      <c r="AM1064" t="str">
        <f t="shared" si="118"/>
        <v/>
      </c>
    </row>
    <row r="1065" spans="1:39">
      <c r="A1065" t="str">
        <f>IF(ISBLANK(Record!A1066),"",Record!A1066)</f>
        <v/>
      </c>
      <c r="B1065" t="str">
        <f>IF(ISBLANK(Record!B1066),"",Record!B1066)</f>
        <v/>
      </c>
      <c r="C1065" s="227" t="str">
        <f>IF(ISBLANK(Record!C1066),"",Record!C1066)</f>
        <v/>
      </c>
      <c r="D1065" t="str">
        <f>IF(ISBLANK(Record!D1066),"",Record!D1066)</f>
        <v/>
      </c>
      <c r="E1065" t="str">
        <f>IF(ISBLANK(Record!E1066),"",Record!E1066)</f>
        <v/>
      </c>
      <c r="M1065" t="str">
        <f t="shared" si="112"/>
        <v xml:space="preserve">          </v>
      </c>
      <c r="N1065" s="227" t="str">
        <f t="shared" si="113"/>
        <v/>
      </c>
      <c r="X1065" t="str">
        <f t="shared" si="114"/>
        <v xml:space="preserve">          </v>
      </c>
      <c r="Y1065" s="227" t="str">
        <f t="shared" si="115"/>
        <v/>
      </c>
      <c r="Z1065" t="str">
        <f t="shared" si="116"/>
        <v/>
      </c>
      <c r="AL1065" t="str">
        <f t="shared" si="117"/>
        <v/>
      </c>
      <c r="AM1065" t="str">
        <f t="shared" si="118"/>
        <v/>
      </c>
    </row>
    <row r="1066" spans="1:39">
      <c r="A1066" t="str">
        <f>IF(ISBLANK(Record!A1067),"",Record!A1067)</f>
        <v/>
      </c>
      <c r="B1066" t="str">
        <f>IF(ISBLANK(Record!B1067),"",Record!B1067)</f>
        <v/>
      </c>
      <c r="C1066" s="227" t="str">
        <f>IF(ISBLANK(Record!C1067),"",Record!C1067)</f>
        <v/>
      </c>
      <c r="D1066" t="str">
        <f>IF(ISBLANK(Record!D1067),"",Record!D1067)</f>
        <v/>
      </c>
      <c r="E1066" t="str">
        <f>IF(ISBLANK(Record!E1067),"",Record!E1067)</f>
        <v/>
      </c>
      <c r="M1066" t="str">
        <f t="shared" si="112"/>
        <v xml:space="preserve">          </v>
      </c>
      <c r="N1066" s="227" t="str">
        <f t="shared" si="113"/>
        <v/>
      </c>
      <c r="X1066" t="str">
        <f t="shared" si="114"/>
        <v xml:space="preserve">          </v>
      </c>
      <c r="Y1066" s="227" t="str">
        <f t="shared" si="115"/>
        <v/>
      </c>
      <c r="Z1066" t="str">
        <f t="shared" si="116"/>
        <v/>
      </c>
      <c r="AL1066" t="str">
        <f t="shared" si="117"/>
        <v/>
      </c>
      <c r="AM1066" t="str">
        <f t="shared" si="118"/>
        <v/>
      </c>
    </row>
    <row r="1067" spans="1:39">
      <c r="A1067" t="str">
        <f>IF(ISBLANK(Record!A1068),"",Record!A1068)</f>
        <v/>
      </c>
      <c r="B1067" t="str">
        <f>IF(ISBLANK(Record!B1068),"",Record!B1068)</f>
        <v/>
      </c>
      <c r="C1067" s="227" t="str">
        <f>IF(ISBLANK(Record!C1068),"",Record!C1068)</f>
        <v/>
      </c>
      <c r="D1067" t="str">
        <f>IF(ISBLANK(Record!D1068),"",Record!D1068)</f>
        <v/>
      </c>
      <c r="E1067" t="str">
        <f>IF(ISBLANK(Record!E1068),"",Record!E1068)</f>
        <v/>
      </c>
      <c r="M1067" t="str">
        <f t="shared" si="112"/>
        <v xml:space="preserve">          </v>
      </c>
      <c r="N1067" s="227" t="str">
        <f t="shared" si="113"/>
        <v/>
      </c>
      <c r="X1067" t="str">
        <f t="shared" si="114"/>
        <v xml:space="preserve">          </v>
      </c>
      <c r="Y1067" s="227" t="str">
        <f t="shared" si="115"/>
        <v/>
      </c>
      <c r="Z1067" t="str">
        <f t="shared" si="116"/>
        <v/>
      </c>
      <c r="AL1067" t="str">
        <f t="shared" si="117"/>
        <v/>
      </c>
      <c r="AM1067" t="str">
        <f t="shared" si="118"/>
        <v/>
      </c>
    </row>
    <row r="1068" spans="1:39">
      <c r="A1068" t="str">
        <f>IF(ISBLANK(Record!A1069),"",Record!A1069)</f>
        <v/>
      </c>
      <c r="B1068" t="str">
        <f>IF(ISBLANK(Record!B1069),"",Record!B1069)</f>
        <v/>
      </c>
      <c r="C1068" s="227" t="str">
        <f>IF(ISBLANK(Record!C1069),"",Record!C1069)</f>
        <v/>
      </c>
      <c r="D1068" t="str">
        <f>IF(ISBLANK(Record!D1069),"",Record!D1069)</f>
        <v/>
      </c>
      <c r="E1068" t="str">
        <f>IF(ISBLANK(Record!E1069),"",Record!E1069)</f>
        <v/>
      </c>
      <c r="M1068" t="str">
        <f t="shared" si="112"/>
        <v xml:space="preserve">          </v>
      </c>
      <c r="N1068" s="227" t="str">
        <f t="shared" si="113"/>
        <v/>
      </c>
      <c r="X1068" t="str">
        <f t="shared" si="114"/>
        <v xml:space="preserve">          </v>
      </c>
      <c r="Y1068" s="227" t="str">
        <f t="shared" si="115"/>
        <v/>
      </c>
      <c r="Z1068" t="str">
        <f t="shared" si="116"/>
        <v/>
      </c>
      <c r="AL1068" t="str">
        <f t="shared" si="117"/>
        <v/>
      </c>
      <c r="AM1068" t="str">
        <f t="shared" si="118"/>
        <v/>
      </c>
    </row>
    <row r="1069" spans="1:39">
      <c r="A1069" t="str">
        <f>IF(ISBLANK(Record!A1070),"",Record!A1070)</f>
        <v/>
      </c>
      <c r="B1069" t="str">
        <f>IF(ISBLANK(Record!B1070),"",Record!B1070)</f>
        <v/>
      </c>
      <c r="C1069" s="227" t="str">
        <f>IF(ISBLANK(Record!C1070),"",Record!C1070)</f>
        <v/>
      </c>
      <c r="D1069" t="str">
        <f>IF(ISBLANK(Record!D1070),"",Record!D1070)</f>
        <v/>
      </c>
      <c r="E1069" t="str">
        <f>IF(ISBLANK(Record!E1070),"",Record!E1070)</f>
        <v/>
      </c>
      <c r="M1069" t="str">
        <f t="shared" si="112"/>
        <v xml:space="preserve">          </v>
      </c>
      <c r="N1069" s="227" t="str">
        <f t="shared" si="113"/>
        <v/>
      </c>
      <c r="X1069" t="str">
        <f t="shared" si="114"/>
        <v xml:space="preserve">          </v>
      </c>
      <c r="Y1069" s="227" t="str">
        <f t="shared" si="115"/>
        <v/>
      </c>
      <c r="Z1069" t="str">
        <f t="shared" si="116"/>
        <v/>
      </c>
      <c r="AL1069" t="str">
        <f t="shared" si="117"/>
        <v/>
      </c>
      <c r="AM1069" t="str">
        <f t="shared" si="118"/>
        <v/>
      </c>
    </row>
    <row r="1070" spans="1:39">
      <c r="A1070" t="str">
        <f>IF(ISBLANK(Record!A1071),"",Record!A1071)</f>
        <v/>
      </c>
      <c r="B1070" t="str">
        <f>IF(ISBLANK(Record!B1071),"",Record!B1071)</f>
        <v/>
      </c>
      <c r="C1070" s="227" t="str">
        <f>IF(ISBLANK(Record!C1071),"",Record!C1071)</f>
        <v/>
      </c>
      <c r="D1070" t="str">
        <f>IF(ISBLANK(Record!D1071),"",Record!D1071)</f>
        <v/>
      </c>
      <c r="E1070" t="str">
        <f>IF(ISBLANK(Record!E1071),"",Record!E1071)</f>
        <v/>
      </c>
      <c r="M1070" t="str">
        <f t="shared" si="112"/>
        <v xml:space="preserve">          </v>
      </c>
      <c r="N1070" s="227" t="str">
        <f t="shared" si="113"/>
        <v/>
      </c>
      <c r="X1070" t="str">
        <f t="shared" si="114"/>
        <v xml:space="preserve">          </v>
      </c>
      <c r="Y1070" s="227" t="str">
        <f t="shared" si="115"/>
        <v/>
      </c>
      <c r="Z1070" t="str">
        <f t="shared" si="116"/>
        <v/>
      </c>
      <c r="AL1070" t="str">
        <f t="shared" si="117"/>
        <v/>
      </c>
      <c r="AM1070" t="str">
        <f t="shared" si="118"/>
        <v/>
      </c>
    </row>
    <row r="1071" spans="1:39">
      <c r="A1071" t="str">
        <f>IF(ISBLANK(Record!A1072),"",Record!A1072)</f>
        <v/>
      </c>
      <c r="B1071" t="str">
        <f>IF(ISBLANK(Record!B1072),"",Record!B1072)</f>
        <v/>
      </c>
      <c r="C1071" s="227" t="str">
        <f>IF(ISBLANK(Record!C1072),"",Record!C1072)</f>
        <v/>
      </c>
      <c r="D1071" t="str">
        <f>IF(ISBLANK(Record!D1072),"",Record!D1072)</f>
        <v/>
      </c>
      <c r="E1071" t="str">
        <f>IF(ISBLANK(Record!E1072),"",Record!E1072)</f>
        <v/>
      </c>
      <c r="M1071" t="str">
        <f t="shared" si="112"/>
        <v xml:space="preserve">          </v>
      </c>
      <c r="N1071" s="227" t="str">
        <f t="shared" si="113"/>
        <v/>
      </c>
      <c r="X1071" t="str">
        <f t="shared" si="114"/>
        <v xml:space="preserve">          </v>
      </c>
      <c r="Y1071" s="227" t="str">
        <f t="shared" si="115"/>
        <v/>
      </c>
      <c r="Z1071" t="str">
        <f t="shared" si="116"/>
        <v/>
      </c>
      <c r="AL1071" t="str">
        <f t="shared" si="117"/>
        <v/>
      </c>
      <c r="AM1071" t="str">
        <f t="shared" si="118"/>
        <v/>
      </c>
    </row>
    <row r="1072" spans="1:39">
      <c r="A1072" t="str">
        <f>IF(ISBLANK(Record!A1073),"",Record!A1073)</f>
        <v/>
      </c>
      <c r="B1072" t="str">
        <f>IF(ISBLANK(Record!B1073),"",Record!B1073)</f>
        <v/>
      </c>
      <c r="C1072" s="227" t="str">
        <f>IF(ISBLANK(Record!C1073),"",Record!C1073)</f>
        <v/>
      </c>
      <c r="D1072" t="str">
        <f>IF(ISBLANK(Record!D1073),"",Record!D1073)</f>
        <v/>
      </c>
      <c r="E1072" t="str">
        <f>IF(ISBLANK(Record!E1073),"",Record!E1073)</f>
        <v/>
      </c>
      <c r="M1072" t="str">
        <f t="shared" si="112"/>
        <v xml:space="preserve">          </v>
      </c>
      <c r="N1072" s="227" t="str">
        <f t="shared" si="113"/>
        <v/>
      </c>
      <c r="X1072" t="str">
        <f t="shared" si="114"/>
        <v xml:space="preserve">          </v>
      </c>
      <c r="Y1072" s="227" t="str">
        <f t="shared" si="115"/>
        <v/>
      </c>
      <c r="Z1072" t="str">
        <f t="shared" si="116"/>
        <v/>
      </c>
      <c r="AL1072" t="str">
        <f t="shared" si="117"/>
        <v/>
      </c>
      <c r="AM1072" t="str">
        <f t="shared" si="118"/>
        <v/>
      </c>
    </row>
    <row r="1073" spans="1:39">
      <c r="A1073" t="str">
        <f>IF(ISBLANK(Record!A1074),"",Record!A1074)</f>
        <v/>
      </c>
      <c r="B1073" t="str">
        <f>IF(ISBLANK(Record!B1074),"",Record!B1074)</f>
        <v/>
      </c>
      <c r="C1073" s="227" t="str">
        <f>IF(ISBLANK(Record!C1074),"",Record!C1074)</f>
        <v/>
      </c>
      <c r="D1073" t="str">
        <f>IF(ISBLANK(Record!D1074),"",Record!D1074)</f>
        <v/>
      </c>
      <c r="E1073" t="str">
        <f>IF(ISBLANK(Record!E1074),"",Record!E1074)</f>
        <v/>
      </c>
      <c r="M1073" t="str">
        <f t="shared" si="112"/>
        <v xml:space="preserve">          </v>
      </c>
      <c r="N1073" s="227" t="str">
        <f t="shared" si="113"/>
        <v/>
      </c>
      <c r="X1073" t="str">
        <f t="shared" si="114"/>
        <v xml:space="preserve">          </v>
      </c>
      <c r="Y1073" s="227" t="str">
        <f t="shared" si="115"/>
        <v/>
      </c>
      <c r="Z1073" t="str">
        <f t="shared" si="116"/>
        <v/>
      </c>
      <c r="AL1073" t="str">
        <f t="shared" si="117"/>
        <v/>
      </c>
      <c r="AM1073" t="str">
        <f t="shared" si="118"/>
        <v/>
      </c>
    </row>
    <row r="1074" spans="1:39">
      <c r="A1074" t="str">
        <f>IF(ISBLANK(Record!A1075),"",Record!A1075)</f>
        <v/>
      </c>
      <c r="B1074" t="str">
        <f>IF(ISBLANK(Record!B1075),"",Record!B1075)</f>
        <v/>
      </c>
      <c r="C1074" s="227" t="str">
        <f>IF(ISBLANK(Record!C1075),"",Record!C1075)</f>
        <v/>
      </c>
      <c r="D1074" t="str">
        <f>IF(ISBLANK(Record!D1075),"",Record!D1075)</f>
        <v/>
      </c>
      <c r="E1074" t="str">
        <f>IF(ISBLANK(Record!E1075),"",Record!E1075)</f>
        <v/>
      </c>
      <c r="M1074" t="str">
        <f t="shared" si="112"/>
        <v xml:space="preserve">          </v>
      </c>
      <c r="N1074" s="227" t="str">
        <f t="shared" si="113"/>
        <v/>
      </c>
      <c r="X1074" t="str">
        <f t="shared" si="114"/>
        <v xml:space="preserve">          </v>
      </c>
      <c r="Y1074" s="227" t="str">
        <f t="shared" si="115"/>
        <v/>
      </c>
      <c r="Z1074" t="str">
        <f t="shared" si="116"/>
        <v/>
      </c>
      <c r="AL1074" t="str">
        <f t="shared" si="117"/>
        <v/>
      </c>
      <c r="AM1074" t="str">
        <f t="shared" si="118"/>
        <v/>
      </c>
    </row>
    <row r="1075" spans="1:39">
      <c r="A1075" t="str">
        <f>IF(ISBLANK(Record!A1076),"",Record!A1076)</f>
        <v/>
      </c>
      <c r="B1075" t="str">
        <f>IF(ISBLANK(Record!B1076),"",Record!B1076)</f>
        <v/>
      </c>
      <c r="C1075" s="227" t="str">
        <f>IF(ISBLANK(Record!C1076),"",Record!C1076)</f>
        <v/>
      </c>
      <c r="D1075" t="str">
        <f>IF(ISBLANK(Record!D1076),"",Record!D1076)</f>
        <v/>
      </c>
      <c r="E1075" t="str">
        <f>IF(ISBLANK(Record!E1076),"",Record!E1076)</f>
        <v/>
      </c>
      <c r="M1075" t="str">
        <f t="shared" si="112"/>
        <v xml:space="preserve">          </v>
      </c>
      <c r="N1075" s="227" t="str">
        <f t="shared" si="113"/>
        <v/>
      </c>
      <c r="X1075" t="str">
        <f t="shared" si="114"/>
        <v xml:space="preserve">          </v>
      </c>
      <c r="Y1075" s="227" t="str">
        <f t="shared" si="115"/>
        <v/>
      </c>
      <c r="Z1075" t="str">
        <f t="shared" si="116"/>
        <v/>
      </c>
      <c r="AL1075" t="str">
        <f t="shared" si="117"/>
        <v/>
      </c>
      <c r="AM1075" t="str">
        <f t="shared" si="118"/>
        <v/>
      </c>
    </row>
    <row r="1076" spans="1:39">
      <c r="A1076" t="str">
        <f>IF(ISBLANK(Record!A1077),"",Record!A1077)</f>
        <v/>
      </c>
      <c r="B1076" t="str">
        <f>IF(ISBLANK(Record!B1077),"",Record!B1077)</f>
        <v/>
      </c>
      <c r="C1076" s="227" t="str">
        <f>IF(ISBLANK(Record!C1077),"",Record!C1077)</f>
        <v/>
      </c>
      <c r="D1076" t="str">
        <f>IF(ISBLANK(Record!D1077),"",Record!D1077)</f>
        <v/>
      </c>
      <c r="E1076" t="str">
        <f>IF(ISBLANK(Record!E1077),"",Record!E1077)</f>
        <v/>
      </c>
      <c r="M1076" t="str">
        <f t="shared" si="112"/>
        <v xml:space="preserve">          </v>
      </c>
      <c r="N1076" s="227" t="str">
        <f t="shared" si="113"/>
        <v/>
      </c>
      <c r="X1076" t="str">
        <f t="shared" si="114"/>
        <v xml:space="preserve">          </v>
      </c>
      <c r="Y1076" s="227" t="str">
        <f t="shared" si="115"/>
        <v/>
      </c>
      <c r="Z1076" t="str">
        <f t="shared" si="116"/>
        <v/>
      </c>
      <c r="AL1076" t="str">
        <f t="shared" si="117"/>
        <v/>
      </c>
      <c r="AM1076" t="str">
        <f t="shared" si="118"/>
        <v/>
      </c>
    </row>
    <row r="1077" spans="1:39">
      <c r="A1077" t="str">
        <f>IF(ISBLANK(Record!A1078),"",Record!A1078)</f>
        <v/>
      </c>
      <c r="B1077" t="str">
        <f>IF(ISBLANK(Record!B1078),"",Record!B1078)</f>
        <v/>
      </c>
      <c r="C1077" s="227" t="str">
        <f>IF(ISBLANK(Record!C1078),"",Record!C1078)</f>
        <v/>
      </c>
      <c r="D1077" t="str">
        <f>IF(ISBLANK(Record!D1078),"",Record!D1078)</f>
        <v/>
      </c>
      <c r="E1077" t="str">
        <f>IF(ISBLANK(Record!E1078),"",Record!E1078)</f>
        <v/>
      </c>
      <c r="M1077" t="str">
        <f t="shared" si="112"/>
        <v xml:space="preserve">          </v>
      </c>
      <c r="N1077" s="227" t="str">
        <f t="shared" si="113"/>
        <v/>
      </c>
      <c r="X1077" t="str">
        <f t="shared" si="114"/>
        <v xml:space="preserve">          </v>
      </c>
      <c r="Y1077" s="227" t="str">
        <f t="shared" si="115"/>
        <v/>
      </c>
      <c r="Z1077" t="str">
        <f t="shared" si="116"/>
        <v/>
      </c>
      <c r="AL1077" t="str">
        <f t="shared" si="117"/>
        <v/>
      </c>
      <c r="AM1077" t="str">
        <f t="shared" si="118"/>
        <v/>
      </c>
    </row>
    <row r="1078" spans="1:39">
      <c r="A1078" t="str">
        <f>IF(ISBLANK(Record!A1079),"",Record!A1079)</f>
        <v/>
      </c>
      <c r="B1078" t="str">
        <f>IF(ISBLANK(Record!B1079),"",Record!B1079)</f>
        <v/>
      </c>
      <c r="C1078" s="227" t="str">
        <f>IF(ISBLANK(Record!C1079),"",Record!C1079)</f>
        <v/>
      </c>
      <c r="D1078" t="str">
        <f>IF(ISBLANK(Record!D1079),"",Record!D1079)</f>
        <v/>
      </c>
      <c r="E1078" t="str">
        <f>IF(ISBLANK(Record!E1079),"",Record!E1079)</f>
        <v/>
      </c>
      <c r="M1078" t="str">
        <f t="shared" si="112"/>
        <v xml:space="preserve">          </v>
      </c>
      <c r="N1078" s="227" t="str">
        <f t="shared" si="113"/>
        <v/>
      </c>
      <c r="X1078" t="str">
        <f t="shared" si="114"/>
        <v xml:space="preserve">          </v>
      </c>
      <c r="Y1078" s="227" t="str">
        <f t="shared" si="115"/>
        <v/>
      </c>
      <c r="Z1078" t="str">
        <f t="shared" si="116"/>
        <v/>
      </c>
      <c r="AL1078" t="str">
        <f t="shared" si="117"/>
        <v/>
      </c>
      <c r="AM1078" t="str">
        <f t="shared" si="118"/>
        <v/>
      </c>
    </row>
    <row r="1079" spans="1:39">
      <c r="A1079" t="str">
        <f>IF(ISBLANK(Record!A1080),"",Record!A1080)</f>
        <v/>
      </c>
      <c r="B1079" t="str">
        <f>IF(ISBLANK(Record!B1080),"",Record!B1080)</f>
        <v/>
      </c>
      <c r="C1079" s="227" t="str">
        <f>IF(ISBLANK(Record!C1080),"",Record!C1080)</f>
        <v/>
      </c>
      <c r="D1079" t="str">
        <f>IF(ISBLANK(Record!D1080),"",Record!D1080)</f>
        <v/>
      </c>
      <c r="E1079" t="str">
        <f>IF(ISBLANK(Record!E1080),"",Record!E1080)</f>
        <v/>
      </c>
      <c r="M1079" t="str">
        <f t="shared" si="112"/>
        <v xml:space="preserve">          </v>
      </c>
      <c r="N1079" s="227" t="str">
        <f t="shared" si="113"/>
        <v/>
      </c>
      <c r="X1079" t="str">
        <f t="shared" si="114"/>
        <v xml:space="preserve">          </v>
      </c>
      <c r="Y1079" s="227" t="str">
        <f t="shared" si="115"/>
        <v/>
      </c>
      <c r="Z1079" t="str">
        <f t="shared" si="116"/>
        <v/>
      </c>
      <c r="AL1079" t="str">
        <f t="shared" si="117"/>
        <v/>
      </c>
      <c r="AM1079" t="str">
        <f t="shared" si="118"/>
        <v/>
      </c>
    </row>
    <row r="1080" spans="1:39">
      <c r="A1080" t="str">
        <f>IF(ISBLANK(Record!A1081),"",Record!A1081)</f>
        <v/>
      </c>
      <c r="B1080" t="str">
        <f>IF(ISBLANK(Record!B1081),"",Record!B1081)</f>
        <v/>
      </c>
      <c r="C1080" s="227" t="str">
        <f>IF(ISBLANK(Record!C1081),"",Record!C1081)</f>
        <v/>
      </c>
      <c r="D1080" t="str">
        <f>IF(ISBLANK(Record!D1081),"",Record!D1081)</f>
        <v/>
      </c>
      <c r="E1080" t="str">
        <f>IF(ISBLANK(Record!E1081),"",Record!E1081)</f>
        <v/>
      </c>
      <c r="M1080" t="str">
        <f t="shared" si="112"/>
        <v xml:space="preserve">          </v>
      </c>
      <c r="N1080" s="227" t="str">
        <f t="shared" si="113"/>
        <v/>
      </c>
      <c r="X1080" t="str">
        <f t="shared" si="114"/>
        <v xml:space="preserve">          </v>
      </c>
      <c r="Y1080" s="227" t="str">
        <f t="shared" si="115"/>
        <v/>
      </c>
      <c r="Z1080" t="str">
        <f t="shared" si="116"/>
        <v/>
      </c>
      <c r="AL1080" t="str">
        <f t="shared" si="117"/>
        <v/>
      </c>
      <c r="AM1080" t="str">
        <f t="shared" si="118"/>
        <v/>
      </c>
    </row>
    <row r="1081" spans="1:39">
      <c r="A1081" t="str">
        <f>IF(ISBLANK(Record!A1082),"",Record!A1082)</f>
        <v/>
      </c>
      <c r="B1081" t="str">
        <f>IF(ISBLANK(Record!B1082),"",Record!B1082)</f>
        <v/>
      </c>
      <c r="C1081" s="227" t="str">
        <f>IF(ISBLANK(Record!C1082),"",Record!C1082)</f>
        <v/>
      </c>
      <c r="D1081" t="str">
        <f>IF(ISBLANK(Record!D1082),"",Record!D1082)</f>
        <v/>
      </c>
      <c r="E1081" t="str">
        <f>IF(ISBLANK(Record!E1082),"",Record!E1082)</f>
        <v/>
      </c>
      <c r="M1081" t="str">
        <f t="shared" si="112"/>
        <v xml:space="preserve">          </v>
      </c>
      <c r="N1081" s="227" t="str">
        <f t="shared" si="113"/>
        <v/>
      </c>
      <c r="X1081" t="str">
        <f t="shared" si="114"/>
        <v xml:space="preserve">          </v>
      </c>
      <c r="Y1081" s="227" t="str">
        <f t="shared" si="115"/>
        <v/>
      </c>
      <c r="Z1081" t="str">
        <f t="shared" si="116"/>
        <v/>
      </c>
      <c r="AL1081" t="str">
        <f t="shared" si="117"/>
        <v/>
      </c>
      <c r="AM1081" t="str">
        <f t="shared" si="118"/>
        <v/>
      </c>
    </row>
    <row r="1082" spans="1:39">
      <c r="A1082" t="str">
        <f>IF(ISBLANK(Record!A1083),"",Record!A1083)</f>
        <v/>
      </c>
      <c r="B1082" t="str">
        <f>IF(ISBLANK(Record!B1083),"",Record!B1083)</f>
        <v/>
      </c>
      <c r="C1082" s="227" t="str">
        <f>IF(ISBLANK(Record!C1083),"",Record!C1083)</f>
        <v/>
      </c>
      <c r="D1082" t="str">
        <f>IF(ISBLANK(Record!D1083),"",Record!D1083)</f>
        <v/>
      </c>
      <c r="E1082" t="str">
        <f>IF(ISBLANK(Record!E1083),"",Record!E1083)</f>
        <v/>
      </c>
      <c r="M1082" t="str">
        <f t="shared" si="112"/>
        <v xml:space="preserve">          </v>
      </c>
      <c r="N1082" s="227" t="str">
        <f t="shared" si="113"/>
        <v/>
      </c>
      <c r="X1082" t="str">
        <f t="shared" si="114"/>
        <v xml:space="preserve">          </v>
      </c>
      <c r="Y1082" s="227" t="str">
        <f t="shared" si="115"/>
        <v/>
      </c>
      <c r="Z1082" t="str">
        <f t="shared" si="116"/>
        <v/>
      </c>
      <c r="AL1082" t="str">
        <f t="shared" si="117"/>
        <v/>
      </c>
      <c r="AM1082" t="str">
        <f t="shared" si="118"/>
        <v/>
      </c>
    </row>
    <row r="1083" spans="1:39">
      <c r="A1083" t="str">
        <f>IF(ISBLANK(Record!A1084),"",Record!A1084)</f>
        <v/>
      </c>
      <c r="B1083" t="str">
        <f>IF(ISBLANK(Record!B1084),"",Record!B1084)</f>
        <v/>
      </c>
      <c r="C1083" s="227" t="str">
        <f>IF(ISBLANK(Record!C1084),"",Record!C1084)</f>
        <v/>
      </c>
      <c r="D1083" t="str">
        <f>IF(ISBLANK(Record!D1084),"",Record!D1084)</f>
        <v/>
      </c>
      <c r="E1083" t="str">
        <f>IF(ISBLANK(Record!E1084),"",Record!E1084)</f>
        <v/>
      </c>
      <c r="M1083" t="str">
        <f t="shared" si="112"/>
        <v xml:space="preserve">          </v>
      </c>
      <c r="N1083" s="227" t="str">
        <f t="shared" si="113"/>
        <v/>
      </c>
      <c r="X1083" t="str">
        <f t="shared" si="114"/>
        <v xml:space="preserve">          </v>
      </c>
      <c r="Y1083" s="227" t="str">
        <f t="shared" si="115"/>
        <v/>
      </c>
      <c r="Z1083" t="str">
        <f t="shared" si="116"/>
        <v/>
      </c>
      <c r="AL1083" t="str">
        <f t="shared" si="117"/>
        <v/>
      </c>
      <c r="AM1083" t="str">
        <f t="shared" si="118"/>
        <v/>
      </c>
    </row>
    <row r="1084" spans="1:39">
      <c r="A1084" t="str">
        <f>IF(ISBLANK(Record!A1085),"",Record!A1085)</f>
        <v/>
      </c>
      <c r="B1084" t="str">
        <f>IF(ISBLANK(Record!B1085),"",Record!B1085)</f>
        <v/>
      </c>
      <c r="C1084" s="227" t="str">
        <f>IF(ISBLANK(Record!C1085),"",Record!C1085)</f>
        <v/>
      </c>
      <c r="D1084" t="str">
        <f>IF(ISBLANK(Record!D1085),"",Record!D1085)</f>
        <v/>
      </c>
      <c r="E1084" t="str">
        <f>IF(ISBLANK(Record!E1085),"",Record!E1085)</f>
        <v/>
      </c>
      <c r="M1084" t="str">
        <f t="shared" si="112"/>
        <v xml:space="preserve">          </v>
      </c>
      <c r="N1084" s="227" t="str">
        <f t="shared" si="113"/>
        <v/>
      </c>
      <c r="X1084" t="str">
        <f t="shared" si="114"/>
        <v xml:space="preserve">          </v>
      </c>
      <c r="Y1084" s="227" t="str">
        <f t="shared" si="115"/>
        <v/>
      </c>
      <c r="Z1084" t="str">
        <f t="shared" si="116"/>
        <v/>
      </c>
      <c r="AL1084" t="str">
        <f t="shared" si="117"/>
        <v/>
      </c>
      <c r="AM1084" t="str">
        <f t="shared" si="118"/>
        <v/>
      </c>
    </row>
    <row r="1085" spans="1:39">
      <c r="A1085" t="str">
        <f>IF(ISBLANK(Record!A1086),"",Record!A1086)</f>
        <v/>
      </c>
      <c r="B1085" t="str">
        <f>IF(ISBLANK(Record!B1086),"",Record!B1086)</f>
        <v/>
      </c>
      <c r="C1085" s="227" t="str">
        <f>IF(ISBLANK(Record!C1086),"",Record!C1086)</f>
        <v/>
      </c>
      <c r="D1085" t="str">
        <f>IF(ISBLANK(Record!D1086),"",Record!D1086)</f>
        <v/>
      </c>
      <c r="E1085" t="str">
        <f>IF(ISBLANK(Record!E1086),"",Record!E1086)</f>
        <v/>
      </c>
      <c r="M1085" t="str">
        <f t="shared" si="112"/>
        <v xml:space="preserve">          </v>
      </c>
      <c r="N1085" s="227" t="str">
        <f t="shared" si="113"/>
        <v/>
      </c>
      <c r="X1085" t="str">
        <f t="shared" si="114"/>
        <v xml:space="preserve">          </v>
      </c>
      <c r="Y1085" s="227" t="str">
        <f t="shared" si="115"/>
        <v/>
      </c>
      <c r="Z1085" t="str">
        <f t="shared" si="116"/>
        <v/>
      </c>
      <c r="AL1085" t="str">
        <f t="shared" si="117"/>
        <v/>
      </c>
      <c r="AM1085" t="str">
        <f t="shared" si="118"/>
        <v/>
      </c>
    </row>
    <row r="1086" spans="1:39">
      <c r="A1086" t="str">
        <f>IF(ISBLANK(Record!A1087),"",Record!A1087)</f>
        <v/>
      </c>
      <c r="B1086" t="str">
        <f>IF(ISBLANK(Record!B1087),"",Record!B1087)</f>
        <v/>
      </c>
      <c r="C1086" s="227" t="str">
        <f>IF(ISBLANK(Record!C1087),"",Record!C1087)</f>
        <v/>
      </c>
      <c r="D1086" t="str">
        <f>IF(ISBLANK(Record!D1087),"",Record!D1087)</f>
        <v/>
      </c>
      <c r="E1086" t="str">
        <f>IF(ISBLANK(Record!E1087),"",Record!E1087)</f>
        <v/>
      </c>
      <c r="M1086" t="str">
        <f t="shared" si="112"/>
        <v xml:space="preserve">          </v>
      </c>
      <c r="N1086" s="227" t="str">
        <f t="shared" si="113"/>
        <v/>
      </c>
      <c r="X1086" t="str">
        <f t="shared" si="114"/>
        <v xml:space="preserve">          </v>
      </c>
      <c r="Y1086" s="227" t="str">
        <f t="shared" si="115"/>
        <v/>
      </c>
      <c r="Z1086" t="str">
        <f t="shared" si="116"/>
        <v/>
      </c>
      <c r="AL1086" t="str">
        <f t="shared" si="117"/>
        <v/>
      </c>
      <c r="AM1086" t="str">
        <f t="shared" si="118"/>
        <v/>
      </c>
    </row>
    <row r="1087" spans="1:39">
      <c r="A1087" t="str">
        <f>IF(ISBLANK(Record!A1088),"",Record!A1088)</f>
        <v/>
      </c>
      <c r="B1087" t="str">
        <f>IF(ISBLANK(Record!B1088),"",Record!B1088)</f>
        <v/>
      </c>
      <c r="C1087" s="227" t="str">
        <f>IF(ISBLANK(Record!C1088),"",Record!C1088)</f>
        <v/>
      </c>
      <c r="D1087" t="str">
        <f>IF(ISBLANK(Record!D1088),"",Record!D1088)</f>
        <v/>
      </c>
      <c r="E1087" t="str">
        <f>IF(ISBLANK(Record!E1088),"",Record!E1088)</f>
        <v/>
      </c>
      <c r="M1087" t="str">
        <f t="shared" si="112"/>
        <v xml:space="preserve">          </v>
      </c>
      <c r="N1087" s="227" t="str">
        <f t="shared" si="113"/>
        <v/>
      </c>
      <c r="X1087" t="str">
        <f t="shared" si="114"/>
        <v xml:space="preserve">          </v>
      </c>
      <c r="Y1087" s="227" t="str">
        <f t="shared" si="115"/>
        <v/>
      </c>
      <c r="Z1087" t="str">
        <f t="shared" si="116"/>
        <v/>
      </c>
      <c r="AL1087" t="str">
        <f t="shared" si="117"/>
        <v/>
      </c>
      <c r="AM1087" t="str">
        <f t="shared" si="118"/>
        <v/>
      </c>
    </row>
    <row r="1088" spans="1:39">
      <c r="A1088" t="str">
        <f>IF(ISBLANK(Record!A1089),"",Record!A1089)</f>
        <v/>
      </c>
      <c r="B1088" t="str">
        <f>IF(ISBLANK(Record!B1089),"",Record!B1089)</f>
        <v/>
      </c>
      <c r="C1088" s="227" t="str">
        <f>IF(ISBLANK(Record!C1089),"",Record!C1089)</f>
        <v/>
      </c>
      <c r="D1088" t="str">
        <f>IF(ISBLANK(Record!D1089),"",Record!D1089)</f>
        <v/>
      </c>
      <c r="E1088" t="str">
        <f>IF(ISBLANK(Record!E1089),"",Record!E1089)</f>
        <v/>
      </c>
      <c r="M1088" t="str">
        <f t="shared" si="112"/>
        <v xml:space="preserve">          </v>
      </c>
      <c r="N1088" s="227" t="str">
        <f t="shared" si="113"/>
        <v/>
      </c>
      <c r="X1088" t="str">
        <f t="shared" si="114"/>
        <v xml:space="preserve">          </v>
      </c>
      <c r="Y1088" s="227" t="str">
        <f t="shared" si="115"/>
        <v/>
      </c>
      <c r="Z1088" t="str">
        <f t="shared" si="116"/>
        <v/>
      </c>
      <c r="AL1088" t="str">
        <f t="shared" si="117"/>
        <v/>
      </c>
      <c r="AM1088" t="str">
        <f t="shared" si="118"/>
        <v/>
      </c>
    </row>
    <row r="1089" spans="1:39">
      <c r="A1089" t="str">
        <f>IF(ISBLANK(Record!A1090),"",Record!A1090)</f>
        <v/>
      </c>
      <c r="B1089" t="str">
        <f>IF(ISBLANK(Record!B1090),"",Record!B1090)</f>
        <v/>
      </c>
      <c r="C1089" s="227" t="str">
        <f>IF(ISBLANK(Record!C1090),"",Record!C1090)</f>
        <v/>
      </c>
      <c r="D1089" t="str">
        <f>IF(ISBLANK(Record!D1090),"",Record!D1090)</f>
        <v/>
      </c>
      <c r="E1089" t="str">
        <f>IF(ISBLANK(Record!E1090),"",Record!E1090)</f>
        <v/>
      </c>
      <c r="M1089" t="str">
        <f t="shared" si="112"/>
        <v xml:space="preserve">          </v>
      </c>
      <c r="N1089" s="227" t="str">
        <f t="shared" si="113"/>
        <v/>
      </c>
      <c r="X1089" t="str">
        <f t="shared" si="114"/>
        <v xml:space="preserve">          </v>
      </c>
      <c r="Y1089" s="227" t="str">
        <f t="shared" si="115"/>
        <v/>
      </c>
      <c r="Z1089" t="str">
        <f t="shared" si="116"/>
        <v/>
      </c>
      <c r="AL1089" t="str">
        <f t="shared" si="117"/>
        <v/>
      </c>
      <c r="AM1089" t="str">
        <f t="shared" si="118"/>
        <v/>
      </c>
    </row>
    <row r="1090" spans="1:39">
      <c r="A1090" t="str">
        <f>IF(ISBLANK(Record!A1091),"",Record!A1091)</f>
        <v/>
      </c>
      <c r="B1090" t="str">
        <f>IF(ISBLANK(Record!B1091),"",Record!B1091)</f>
        <v/>
      </c>
      <c r="C1090" s="227" t="str">
        <f>IF(ISBLANK(Record!C1091),"",Record!C1091)</f>
        <v/>
      </c>
      <c r="D1090" t="str">
        <f>IF(ISBLANK(Record!D1091),"",Record!D1091)</f>
        <v/>
      </c>
      <c r="E1090" t="str">
        <f>IF(ISBLANK(Record!E1091),"",Record!E1091)</f>
        <v/>
      </c>
      <c r="M1090" t="str">
        <f t="shared" si="112"/>
        <v xml:space="preserve">          </v>
      </c>
      <c r="N1090" s="227" t="str">
        <f t="shared" si="113"/>
        <v/>
      </c>
      <c r="X1090" t="str">
        <f t="shared" si="114"/>
        <v xml:space="preserve">          </v>
      </c>
      <c r="Y1090" s="227" t="str">
        <f t="shared" si="115"/>
        <v/>
      </c>
      <c r="Z1090" t="str">
        <f t="shared" si="116"/>
        <v/>
      </c>
      <c r="AL1090" t="str">
        <f t="shared" si="117"/>
        <v/>
      </c>
      <c r="AM1090" t="str">
        <f t="shared" si="118"/>
        <v/>
      </c>
    </row>
    <row r="1091" spans="1:39">
      <c r="A1091" t="str">
        <f>IF(ISBLANK(Record!A1092),"",Record!A1092)</f>
        <v/>
      </c>
      <c r="B1091" t="str">
        <f>IF(ISBLANK(Record!B1092),"",Record!B1092)</f>
        <v/>
      </c>
      <c r="C1091" s="227" t="str">
        <f>IF(ISBLANK(Record!C1092),"",Record!C1092)</f>
        <v/>
      </c>
      <c r="D1091" t="str">
        <f>IF(ISBLANK(Record!D1092),"",Record!D1092)</f>
        <v/>
      </c>
      <c r="E1091" t="str">
        <f>IF(ISBLANK(Record!E1092),"",Record!E1092)</f>
        <v/>
      </c>
      <c r="M1091" t="str">
        <f t="shared" ref="M1091:M1154" si="119">RIGHT("                                   " &amp; A1091,10)</f>
        <v xml:space="preserve">          </v>
      </c>
      <c r="N1091" s="227" t="str">
        <f t="shared" ref="N1091:N1154" si="120">RIGHT(C1091,16)</f>
        <v/>
      </c>
      <c r="X1091" t="str">
        <f t="shared" ref="X1091:X1154" si="121">RIGHT("                                   " &amp; A1091,10)</f>
        <v xml:space="preserve">          </v>
      </c>
      <c r="Y1091" s="227" t="str">
        <f t="shared" ref="Y1091:Y1154" si="122">RIGHT(C1091,16)</f>
        <v/>
      </c>
      <c r="Z1091" t="str">
        <f t="shared" ref="Z1091:Z1154" si="123">RIGHT(D1091,8)</f>
        <v/>
      </c>
      <c r="AL1091" t="str">
        <f t="shared" ref="AL1091:AL1154" si="124">D1091</f>
        <v/>
      </c>
      <c r="AM1091" t="str">
        <f t="shared" ref="AM1091:AM1154" si="125">IF(E1091&lt;&gt;AL1091,E1091,E1091)</f>
        <v/>
      </c>
    </row>
    <row r="1092" spans="1:39">
      <c r="A1092" t="str">
        <f>IF(ISBLANK(Record!A1093),"",Record!A1093)</f>
        <v/>
      </c>
      <c r="B1092" t="str">
        <f>IF(ISBLANK(Record!B1093),"",Record!B1093)</f>
        <v/>
      </c>
      <c r="C1092" s="227" t="str">
        <f>IF(ISBLANK(Record!C1093),"",Record!C1093)</f>
        <v/>
      </c>
      <c r="D1092" t="str">
        <f>IF(ISBLANK(Record!D1093),"",Record!D1093)</f>
        <v/>
      </c>
      <c r="E1092" t="str">
        <f>IF(ISBLANK(Record!E1093),"",Record!E1093)</f>
        <v/>
      </c>
      <c r="M1092" t="str">
        <f t="shared" si="119"/>
        <v xml:space="preserve">          </v>
      </c>
      <c r="N1092" s="227" t="str">
        <f t="shared" si="120"/>
        <v/>
      </c>
      <c r="X1092" t="str">
        <f t="shared" si="121"/>
        <v xml:space="preserve">          </v>
      </c>
      <c r="Y1092" s="227" t="str">
        <f t="shared" si="122"/>
        <v/>
      </c>
      <c r="Z1092" t="str">
        <f t="shared" si="123"/>
        <v/>
      </c>
      <c r="AL1092" t="str">
        <f t="shared" si="124"/>
        <v/>
      </c>
      <c r="AM1092" t="str">
        <f t="shared" si="125"/>
        <v/>
      </c>
    </row>
    <row r="1093" spans="1:39">
      <c r="A1093" t="str">
        <f>IF(ISBLANK(Record!A1094),"",Record!A1094)</f>
        <v/>
      </c>
      <c r="B1093" t="str">
        <f>IF(ISBLANK(Record!B1094),"",Record!B1094)</f>
        <v/>
      </c>
      <c r="C1093" s="227" t="str">
        <f>IF(ISBLANK(Record!C1094),"",Record!C1094)</f>
        <v/>
      </c>
      <c r="D1093" t="str">
        <f>IF(ISBLANK(Record!D1094),"",Record!D1094)</f>
        <v/>
      </c>
      <c r="E1093" t="str">
        <f>IF(ISBLANK(Record!E1094),"",Record!E1094)</f>
        <v/>
      </c>
      <c r="M1093" t="str">
        <f t="shared" si="119"/>
        <v xml:space="preserve">          </v>
      </c>
      <c r="N1093" s="227" t="str">
        <f t="shared" si="120"/>
        <v/>
      </c>
      <c r="X1093" t="str">
        <f t="shared" si="121"/>
        <v xml:space="preserve">          </v>
      </c>
      <c r="Y1093" s="227" t="str">
        <f t="shared" si="122"/>
        <v/>
      </c>
      <c r="Z1093" t="str">
        <f t="shared" si="123"/>
        <v/>
      </c>
      <c r="AL1093" t="str">
        <f t="shared" si="124"/>
        <v/>
      </c>
      <c r="AM1093" t="str">
        <f t="shared" si="125"/>
        <v/>
      </c>
    </row>
    <row r="1094" spans="1:39">
      <c r="A1094" t="str">
        <f>IF(ISBLANK(Record!A1095),"",Record!A1095)</f>
        <v/>
      </c>
      <c r="B1094" t="str">
        <f>IF(ISBLANK(Record!B1095),"",Record!B1095)</f>
        <v/>
      </c>
      <c r="C1094" s="227" t="str">
        <f>IF(ISBLANK(Record!C1095),"",Record!C1095)</f>
        <v/>
      </c>
      <c r="D1094" t="str">
        <f>IF(ISBLANK(Record!D1095),"",Record!D1095)</f>
        <v/>
      </c>
      <c r="E1094" t="str">
        <f>IF(ISBLANK(Record!E1095),"",Record!E1095)</f>
        <v/>
      </c>
      <c r="M1094" t="str">
        <f t="shared" si="119"/>
        <v xml:space="preserve">          </v>
      </c>
      <c r="N1094" s="227" t="str">
        <f t="shared" si="120"/>
        <v/>
      </c>
      <c r="X1094" t="str">
        <f t="shared" si="121"/>
        <v xml:space="preserve">          </v>
      </c>
      <c r="Y1094" s="227" t="str">
        <f t="shared" si="122"/>
        <v/>
      </c>
      <c r="Z1094" t="str">
        <f t="shared" si="123"/>
        <v/>
      </c>
      <c r="AL1094" t="str">
        <f t="shared" si="124"/>
        <v/>
      </c>
      <c r="AM1094" t="str">
        <f t="shared" si="125"/>
        <v/>
      </c>
    </row>
    <row r="1095" spans="1:39">
      <c r="A1095" t="str">
        <f>IF(ISBLANK(Record!A1096),"",Record!A1096)</f>
        <v/>
      </c>
      <c r="B1095" t="str">
        <f>IF(ISBLANK(Record!B1096),"",Record!B1096)</f>
        <v/>
      </c>
      <c r="C1095" s="227" t="str">
        <f>IF(ISBLANK(Record!C1096),"",Record!C1096)</f>
        <v/>
      </c>
      <c r="D1095" t="str">
        <f>IF(ISBLANK(Record!D1096),"",Record!D1096)</f>
        <v/>
      </c>
      <c r="E1095" t="str">
        <f>IF(ISBLANK(Record!E1096),"",Record!E1096)</f>
        <v/>
      </c>
      <c r="M1095" t="str">
        <f t="shared" si="119"/>
        <v xml:space="preserve">          </v>
      </c>
      <c r="N1095" s="227" t="str">
        <f t="shared" si="120"/>
        <v/>
      </c>
      <c r="X1095" t="str">
        <f t="shared" si="121"/>
        <v xml:space="preserve">          </v>
      </c>
      <c r="Y1095" s="227" t="str">
        <f t="shared" si="122"/>
        <v/>
      </c>
      <c r="Z1095" t="str">
        <f t="shared" si="123"/>
        <v/>
      </c>
      <c r="AL1095" t="str">
        <f t="shared" si="124"/>
        <v/>
      </c>
      <c r="AM1095" t="str">
        <f t="shared" si="125"/>
        <v/>
      </c>
    </row>
    <row r="1096" spans="1:39">
      <c r="A1096" t="str">
        <f>IF(ISBLANK(Record!A1097),"",Record!A1097)</f>
        <v/>
      </c>
      <c r="B1096" t="str">
        <f>IF(ISBLANK(Record!B1097),"",Record!B1097)</f>
        <v/>
      </c>
      <c r="C1096" s="227" t="str">
        <f>IF(ISBLANK(Record!C1097),"",Record!C1097)</f>
        <v/>
      </c>
      <c r="D1096" t="str">
        <f>IF(ISBLANK(Record!D1097),"",Record!D1097)</f>
        <v/>
      </c>
      <c r="E1096" t="str">
        <f>IF(ISBLANK(Record!E1097),"",Record!E1097)</f>
        <v/>
      </c>
      <c r="M1096" t="str">
        <f t="shared" si="119"/>
        <v xml:space="preserve">          </v>
      </c>
      <c r="N1096" s="227" t="str">
        <f t="shared" si="120"/>
        <v/>
      </c>
      <c r="X1096" t="str">
        <f t="shared" si="121"/>
        <v xml:space="preserve">          </v>
      </c>
      <c r="Y1096" s="227" t="str">
        <f t="shared" si="122"/>
        <v/>
      </c>
      <c r="Z1096" t="str">
        <f t="shared" si="123"/>
        <v/>
      </c>
      <c r="AL1096" t="str">
        <f t="shared" si="124"/>
        <v/>
      </c>
      <c r="AM1096" t="str">
        <f t="shared" si="125"/>
        <v/>
      </c>
    </row>
    <row r="1097" spans="1:39">
      <c r="A1097" t="str">
        <f>IF(ISBLANK(Record!A1098),"",Record!A1098)</f>
        <v/>
      </c>
      <c r="B1097" t="str">
        <f>IF(ISBLANK(Record!B1098),"",Record!B1098)</f>
        <v/>
      </c>
      <c r="C1097" s="227" t="str">
        <f>IF(ISBLANK(Record!C1098),"",Record!C1098)</f>
        <v/>
      </c>
      <c r="D1097" t="str">
        <f>IF(ISBLANK(Record!D1098),"",Record!D1098)</f>
        <v/>
      </c>
      <c r="E1097" t="str">
        <f>IF(ISBLANK(Record!E1098),"",Record!E1098)</f>
        <v/>
      </c>
      <c r="M1097" t="str">
        <f t="shared" si="119"/>
        <v xml:space="preserve">          </v>
      </c>
      <c r="N1097" s="227" t="str">
        <f t="shared" si="120"/>
        <v/>
      </c>
      <c r="X1097" t="str">
        <f t="shared" si="121"/>
        <v xml:space="preserve">          </v>
      </c>
      <c r="Y1097" s="227" t="str">
        <f t="shared" si="122"/>
        <v/>
      </c>
      <c r="Z1097" t="str">
        <f t="shared" si="123"/>
        <v/>
      </c>
      <c r="AL1097" t="str">
        <f t="shared" si="124"/>
        <v/>
      </c>
      <c r="AM1097" t="str">
        <f t="shared" si="125"/>
        <v/>
      </c>
    </row>
    <row r="1098" spans="1:39">
      <c r="A1098" t="str">
        <f>IF(ISBLANK(Record!A1099),"",Record!A1099)</f>
        <v/>
      </c>
      <c r="B1098" t="str">
        <f>IF(ISBLANK(Record!B1099),"",Record!B1099)</f>
        <v/>
      </c>
      <c r="C1098" s="227" t="str">
        <f>IF(ISBLANK(Record!C1099),"",Record!C1099)</f>
        <v/>
      </c>
      <c r="D1098" t="str">
        <f>IF(ISBLANK(Record!D1099),"",Record!D1099)</f>
        <v/>
      </c>
      <c r="E1098" t="str">
        <f>IF(ISBLANK(Record!E1099),"",Record!E1099)</f>
        <v/>
      </c>
      <c r="M1098" t="str">
        <f t="shared" si="119"/>
        <v xml:space="preserve">          </v>
      </c>
      <c r="N1098" s="227" t="str">
        <f t="shared" si="120"/>
        <v/>
      </c>
      <c r="X1098" t="str">
        <f t="shared" si="121"/>
        <v xml:space="preserve">          </v>
      </c>
      <c r="Y1098" s="227" t="str">
        <f t="shared" si="122"/>
        <v/>
      </c>
      <c r="Z1098" t="str">
        <f t="shared" si="123"/>
        <v/>
      </c>
      <c r="AL1098" t="str">
        <f t="shared" si="124"/>
        <v/>
      </c>
      <c r="AM1098" t="str">
        <f t="shared" si="125"/>
        <v/>
      </c>
    </row>
    <row r="1099" spans="1:39">
      <c r="A1099" t="str">
        <f>IF(ISBLANK(Record!A1100),"",Record!A1100)</f>
        <v/>
      </c>
      <c r="B1099" t="str">
        <f>IF(ISBLANK(Record!B1100),"",Record!B1100)</f>
        <v/>
      </c>
      <c r="C1099" s="227" t="str">
        <f>IF(ISBLANK(Record!C1100),"",Record!C1100)</f>
        <v/>
      </c>
      <c r="D1099" t="str">
        <f>IF(ISBLANK(Record!D1100),"",Record!D1100)</f>
        <v/>
      </c>
      <c r="E1099" t="str">
        <f>IF(ISBLANK(Record!E1100),"",Record!E1100)</f>
        <v/>
      </c>
      <c r="M1099" t="str">
        <f t="shared" si="119"/>
        <v xml:space="preserve">          </v>
      </c>
      <c r="N1099" s="227" t="str">
        <f t="shared" si="120"/>
        <v/>
      </c>
      <c r="X1099" t="str">
        <f t="shared" si="121"/>
        <v xml:space="preserve">          </v>
      </c>
      <c r="Y1099" s="227" t="str">
        <f t="shared" si="122"/>
        <v/>
      </c>
      <c r="Z1099" t="str">
        <f t="shared" si="123"/>
        <v/>
      </c>
      <c r="AL1099" t="str">
        <f t="shared" si="124"/>
        <v/>
      </c>
      <c r="AM1099" t="str">
        <f t="shared" si="125"/>
        <v/>
      </c>
    </row>
    <row r="1100" spans="1:39">
      <c r="A1100" t="str">
        <f>IF(ISBLANK(Record!A1101),"",Record!A1101)</f>
        <v/>
      </c>
      <c r="B1100" t="str">
        <f>IF(ISBLANK(Record!B1101),"",Record!B1101)</f>
        <v/>
      </c>
      <c r="C1100" s="227" t="str">
        <f>IF(ISBLANK(Record!C1101),"",Record!C1101)</f>
        <v/>
      </c>
      <c r="D1100" t="str">
        <f>IF(ISBLANK(Record!D1101),"",Record!D1101)</f>
        <v/>
      </c>
      <c r="E1100" t="str">
        <f>IF(ISBLANK(Record!E1101),"",Record!E1101)</f>
        <v/>
      </c>
      <c r="M1100" t="str">
        <f t="shared" si="119"/>
        <v xml:space="preserve">          </v>
      </c>
      <c r="N1100" s="227" t="str">
        <f t="shared" si="120"/>
        <v/>
      </c>
      <c r="X1100" t="str">
        <f t="shared" si="121"/>
        <v xml:space="preserve">          </v>
      </c>
      <c r="Y1100" s="227" t="str">
        <f t="shared" si="122"/>
        <v/>
      </c>
      <c r="Z1100" t="str">
        <f t="shared" si="123"/>
        <v/>
      </c>
      <c r="AL1100" t="str">
        <f t="shared" si="124"/>
        <v/>
      </c>
      <c r="AM1100" t="str">
        <f t="shared" si="125"/>
        <v/>
      </c>
    </row>
    <row r="1101" spans="1:39">
      <c r="A1101" t="str">
        <f>IF(ISBLANK(Record!A1102),"",Record!A1102)</f>
        <v/>
      </c>
      <c r="B1101" t="str">
        <f>IF(ISBLANK(Record!B1102),"",Record!B1102)</f>
        <v/>
      </c>
      <c r="C1101" s="227" t="str">
        <f>IF(ISBLANK(Record!C1102),"",Record!C1102)</f>
        <v/>
      </c>
      <c r="D1101" t="str">
        <f>IF(ISBLANK(Record!D1102),"",Record!D1102)</f>
        <v/>
      </c>
      <c r="E1101" t="str">
        <f>IF(ISBLANK(Record!E1102),"",Record!E1102)</f>
        <v/>
      </c>
      <c r="M1101" t="str">
        <f t="shared" si="119"/>
        <v xml:space="preserve">          </v>
      </c>
      <c r="N1101" s="227" t="str">
        <f t="shared" si="120"/>
        <v/>
      </c>
      <c r="X1101" t="str">
        <f t="shared" si="121"/>
        <v xml:space="preserve">          </v>
      </c>
      <c r="Y1101" s="227" t="str">
        <f t="shared" si="122"/>
        <v/>
      </c>
      <c r="Z1101" t="str">
        <f t="shared" si="123"/>
        <v/>
      </c>
      <c r="AL1101" t="str">
        <f t="shared" si="124"/>
        <v/>
      </c>
      <c r="AM1101" t="str">
        <f t="shared" si="125"/>
        <v/>
      </c>
    </row>
    <row r="1102" spans="1:39">
      <c r="A1102" t="str">
        <f>IF(ISBLANK(Record!A1103),"",Record!A1103)</f>
        <v/>
      </c>
      <c r="B1102" t="str">
        <f>IF(ISBLANK(Record!B1103),"",Record!B1103)</f>
        <v/>
      </c>
      <c r="C1102" s="227" t="str">
        <f>IF(ISBLANK(Record!C1103),"",Record!C1103)</f>
        <v/>
      </c>
      <c r="D1102" t="str">
        <f>IF(ISBLANK(Record!D1103),"",Record!D1103)</f>
        <v/>
      </c>
      <c r="E1102" t="str">
        <f>IF(ISBLANK(Record!E1103),"",Record!E1103)</f>
        <v/>
      </c>
      <c r="M1102" t="str">
        <f t="shared" si="119"/>
        <v xml:space="preserve">          </v>
      </c>
      <c r="N1102" s="227" t="str">
        <f t="shared" si="120"/>
        <v/>
      </c>
      <c r="X1102" t="str">
        <f t="shared" si="121"/>
        <v xml:space="preserve">          </v>
      </c>
      <c r="Y1102" s="227" t="str">
        <f t="shared" si="122"/>
        <v/>
      </c>
      <c r="Z1102" t="str">
        <f t="shared" si="123"/>
        <v/>
      </c>
      <c r="AL1102" t="str">
        <f t="shared" si="124"/>
        <v/>
      </c>
      <c r="AM1102" t="str">
        <f t="shared" si="125"/>
        <v/>
      </c>
    </row>
    <row r="1103" spans="1:39">
      <c r="A1103" t="str">
        <f>IF(ISBLANK(Record!A1104),"",Record!A1104)</f>
        <v/>
      </c>
      <c r="B1103" t="str">
        <f>IF(ISBLANK(Record!B1104),"",Record!B1104)</f>
        <v/>
      </c>
      <c r="C1103" s="227" t="str">
        <f>IF(ISBLANK(Record!C1104),"",Record!C1104)</f>
        <v/>
      </c>
      <c r="D1103" t="str">
        <f>IF(ISBLANK(Record!D1104),"",Record!D1104)</f>
        <v/>
      </c>
      <c r="E1103" t="str">
        <f>IF(ISBLANK(Record!E1104),"",Record!E1104)</f>
        <v/>
      </c>
      <c r="M1103" t="str">
        <f t="shared" si="119"/>
        <v xml:space="preserve">          </v>
      </c>
      <c r="N1103" s="227" t="str">
        <f t="shared" si="120"/>
        <v/>
      </c>
      <c r="X1103" t="str">
        <f t="shared" si="121"/>
        <v xml:space="preserve">          </v>
      </c>
      <c r="Y1103" s="227" t="str">
        <f t="shared" si="122"/>
        <v/>
      </c>
      <c r="Z1103" t="str">
        <f t="shared" si="123"/>
        <v/>
      </c>
      <c r="AL1103" t="str">
        <f t="shared" si="124"/>
        <v/>
      </c>
      <c r="AM1103" t="str">
        <f t="shared" si="125"/>
        <v/>
      </c>
    </row>
    <row r="1104" spans="1:39">
      <c r="A1104" t="str">
        <f>IF(ISBLANK(Record!A1105),"",Record!A1105)</f>
        <v/>
      </c>
      <c r="B1104" t="str">
        <f>IF(ISBLANK(Record!B1105),"",Record!B1105)</f>
        <v/>
      </c>
      <c r="C1104" s="227" t="str">
        <f>IF(ISBLANK(Record!C1105),"",Record!C1105)</f>
        <v/>
      </c>
      <c r="D1104" t="str">
        <f>IF(ISBLANK(Record!D1105),"",Record!D1105)</f>
        <v/>
      </c>
      <c r="E1104" t="str">
        <f>IF(ISBLANK(Record!E1105),"",Record!E1105)</f>
        <v/>
      </c>
      <c r="M1104" t="str">
        <f t="shared" si="119"/>
        <v xml:space="preserve">          </v>
      </c>
      <c r="N1104" s="227" t="str">
        <f t="shared" si="120"/>
        <v/>
      </c>
      <c r="X1104" t="str">
        <f t="shared" si="121"/>
        <v xml:space="preserve">          </v>
      </c>
      <c r="Y1104" s="227" t="str">
        <f t="shared" si="122"/>
        <v/>
      </c>
      <c r="Z1104" t="str">
        <f t="shared" si="123"/>
        <v/>
      </c>
      <c r="AL1104" t="str">
        <f t="shared" si="124"/>
        <v/>
      </c>
      <c r="AM1104" t="str">
        <f t="shared" si="125"/>
        <v/>
      </c>
    </row>
    <row r="1105" spans="1:39">
      <c r="A1105" t="str">
        <f>IF(ISBLANK(Record!A1106),"",Record!A1106)</f>
        <v/>
      </c>
      <c r="B1105" t="str">
        <f>IF(ISBLANK(Record!B1106),"",Record!B1106)</f>
        <v/>
      </c>
      <c r="C1105" s="227" t="str">
        <f>IF(ISBLANK(Record!C1106),"",Record!C1106)</f>
        <v/>
      </c>
      <c r="D1105" t="str">
        <f>IF(ISBLANK(Record!D1106),"",Record!D1106)</f>
        <v/>
      </c>
      <c r="E1105" t="str">
        <f>IF(ISBLANK(Record!E1106),"",Record!E1106)</f>
        <v/>
      </c>
      <c r="M1105" t="str">
        <f t="shared" si="119"/>
        <v xml:space="preserve">          </v>
      </c>
      <c r="N1105" s="227" t="str">
        <f t="shared" si="120"/>
        <v/>
      </c>
      <c r="X1105" t="str">
        <f t="shared" si="121"/>
        <v xml:space="preserve">          </v>
      </c>
      <c r="Y1105" s="227" t="str">
        <f t="shared" si="122"/>
        <v/>
      </c>
      <c r="Z1105" t="str">
        <f t="shared" si="123"/>
        <v/>
      </c>
      <c r="AL1105" t="str">
        <f t="shared" si="124"/>
        <v/>
      </c>
      <c r="AM1105" t="str">
        <f t="shared" si="125"/>
        <v/>
      </c>
    </row>
    <row r="1106" spans="1:39">
      <c r="A1106" t="str">
        <f>IF(ISBLANK(Record!A1107),"",Record!A1107)</f>
        <v/>
      </c>
      <c r="B1106" t="str">
        <f>IF(ISBLANK(Record!B1107),"",Record!B1107)</f>
        <v/>
      </c>
      <c r="C1106" s="227" t="str">
        <f>IF(ISBLANK(Record!C1107),"",Record!C1107)</f>
        <v/>
      </c>
      <c r="D1106" t="str">
        <f>IF(ISBLANK(Record!D1107),"",Record!D1107)</f>
        <v/>
      </c>
      <c r="E1106" t="str">
        <f>IF(ISBLANK(Record!E1107),"",Record!E1107)</f>
        <v/>
      </c>
      <c r="M1106" t="str">
        <f t="shared" si="119"/>
        <v xml:space="preserve">          </v>
      </c>
      <c r="N1106" s="227" t="str">
        <f t="shared" si="120"/>
        <v/>
      </c>
      <c r="X1106" t="str">
        <f t="shared" si="121"/>
        <v xml:space="preserve">          </v>
      </c>
      <c r="Y1106" s="227" t="str">
        <f t="shared" si="122"/>
        <v/>
      </c>
      <c r="Z1106" t="str">
        <f t="shared" si="123"/>
        <v/>
      </c>
      <c r="AL1106" t="str">
        <f t="shared" si="124"/>
        <v/>
      </c>
      <c r="AM1106" t="str">
        <f t="shared" si="125"/>
        <v/>
      </c>
    </row>
    <row r="1107" spans="1:39">
      <c r="A1107" t="str">
        <f>IF(ISBLANK(Record!A1108),"",Record!A1108)</f>
        <v/>
      </c>
      <c r="B1107" t="str">
        <f>IF(ISBLANK(Record!B1108),"",Record!B1108)</f>
        <v/>
      </c>
      <c r="C1107" s="227" t="str">
        <f>IF(ISBLANK(Record!C1108),"",Record!C1108)</f>
        <v/>
      </c>
      <c r="D1107" t="str">
        <f>IF(ISBLANK(Record!D1108),"",Record!D1108)</f>
        <v/>
      </c>
      <c r="E1107" t="str">
        <f>IF(ISBLANK(Record!E1108),"",Record!E1108)</f>
        <v/>
      </c>
      <c r="M1107" t="str">
        <f t="shared" si="119"/>
        <v xml:space="preserve">          </v>
      </c>
      <c r="N1107" s="227" t="str">
        <f t="shared" si="120"/>
        <v/>
      </c>
      <c r="X1107" t="str">
        <f t="shared" si="121"/>
        <v xml:space="preserve">          </v>
      </c>
      <c r="Y1107" s="227" t="str">
        <f t="shared" si="122"/>
        <v/>
      </c>
      <c r="Z1107" t="str">
        <f t="shared" si="123"/>
        <v/>
      </c>
      <c r="AL1107" t="str">
        <f t="shared" si="124"/>
        <v/>
      </c>
      <c r="AM1107" t="str">
        <f t="shared" si="125"/>
        <v/>
      </c>
    </row>
    <row r="1108" spans="1:39">
      <c r="A1108" t="str">
        <f>IF(ISBLANK(Record!A1109),"",Record!A1109)</f>
        <v/>
      </c>
      <c r="B1108" t="str">
        <f>IF(ISBLANK(Record!B1109),"",Record!B1109)</f>
        <v/>
      </c>
      <c r="C1108" s="227" t="str">
        <f>IF(ISBLANK(Record!C1109),"",Record!C1109)</f>
        <v/>
      </c>
      <c r="D1108" t="str">
        <f>IF(ISBLANK(Record!D1109),"",Record!D1109)</f>
        <v/>
      </c>
      <c r="E1108" t="str">
        <f>IF(ISBLANK(Record!E1109),"",Record!E1109)</f>
        <v/>
      </c>
      <c r="M1108" t="str">
        <f t="shared" si="119"/>
        <v xml:space="preserve">          </v>
      </c>
      <c r="N1108" s="227" t="str">
        <f t="shared" si="120"/>
        <v/>
      </c>
      <c r="X1108" t="str">
        <f t="shared" si="121"/>
        <v xml:space="preserve">          </v>
      </c>
      <c r="Y1108" s="227" t="str">
        <f t="shared" si="122"/>
        <v/>
      </c>
      <c r="Z1108" t="str">
        <f t="shared" si="123"/>
        <v/>
      </c>
      <c r="AL1108" t="str">
        <f t="shared" si="124"/>
        <v/>
      </c>
      <c r="AM1108" t="str">
        <f t="shared" si="125"/>
        <v/>
      </c>
    </row>
    <row r="1109" spans="1:39">
      <c r="A1109" t="str">
        <f>IF(ISBLANK(Record!A1110),"",Record!A1110)</f>
        <v/>
      </c>
      <c r="B1109" t="str">
        <f>IF(ISBLANK(Record!B1110),"",Record!B1110)</f>
        <v/>
      </c>
      <c r="C1109" s="227" t="str">
        <f>IF(ISBLANK(Record!C1110),"",Record!C1110)</f>
        <v/>
      </c>
      <c r="D1109" t="str">
        <f>IF(ISBLANK(Record!D1110),"",Record!D1110)</f>
        <v/>
      </c>
      <c r="E1109" t="str">
        <f>IF(ISBLANK(Record!E1110),"",Record!E1110)</f>
        <v/>
      </c>
      <c r="M1109" t="str">
        <f t="shared" si="119"/>
        <v xml:space="preserve">          </v>
      </c>
      <c r="N1109" s="227" t="str">
        <f t="shared" si="120"/>
        <v/>
      </c>
      <c r="X1109" t="str">
        <f t="shared" si="121"/>
        <v xml:space="preserve">          </v>
      </c>
      <c r="Y1109" s="227" t="str">
        <f t="shared" si="122"/>
        <v/>
      </c>
      <c r="Z1109" t="str">
        <f t="shared" si="123"/>
        <v/>
      </c>
      <c r="AL1109" t="str">
        <f t="shared" si="124"/>
        <v/>
      </c>
      <c r="AM1109" t="str">
        <f t="shared" si="125"/>
        <v/>
      </c>
    </row>
    <row r="1110" spans="1:39">
      <c r="A1110" t="str">
        <f>IF(ISBLANK(Record!A1111),"",Record!A1111)</f>
        <v/>
      </c>
      <c r="B1110" t="str">
        <f>IF(ISBLANK(Record!B1111),"",Record!B1111)</f>
        <v/>
      </c>
      <c r="C1110" s="227" t="str">
        <f>IF(ISBLANK(Record!C1111),"",Record!C1111)</f>
        <v/>
      </c>
      <c r="D1110" t="str">
        <f>IF(ISBLANK(Record!D1111),"",Record!D1111)</f>
        <v/>
      </c>
      <c r="E1110" t="str">
        <f>IF(ISBLANK(Record!E1111),"",Record!E1111)</f>
        <v/>
      </c>
      <c r="M1110" t="str">
        <f t="shared" si="119"/>
        <v xml:space="preserve">          </v>
      </c>
      <c r="N1110" s="227" t="str">
        <f t="shared" si="120"/>
        <v/>
      </c>
      <c r="X1110" t="str">
        <f t="shared" si="121"/>
        <v xml:space="preserve">          </v>
      </c>
      <c r="Y1110" s="227" t="str">
        <f t="shared" si="122"/>
        <v/>
      </c>
      <c r="Z1110" t="str">
        <f t="shared" si="123"/>
        <v/>
      </c>
      <c r="AL1110" t="str">
        <f t="shared" si="124"/>
        <v/>
      </c>
      <c r="AM1110" t="str">
        <f t="shared" si="125"/>
        <v/>
      </c>
    </row>
    <row r="1111" spans="1:39">
      <c r="A1111" t="str">
        <f>IF(ISBLANK(Record!A1112),"",Record!A1112)</f>
        <v/>
      </c>
      <c r="B1111" t="str">
        <f>IF(ISBLANK(Record!B1112),"",Record!B1112)</f>
        <v/>
      </c>
      <c r="C1111" s="227" t="str">
        <f>IF(ISBLANK(Record!C1112),"",Record!C1112)</f>
        <v/>
      </c>
      <c r="D1111" t="str">
        <f>IF(ISBLANK(Record!D1112),"",Record!D1112)</f>
        <v/>
      </c>
      <c r="E1111" t="str">
        <f>IF(ISBLANK(Record!E1112),"",Record!E1112)</f>
        <v/>
      </c>
      <c r="M1111" t="str">
        <f t="shared" si="119"/>
        <v xml:space="preserve">          </v>
      </c>
      <c r="N1111" s="227" t="str">
        <f t="shared" si="120"/>
        <v/>
      </c>
      <c r="X1111" t="str">
        <f t="shared" si="121"/>
        <v xml:space="preserve">          </v>
      </c>
      <c r="Y1111" s="227" t="str">
        <f t="shared" si="122"/>
        <v/>
      </c>
      <c r="Z1111" t="str">
        <f t="shared" si="123"/>
        <v/>
      </c>
      <c r="AL1111" t="str">
        <f t="shared" si="124"/>
        <v/>
      </c>
      <c r="AM1111" t="str">
        <f t="shared" si="125"/>
        <v/>
      </c>
    </row>
    <row r="1112" spans="1:39">
      <c r="A1112" t="str">
        <f>IF(ISBLANK(Record!A1113),"",Record!A1113)</f>
        <v/>
      </c>
      <c r="B1112" t="str">
        <f>IF(ISBLANK(Record!B1113),"",Record!B1113)</f>
        <v/>
      </c>
      <c r="C1112" s="227" t="str">
        <f>IF(ISBLANK(Record!C1113),"",Record!C1113)</f>
        <v/>
      </c>
      <c r="D1112" t="str">
        <f>IF(ISBLANK(Record!D1113),"",Record!D1113)</f>
        <v/>
      </c>
      <c r="E1112" t="str">
        <f>IF(ISBLANK(Record!E1113),"",Record!E1113)</f>
        <v/>
      </c>
      <c r="M1112" t="str">
        <f t="shared" si="119"/>
        <v xml:space="preserve">          </v>
      </c>
      <c r="N1112" s="227" t="str">
        <f t="shared" si="120"/>
        <v/>
      </c>
      <c r="X1112" t="str">
        <f t="shared" si="121"/>
        <v xml:space="preserve">          </v>
      </c>
      <c r="Y1112" s="227" t="str">
        <f t="shared" si="122"/>
        <v/>
      </c>
      <c r="Z1112" t="str">
        <f t="shared" si="123"/>
        <v/>
      </c>
      <c r="AL1112" t="str">
        <f t="shared" si="124"/>
        <v/>
      </c>
      <c r="AM1112" t="str">
        <f t="shared" si="125"/>
        <v/>
      </c>
    </row>
    <row r="1113" spans="1:39">
      <c r="A1113" t="str">
        <f>IF(ISBLANK(Record!A1114),"",Record!A1114)</f>
        <v/>
      </c>
      <c r="B1113" t="str">
        <f>IF(ISBLANK(Record!B1114),"",Record!B1114)</f>
        <v/>
      </c>
      <c r="C1113" s="227" t="str">
        <f>IF(ISBLANK(Record!C1114),"",Record!C1114)</f>
        <v/>
      </c>
      <c r="D1113" t="str">
        <f>IF(ISBLANK(Record!D1114),"",Record!D1114)</f>
        <v/>
      </c>
      <c r="E1113" t="str">
        <f>IF(ISBLANK(Record!E1114),"",Record!E1114)</f>
        <v/>
      </c>
      <c r="M1113" t="str">
        <f t="shared" si="119"/>
        <v xml:space="preserve">          </v>
      </c>
      <c r="N1113" s="227" t="str">
        <f t="shared" si="120"/>
        <v/>
      </c>
      <c r="X1113" t="str">
        <f t="shared" si="121"/>
        <v xml:space="preserve">          </v>
      </c>
      <c r="Y1113" s="227" t="str">
        <f t="shared" si="122"/>
        <v/>
      </c>
      <c r="Z1113" t="str">
        <f t="shared" si="123"/>
        <v/>
      </c>
      <c r="AL1113" t="str">
        <f t="shared" si="124"/>
        <v/>
      </c>
      <c r="AM1113" t="str">
        <f t="shared" si="125"/>
        <v/>
      </c>
    </row>
    <row r="1114" spans="1:39">
      <c r="A1114" t="str">
        <f>IF(ISBLANK(Record!A1115),"",Record!A1115)</f>
        <v/>
      </c>
      <c r="B1114" t="str">
        <f>IF(ISBLANK(Record!B1115),"",Record!B1115)</f>
        <v/>
      </c>
      <c r="C1114" s="227" t="str">
        <f>IF(ISBLANK(Record!C1115),"",Record!C1115)</f>
        <v/>
      </c>
      <c r="D1114" t="str">
        <f>IF(ISBLANK(Record!D1115),"",Record!D1115)</f>
        <v/>
      </c>
      <c r="E1114" t="str">
        <f>IF(ISBLANK(Record!E1115),"",Record!E1115)</f>
        <v/>
      </c>
      <c r="M1114" t="str">
        <f t="shared" si="119"/>
        <v xml:space="preserve">          </v>
      </c>
      <c r="N1114" s="227" t="str">
        <f t="shared" si="120"/>
        <v/>
      </c>
      <c r="X1114" t="str">
        <f t="shared" si="121"/>
        <v xml:space="preserve">          </v>
      </c>
      <c r="Y1114" s="227" t="str">
        <f t="shared" si="122"/>
        <v/>
      </c>
      <c r="Z1114" t="str">
        <f t="shared" si="123"/>
        <v/>
      </c>
      <c r="AL1114" t="str">
        <f t="shared" si="124"/>
        <v/>
      </c>
      <c r="AM1114" t="str">
        <f t="shared" si="125"/>
        <v/>
      </c>
    </row>
    <row r="1115" spans="1:39">
      <c r="A1115" t="str">
        <f>IF(ISBLANK(Record!A1116),"",Record!A1116)</f>
        <v/>
      </c>
      <c r="B1115" t="str">
        <f>IF(ISBLANK(Record!B1116),"",Record!B1116)</f>
        <v/>
      </c>
      <c r="C1115" s="227" t="str">
        <f>IF(ISBLANK(Record!C1116),"",Record!C1116)</f>
        <v/>
      </c>
      <c r="D1115" t="str">
        <f>IF(ISBLANK(Record!D1116),"",Record!D1116)</f>
        <v/>
      </c>
      <c r="E1115" t="str">
        <f>IF(ISBLANK(Record!E1116),"",Record!E1116)</f>
        <v/>
      </c>
      <c r="M1115" t="str">
        <f t="shared" si="119"/>
        <v xml:space="preserve">          </v>
      </c>
      <c r="N1115" s="227" t="str">
        <f t="shared" si="120"/>
        <v/>
      </c>
      <c r="X1115" t="str">
        <f t="shared" si="121"/>
        <v xml:space="preserve">          </v>
      </c>
      <c r="Y1115" s="227" t="str">
        <f t="shared" si="122"/>
        <v/>
      </c>
      <c r="Z1115" t="str">
        <f t="shared" si="123"/>
        <v/>
      </c>
      <c r="AL1115" t="str">
        <f t="shared" si="124"/>
        <v/>
      </c>
      <c r="AM1115" t="str">
        <f t="shared" si="125"/>
        <v/>
      </c>
    </row>
    <row r="1116" spans="1:39">
      <c r="A1116" t="str">
        <f>IF(ISBLANK(Record!A1117),"",Record!A1117)</f>
        <v/>
      </c>
      <c r="B1116" t="str">
        <f>IF(ISBLANK(Record!B1117),"",Record!B1117)</f>
        <v/>
      </c>
      <c r="C1116" s="227" t="str">
        <f>IF(ISBLANK(Record!C1117),"",Record!C1117)</f>
        <v/>
      </c>
      <c r="D1116" t="str">
        <f>IF(ISBLANK(Record!D1117),"",Record!D1117)</f>
        <v/>
      </c>
      <c r="E1116" t="str">
        <f>IF(ISBLANK(Record!E1117),"",Record!E1117)</f>
        <v/>
      </c>
      <c r="M1116" t="str">
        <f t="shared" si="119"/>
        <v xml:space="preserve">          </v>
      </c>
      <c r="N1116" s="227" t="str">
        <f t="shared" si="120"/>
        <v/>
      </c>
      <c r="X1116" t="str">
        <f t="shared" si="121"/>
        <v xml:space="preserve">          </v>
      </c>
      <c r="Y1116" s="227" t="str">
        <f t="shared" si="122"/>
        <v/>
      </c>
      <c r="Z1116" t="str">
        <f t="shared" si="123"/>
        <v/>
      </c>
      <c r="AL1116" t="str">
        <f t="shared" si="124"/>
        <v/>
      </c>
      <c r="AM1116" t="str">
        <f t="shared" si="125"/>
        <v/>
      </c>
    </row>
    <row r="1117" spans="1:39">
      <c r="A1117" t="str">
        <f>IF(ISBLANK(Record!A1118),"",Record!A1118)</f>
        <v/>
      </c>
      <c r="B1117" t="str">
        <f>IF(ISBLANK(Record!B1118),"",Record!B1118)</f>
        <v/>
      </c>
      <c r="C1117" s="227" t="str">
        <f>IF(ISBLANK(Record!C1118),"",Record!C1118)</f>
        <v/>
      </c>
      <c r="D1117" t="str">
        <f>IF(ISBLANK(Record!D1118),"",Record!D1118)</f>
        <v/>
      </c>
      <c r="E1117" t="str">
        <f>IF(ISBLANK(Record!E1118),"",Record!E1118)</f>
        <v/>
      </c>
      <c r="M1117" t="str">
        <f t="shared" si="119"/>
        <v xml:space="preserve">          </v>
      </c>
      <c r="N1117" s="227" t="str">
        <f t="shared" si="120"/>
        <v/>
      </c>
      <c r="X1117" t="str">
        <f t="shared" si="121"/>
        <v xml:space="preserve">          </v>
      </c>
      <c r="Y1117" s="227" t="str">
        <f t="shared" si="122"/>
        <v/>
      </c>
      <c r="Z1117" t="str">
        <f t="shared" si="123"/>
        <v/>
      </c>
      <c r="AL1117" t="str">
        <f t="shared" si="124"/>
        <v/>
      </c>
      <c r="AM1117" t="str">
        <f t="shared" si="125"/>
        <v/>
      </c>
    </row>
    <row r="1118" spans="1:39">
      <c r="A1118" t="str">
        <f>IF(ISBLANK(Record!A1119),"",Record!A1119)</f>
        <v/>
      </c>
      <c r="B1118" t="str">
        <f>IF(ISBLANK(Record!B1119),"",Record!B1119)</f>
        <v/>
      </c>
      <c r="C1118" s="227" t="str">
        <f>IF(ISBLANK(Record!C1119),"",Record!C1119)</f>
        <v/>
      </c>
      <c r="D1118" t="str">
        <f>IF(ISBLANK(Record!D1119),"",Record!D1119)</f>
        <v/>
      </c>
      <c r="E1118" t="str">
        <f>IF(ISBLANK(Record!E1119),"",Record!E1119)</f>
        <v/>
      </c>
      <c r="M1118" t="str">
        <f t="shared" si="119"/>
        <v xml:space="preserve">          </v>
      </c>
      <c r="N1118" s="227" t="str">
        <f t="shared" si="120"/>
        <v/>
      </c>
      <c r="X1118" t="str">
        <f t="shared" si="121"/>
        <v xml:space="preserve">          </v>
      </c>
      <c r="Y1118" s="227" t="str">
        <f t="shared" si="122"/>
        <v/>
      </c>
      <c r="Z1118" t="str">
        <f t="shared" si="123"/>
        <v/>
      </c>
      <c r="AL1118" t="str">
        <f t="shared" si="124"/>
        <v/>
      </c>
      <c r="AM1118" t="str">
        <f t="shared" si="125"/>
        <v/>
      </c>
    </row>
    <row r="1119" spans="1:39">
      <c r="A1119" t="str">
        <f>IF(ISBLANK(Record!A1120),"",Record!A1120)</f>
        <v/>
      </c>
      <c r="B1119" t="str">
        <f>IF(ISBLANK(Record!B1120),"",Record!B1120)</f>
        <v/>
      </c>
      <c r="C1119" s="227" t="str">
        <f>IF(ISBLANK(Record!C1120),"",Record!C1120)</f>
        <v/>
      </c>
      <c r="D1119" t="str">
        <f>IF(ISBLANK(Record!D1120),"",Record!D1120)</f>
        <v/>
      </c>
      <c r="E1119" t="str">
        <f>IF(ISBLANK(Record!E1120),"",Record!E1120)</f>
        <v/>
      </c>
      <c r="M1119" t="str">
        <f t="shared" si="119"/>
        <v xml:space="preserve">          </v>
      </c>
      <c r="N1119" s="227" t="str">
        <f t="shared" si="120"/>
        <v/>
      </c>
      <c r="X1119" t="str">
        <f t="shared" si="121"/>
        <v xml:space="preserve">          </v>
      </c>
      <c r="Y1119" s="227" t="str">
        <f t="shared" si="122"/>
        <v/>
      </c>
      <c r="Z1119" t="str">
        <f t="shared" si="123"/>
        <v/>
      </c>
      <c r="AL1119" t="str">
        <f t="shared" si="124"/>
        <v/>
      </c>
      <c r="AM1119" t="str">
        <f t="shared" si="125"/>
        <v/>
      </c>
    </row>
    <row r="1120" spans="1:39">
      <c r="A1120" t="str">
        <f>IF(ISBLANK(Record!A1121),"",Record!A1121)</f>
        <v/>
      </c>
      <c r="B1120" t="str">
        <f>IF(ISBLANK(Record!B1121),"",Record!B1121)</f>
        <v/>
      </c>
      <c r="C1120" s="227" t="str">
        <f>IF(ISBLANK(Record!C1121),"",Record!C1121)</f>
        <v/>
      </c>
      <c r="D1120" t="str">
        <f>IF(ISBLANK(Record!D1121),"",Record!D1121)</f>
        <v/>
      </c>
      <c r="E1120" t="str">
        <f>IF(ISBLANK(Record!E1121),"",Record!E1121)</f>
        <v/>
      </c>
      <c r="M1120" t="str">
        <f t="shared" si="119"/>
        <v xml:space="preserve">          </v>
      </c>
      <c r="N1120" s="227" t="str">
        <f t="shared" si="120"/>
        <v/>
      </c>
      <c r="X1120" t="str">
        <f t="shared" si="121"/>
        <v xml:space="preserve">          </v>
      </c>
      <c r="Y1120" s="227" t="str">
        <f t="shared" si="122"/>
        <v/>
      </c>
      <c r="Z1120" t="str">
        <f t="shared" si="123"/>
        <v/>
      </c>
      <c r="AL1120" t="str">
        <f t="shared" si="124"/>
        <v/>
      </c>
      <c r="AM1120" t="str">
        <f t="shared" si="125"/>
        <v/>
      </c>
    </row>
    <row r="1121" spans="1:39">
      <c r="A1121" t="str">
        <f>IF(ISBLANK(Record!A1122),"",Record!A1122)</f>
        <v/>
      </c>
      <c r="B1121" t="str">
        <f>IF(ISBLANK(Record!B1122),"",Record!B1122)</f>
        <v/>
      </c>
      <c r="C1121" s="227" t="str">
        <f>IF(ISBLANK(Record!C1122),"",Record!C1122)</f>
        <v/>
      </c>
      <c r="D1121" t="str">
        <f>IF(ISBLANK(Record!D1122),"",Record!D1122)</f>
        <v/>
      </c>
      <c r="E1121" t="str">
        <f>IF(ISBLANK(Record!E1122),"",Record!E1122)</f>
        <v/>
      </c>
      <c r="M1121" t="str">
        <f t="shared" si="119"/>
        <v xml:space="preserve">          </v>
      </c>
      <c r="N1121" s="227" t="str">
        <f t="shared" si="120"/>
        <v/>
      </c>
      <c r="X1121" t="str">
        <f t="shared" si="121"/>
        <v xml:space="preserve">          </v>
      </c>
      <c r="Y1121" s="227" t="str">
        <f t="shared" si="122"/>
        <v/>
      </c>
      <c r="Z1121" t="str">
        <f t="shared" si="123"/>
        <v/>
      </c>
      <c r="AL1121" t="str">
        <f t="shared" si="124"/>
        <v/>
      </c>
      <c r="AM1121" t="str">
        <f t="shared" si="125"/>
        <v/>
      </c>
    </row>
    <row r="1122" spans="1:39">
      <c r="A1122" t="str">
        <f>IF(ISBLANK(Record!A1123),"",Record!A1123)</f>
        <v/>
      </c>
      <c r="B1122" t="str">
        <f>IF(ISBLANK(Record!B1123),"",Record!B1123)</f>
        <v/>
      </c>
      <c r="C1122" s="227" t="str">
        <f>IF(ISBLANK(Record!C1123),"",Record!C1123)</f>
        <v/>
      </c>
      <c r="D1122" t="str">
        <f>IF(ISBLANK(Record!D1123),"",Record!D1123)</f>
        <v/>
      </c>
      <c r="E1122" t="str">
        <f>IF(ISBLANK(Record!E1123),"",Record!E1123)</f>
        <v/>
      </c>
      <c r="M1122" t="str">
        <f t="shared" si="119"/>
        <v xml:space="preserve">          </v>
      </c>
      <c r="N1122" s="227" t="str">
        <f t="shared" si="120"/>
        <v/>
      </c>
      <c r="X1122" t="str">
        <f t="shared" si="121"/>
        <v xml:space="preserve">          </v>
      </c>
      <c r="Y1122" s="227" t="str">
        <f t="shared" si="122"/>
        <v/>
      </c>
      <c r="Z1122" t="str">
        <f t="shared" si="123"/>
        <v/>
      </c>
      <c r="AL1122" t="str">
        <f t="shared" si="124"/>
        <v/>
      </c>
      <c r="AM1122" t="str">
        <f t="shared" si="125"/>
        <v/>
      </c>
    </row>
    <row r="1123" spans="1:39">
      <c r="A1123" t="str">
        <f>IF(ISBLANK(Record!A1124),"",Record!A1124)</f>
        <v/>
      </c>
      <c r="B1123" t="str">
        <f>IF(ISBLANK(Record!B1124),"",Record!B1124)</f>
        <v/>
      </c>
      <c r="C1123" s="227" t="str">
        <f>IF(ISBLANK(Record!C1124),"",Record!C1124)</f>
        <v/>
      </c>
      <c r="D1123" t="str">
        <f>IF(ISBLANK(Record!D1124),"",Record!D1124)</f>
        <v/>
      </c>
      <c r="E1123" t="str">
        <f>IF(ISBLANK(Record!E1124),"",Record!E1124)</f>
        <v/>
      </c>
      <c r="M1123" t="str">
        <f t="shared" si="119"/>
        <v xml:space="preserve">          </v>
      </c>
      <c r="N1123" s="227" t="str">
        <f t="shared" si="120"/>
        <v/>
      </c>
      <c r="X1123" t="str">
        <f t="shared" si="121"/>
        <v xml:space="preserve">          </v>
      </c>
      <c r="Y1123" s="227" t="str">
        <f t="shared" si="122"/>
        <v/>
      </c>
      <c r="Z1123" t="str">
        <f t="shared" si="123"/>
        <v/>
      </c>
      <c r="AL1123" t="str">
        <f t="shared" si="124"/>
        <v/>
      </c>
      <c r="AM1123" t="str">
        <f t="shared" si="125"/>
        <v/>
      </c>
    </row>
    <row r="1124" spans="1:39">
      <c r="A1124" t="str">
        <f>IF(ISBLANK(Record!A1125),"",Record!A1125)</f>
        <v/>
      </c>
      <c r="B1124" t="str">
        <f>IF(ISBLANK(Record!B1125),"",Record!B1125)</f>
        <v/>
      </c>
      <c r="C1124" s="227" t="str">
        <f>IF(ISBLANK(Record!C1125),"",Record!C1125)</f>
        <v/>
      </c>
      <c r="D1124" t="str">
        <f>IF(ISBLANK(Record!D1125),"",Record!D1125)</f>
        <v/>
      </c>
      <c r="E1124" t="str">
        <f>IF(ISBLANK(Record!E1125),"",Record!E1125)</f>
        <v/>
      </c>
      <c r="M1124" t="str">
        <f t="shared" si="119"/>
        <v xml:space="preserve">          </v>
      </c>
      <c r="N1124" s="227" t="str">
        <f t="shared" si="120"/>
        <v/>
      </c>
      <c r="X1124" t="str">
        <f t="shared" si="121"/>
        <v xml:space="preserve">          </v>
      </c>
      <c r="Y1124" s="227" t="str">
        <f t="shared" si="122"/>
        <v/>
      </c>
      <c r="Z1124" t="str">
        <f t="shared" si="123"/>
        <v/>
      </c>
      <c r="AL1124" t="str">
        <f t="shared" si="124"/>
        <v/>
      </c>
      <c r="AM1124" t="str">
        <f t="shared" si="125"/>
        <v/>
      </c>
    </row>
    <row r="1125" spans="1:39">
      <c r="A1125" t="str">
        <f>IF(ISBLANK(Record!A1126),"",Record!A1126)</f>
        <v/>
      </c>
      <c r="B1125" t="str">
        <f>IF(ISBLANK(Record!B1126),"",Record!B1126)</f>
        <v/>
      </c>
      <c r="C1125" s="227" t="str">
        <f>IF(ISBLANK(Record!C1126),"",Record!C1126)</f>
        <v/>
      </c>
      <c r="D1125" t="str">
        <f>IF(ISBLANK(Record!D1126),"",Record!D1126)</f>
        <v/>
      </c>
      <c r="E1125" t="str">
        <f>IF(ISBLANK(Record!E1126),"",Record!E1126)</f>
        <v/>
      </c>
      <c r="M1125" t="str">
        <f t="shared" si="119"/>
        <v xml:space="preserve">          </v>
      </c>
      <c r="N1125" s="227" t="str">
        <f t="shared" si="120"/>
        <v/>
      </c>
      <c r="X1125" t="str">
        <f t="shared" si="121"/>
        <v xml:space="preserve">          </v>
      </c>
      <c r="Y1125" s="227" t="str">
        <f t="shared" si="122"/>
        <v/>
      </c>
      <c r="Z1125" t="str">
        <f t="shared" si="123"/>
        <v/>
      </c>
      <c r="AL1125" t="str">
        <f t="shared" si="124"/>
        <v/>
      </c>
      <c r="AM1125" t="str">
        <f t="shared" si="125"/>
        <v/>
      </c>
    </row>
    <row r="1126" spans="1:39">
      <c r="A1126" t="str">
        <f>IF(ISBLANK(Record!A1127),"",Record!A1127)</f>
        <v/>
      </c>
      <c r="B1126" t="str">
        <f>IF(ISBLANK(Record!B1127),"",Record!B1127)</f>
        <v/>
      </c>
      <c r="C1126" s="227" t="str">
        <f>IF(ISBLANK(Record!C1127),"",Record!C1127)</f>
        <v/>
      </c>
      <c r="D1126" t="str">
        <f>IF(ISBLANK(Record!D1127),"",Record!D1127)</f>
        <v/>
      </c>
      <c r="E1126" t="str">
        <f>IF(ISBLANK(Record!E1127),"",Record!E1127)</f>
        <v/>
      </c>
      <c r="M1126" t="str">
        <f t="shared" si="119"/>
        <v xml:space="preserve">          </v>
      </c>
      <c r="N1126" s="227" t="str">
        <f t="shared" si="120"/>
        <v/>
      </c>
      <c r="X1126" t="str">
        <f t="shared" si="121"/>
        <v xml:space="preserve">          </v>
      </c>
      <c r="Y1126" s="227" t="str">
        <f t="shared" si="122"/>
        <v/>
      </c>
      <c r="Z1126" t="str">
        <f t="shared" si="123"/>
        <v/>
      </c>
      <c r="AL1126" t="str">
        <f t="shared" si="124"/>
        <v/>
      </c>
      <c r="AM1126" t="str">
        <f t="shared" si="125"/>
        <v/>
      </c>
    </row>
    <row r="1127" spans="1:39">
      <c r="A1127" t="str">
        <f>IF(ISBLANK(Record!A1128),"",Record!A1128)</f>
        <v/>
      </c>
      <c r="B1127" t="str">
        <f>IF(ISBLANK(Record!B1128),"",Record!B1128)</f>
        <v/>
      </c>
      <c r="C1127" s="227" t="str">
        <f>IF(ISBLANK(Record!C1128),"",Record!C1128)</f>
        <v/>
      </c>
      <c r="D1127" t="str">
        <f>IF(ISBLANK(Record!D1128),"",Record!D1128)</f>
        <v/>
      </c>
      <c r="E1127" t="str">
        <f>IF(ISBLANK(Record!E1128),"",Record!E1128)</f>
        <v/>
      </c>
      <c r="M1127" t="str">
        <f t="shared" si="119"/>
        <v xml:space="preserve">          </v>
      </c>
      <c r="N1127" s="227" t="str">
        <f t="shared" si="120"/>
        <v/>
      </c>
      <c r="X1127" t="str">
        <f t="shared" si="121"/>
        <v xml:space="preserve">          </v>
      </c>
      <c r="Y1127" s="227" t="str">
        <f t="shared" si="122"/>
        <v/>
      </c>
      <c r="Z1127" t="str">
        <f t="shared" si="123"/>
        <v/>
      </c>
      <c r="AL1127" t="str">
        <f t="shared" si="124"/>
        <v/>
      </c>
      <c r="AM1127" t="str">
        <f t="shared" si="125"/>
        <v/>
      </c>
    </row>
    <row r="1128" spans="1:39">
      <c r="A1128" t="str">
        <f>IF(ISBLANK(Record!A1129),"",Record!A1129)</f>
        <v/>
      </c>
      <c r="B1128" t="str">
        <f>IF(ISBLANK(Record!B1129),"",Record!B1129)</f>
        <v/>
      </c>
      <c r="C1128" s="227" t="str">
        <f>IF(ISBLANK(Record!C1129),"",Record!C1129)</f>
        <v/>
      </c>
      <c r="D1128" t="str">
        <f>IF(ISBLANK(Record!D1129),"",Record!D1129)</f>
        <v/>
      </c>
      <c r="E1128" t="str">
        <f>IF(ISBLANK(Record!E1129),"",Record!E1129)</f>
        <v/>
      </c>
      <c r="M1128" t="str">
        <f t="shared" si="119"/>
        <v xml:space="preserve">          </v>
      </c>
      <c r="N1128" s="227" t="str">
        <f t="shared" si="120"/>
        <v/>
      </c>
      <c r="X1128" t="str">
        <f t="shared" si="121"/>
        <v xml:space="preserve">          </v>
      </c>
      <c r="Y1128" s="227" t="str">
        <f t="shared" si="122"/>
        <v/>
      </c>
      <c r="Z1128" t="str">
        <f t="shared" si="123"/>
        <v/>
      </c>
      <c r="AL1128" t="str">
        <f t="shared" si="124"/>
        <v/>
      </c>
      <c r="AM1128" t="str">
        <f t="shared" si="125"/>
        <v/>
      </c>
    </row>
    <row r="1129" spans="1:39">
      <c r="A1129" t="str">
        <f>IF(ISBLANK(Record!A1130),"",Record!A1130)</f>
        <v/>
      </c>
      <c r="B1129" t="str">
        <f>IF(ISBLANK(Record!B1130),"",Record!B1130)</f>
        <v/>
      </c>
      <c r="C1129" s="227" t="str">
        <f>IF(ISBLANK(Record!C1130),"",Record!C1130)</f>
        <v/>
      </c>
      <c r="D1129" t="str">
        <f>IF(ISBLANK(Record!D1130),"",Record!D1130)</f>
        <v/>
      </c>
      <c r="E1129" t="str">
        <f>IF(ISBLANK(Record!E1130),"",Record!E1130)</f>
        <v/>
      </c>
      <c r="M1129" t="str">
        <f t="shared" si="119"/>
        <v xml:space="preserve">          </v>
      </c>
      <c r="N1129" s="227" t="str">
        <f t="shared" si="120"/>
        <v/>
      </c>
      <c r="X1129" t="str">
        <f t="shared" si="121"/>
        <v xml:space="preserve">          </v>
      </c>
      <c r="Y1129" s="227" t="str">
        <f t="shared" si="122"/>
        <v/>
      </c>
      <c r="Z1129" t="str">
        <f t="shared" si="123"/>
        <v/>
      </c>
      <c r="AL1129" t="str">
        <f t="shared" si="124"/>
        <v/>
      </c>
      <c r="AM1129" t="str">
        <f t="shared" si="125"/>
        <v/>
      </c>
    </row>
    <row r="1130" spans="1:39">
      <c r="A1130" t="str">
        <f>IF(ISBLANK(Record!A1131),"",Record!A1131)</f>
        <v/>
      </c>
      <c r="B1130" t="str">
        <f>IF(ISBLANK(Record!B1131),"",Record!B1131)</f>
        <v/>
      </c>
      <c r="C1130" s="227" t="str">
        <f>IF(ISBLANK(Record!C1131),"",Record!C1131)</f>
        <v/>
      </c>
      <c r="D1130" t="str">
        <f>IF(ISBLANK(Record!D1131),"",Record!D1131)</f>
        <v/>
      </c>
      <c r="E1130" t="str">
        <f>IF(ISBLANK(Record!E1131),"",Record!E1131)</f>
        <v/>
      </c>
      <c r="M1130" t="str">
        <f t="shared" si="119"/>
        <v xml:space="preserve">          </v>
      </c>
      <c r="N1130" s="227" t="str">
        <f t="shared" si="120"/>
        <v/>
      </c>
      <c r="X1130" t="str">
        <f t="shared" si="121"/>
        <v xml:space="preserve">          </v>
      </c>
      <c r="Y1130" s="227" t="str">
        <f t="shared" si="122"/>
        <v/>
      </c>
      <c r="Z1130" t="str">
        <f t="shared" si="123"/>
        <v/>
      </c>
      <c r="AL1130" t="str">
        <f t="shared" si="124"/>
        <v/>
      </c>
      <c r="AM1130" t="str">
        <f t="shared" si="125"/>
        <v/>
      </c>
    </row>
    <row r="1131" spans="1:39">
      <c r="A1131" t="str">
        <f>IF(ISBLANK(Record!A1132),"",Record!A1132)</f>
        <v/>
      </c>
      <c r="B1131" t="str">
        <f>IF(ISBLANK(Record!B1132),"",Record!B1132)</f>
        <v/>
      </c>
      <c r="C1131" s="227" t="str">
        <f>IF(ISBLANK(Record!C1132),"",Record!C1132)</f>
        <v/>
      </c>
      <c r="D1131" t="str">
        <f>IF(ISBLANK(Record!D1132),"",Record!D1132)</f>
        <v/>
      </c>
      <c r="E1131" t="str">
        <f>IF(ISBLANK(Record!E1132),"",Record!E1132)</f>
        <v/>
      </c>
      <c r="M1131" t="str">
        <f t="shared" si="119"/>
        <v xml:space="preserve">          </v>
      </c>
      <c r="N1131" s="227" t="str">
        <f t="shared" si="120"/>
        <v/>
      </c>
      <c r="X1131" t="str">
        <f t="shared" si="121"/>
        <v xml:space="preserve">          </v>
      </c>
      <c r="Y1131" s="227" t="str">
        <f t="shared" si="122"/>
        <v/>
      </c>
      <c r="Z1131" t="str">
        <f t="shared" si="123"/>
        <v/>
      </c>
      <c r="AL1131" t="str">
        <f t="shared" si="124"/>
        <v/>
      </c>
      <c r="AM1131" t="str">
        <f t="shared" si="125"/>
        <v/>
      </c>
    </row>
    <row r="1132" spans="1:39">
      <c r="A1132" t="str">
        <f>IF(ISBLANK(Record!A1133),"",Record!A1133)</f>
        <v/>
      </c>
      <c r="B1132" t="str">
        <f>IF(ISBLANK(Record!B1133),"",Record!B1133)</f>
        <v/>
      </c>
      <c r="C1132" s="227" t="str">
        <f>IF(ISBLANK(Record!C1133),"",Record!C1133)</f>
        <v/>
      </c>
      <c r="D1132" t="str">
        <f>IF(ISBLANK(Record!D1133),"",Record!D1133)</f>
        <v/>
      </c>
      <c r="E1132" t="str">
        <f>IF(ISBLANK(Record!E1133),"",Record!E1133)</f>
        <v/>
      </c>
      <c r="M1132" t="str">
        <f t="shared" si="119"/>
        <v xml:space="preserve">          </v>
      </c>
      <c r="N1132" s="227" t="str">
        <f t="shared" si="120"/>
        <v/>
      </c>
      <c r="X1132" t="str">
        <f t="shared" si="121"/>
        <v xml:space="preserve">          </v>
      </c>
      <c r="Y1132" s="227" t="str">
        <f t="shared" si="122"/>
        <v/>
      </c>
      <c r="Z1132" t="str">
        <f t="shared" si="123"/>
        <v/>
      </c>
      <c r="AL1132" t="str">
        <f t="shared" si="124"/>
        <v/>
      </c>
      <c r="AM1132" t="str">
        <f t="shared" si="125"/>
        <v/>
      </c>
    </row>
    <row r="1133" spans="1:39">
      <c r="A1133" t="str">
        <f>IF(ISBLANK(Record!A1134),"",Record!A1134)</f>
        <v/>
      </c>
      <c r="B1133" t="str">
        <f>IF(ISBLANK(Record!B1134),"",Record!B1134)</f>
        <v/>
      </c>
      <c r="C1133" s="227" t="str">
        <f>IF(ISBLANK(Record!C1134),"",Record!C1134)</f>
        <v/>
      </c>
      <c r="D1133" t="str">
        <f>IF(ISBLANK(Record!D1134),"",Record!D1134)</f>
        <v/>
      </c>
      <c r="E1133" t="str">
        <f>IF(ISBLANK(Record!E1134),"",Record!E1134)</f>
        <v/>
      </c>
      <c r="M1133" t="str">
        <f t="shared" si="119"/>
        <v xml:space="preserve">          </v>
      </c>
      <c r="N1133" s="227" t="str">
        <f t="shared" si="120"/>
        <v/>
      </c>
      <c r="X1133" t="str">
        <f t="shared" si="121"/>
        <v xml:space="preserve">          </v>
      </c>
      <c r="Y1133" s="227" t="str">
        <f t="shared" si="122"/>
        <v/>
      </c>
      <c r="Z1133" t="str">
        <f t="shared" si="123"/>
        <v/>
      </c>
      <c r="AL1133" t="str">
        <f t="shared" si="124"/>
        <v/>
      </c>
      <c r="AM1133" t="str">
        <f t="shared" si="125"/>
        <v/>
      </c>
    </row>
    <row r="1134" spans="1:39">
      <c r="A1134" t="str">
        <f>IF(ISBLANK(Record!A1135),"",Record!A1135)</f>
        <v/>
      </c>
      <c r="B1134" t="str">
        <f>IF(ISBLANK(Record!B1135),"",Record!B1135)</f>
        <v/>
      </c>
      <c r="C1134" s="227" t="str">
        <f>IF(ISBLANK(Record!C1135),"",Record!C1135)</f>
        <v/>
      </c>
      <c r="D1134" t="str">
        <f>IF(ISBLANK(Record!D1135),"",Record!D1135)</f>
        <v/>
      </c>
      <c r="E1134" t="str">
        <f>IF(ISBLANK(Record!E1135),"",Record!E1135)</f>
        <v/>
      </c>
      <c r="M1134" t="str">
        <f t="shared" si="119"/>
        <v xml:space="preserve">          </v>
      </c>
      <c r="N1134" s="227" t="str">
        <f t="shared" si="120"/>
        <v/>
      </c>
      <c r="X1134" t="str">
        <f t="shared" si="121"/>
        <v xml:space="preserve">          </v>
      </c>
      <c r="Y1134" s="227" t="str">
        <f t="shared" si="122"/>
        <v/>
      </c>
      <c r="Z1134" t="str">
        <f t="shared" si="123"/>
        <v/>
      </c>
      <c r="AL1134" t="str">
        <f t="shared" si="124"/>
        <v/>
      </c>
      <c r="AM1134" t="str">
        <f t="shared" si="125"/>
        <v/>
      </c>
    </row>
    <row r="1135" spans="1:39">
      <c r="A1135" t="str">
        <f>IF(ISBLANK(Record!A1136),"",Record!A1136)</f>
        <v/>
      </c>
      <c r="B1135" t="str">
        <f>IF(ISBLANK(Record!B1136),"",Record!B1136)</f>
        <v/>
      </c>
      <c r="C1135" s="227" t="str">
        <f>IF(ISBLANK(Record!C1136),"",Record!C1136)</f>
        <v/>
      </c>
      <c r="D1135" t="str">
        <f>IF(ISBLANK(Record!D1136),"",Record!D1136)</f>
        <v/>
      </c>
      <c r="E1135" t="str">
        <f>IF(ISBLANK(Record!E1136),"",Record!E1136)</f>
        <v/>
      </c>
      <c r="M1135" t="str">
        <f t="shared" si="119"/>
        <v xml:space="preserve">          </v>
      </c>
      <c r="N1135" s="227" t="str">
        <f t="shared" si="120"/>
        <v/>
      </c>
      <c r="X1135" t="str">
        <f t="shared" si="121"/>
        <v xml:space="preserve">          </v>
      </c>
      <c r="Y1135" s="227" t="str">
        <f t="shared" si="122"/>
        <v/>
      </c>
      <c r="Z1135" t="str">
        <f t="shared" si="123"/>
        <v/>
      </c>
      <c r="AL1135" t="str">
        <f t="shared" si="124"/>
        <v/>
      </c>
      <c r="AM1135" t="str">
        <f t="shared" si="125"/>
        <v/>
      </c>
    </row>
    <row r="1136" spans="1:39">
      <c r="A1136" t="str">
        <f>IF(ISBLANK(Record!A1137),"",Record!A1137)</f>
        <v/>
      </c>
      <c r="B1136" t="str">
        <f>IF(ISBLANK(Record!B1137),"",Record!B1137)</f>
        <v/>
      </c>
      <c r="C1136" s="227" t="str">
        <f>IF(ISBLANK(Record!C1137),"",Record!C1137)</f>
        <v/>
      </c>
      <c r="D1136" t="str">
        <f>IF(ISBLANK(Record!D1137),"",Record!D1137)</f>
        <v/>
      </c>
      <c r="E1136" t="str">
        <f>IF(ISBLANK(Record!E1137),"",Record!E1137)</f>
        <v/>
      </c>
      <c r="M1136" t="str">
        <f t="shared" si="119"/>
        <v xml:space="preserve">          </v>
      </c>
      <c r="N1136" s="227" t="str">
        <f t="shared" si="120"/>
        <v/>
      </c>
      <c r="X1136" t="str">
        <f t="shared" si="121"/>
        <v xml:space="preserve">          </v>
      </c>
      <c r="Y1136" s="227" t="str">
        <f t="shared" si="122"/>
        <v/>
      </c>
      <c r="Z1136" t="str">
        <f t="shared" si="123"/>
        <v/>
      </c>
      <c r="AL1136" t="str">
        <f t="shared" si="124"/>
        <v/>
      </c>
      <c r="AM1136" t="str">
        <f t="shared" si="125"/>
        <v/>
      </c>
    </row>
    <row r="1137" spans="1:39">
      <c r="A1137" t="str">
        <f>IF(ISBLANK(Record!A1138),"",Record!A1138)</f>
        <v/>
      </c>
      <c r="B1137" t="str">
        <f>IF(ISBLANK(Record!B1138),"",Record!B1138)</f>
        <v/>
      </c>
      <c r="C1137" s="227" t="str">
        <f>IF(ISBLANK(Record!C1138),"",Record!C1138)</f>
        <v/>
      </c>
      <c r="D1137" t="str">
        <f>IF(ISBLANK(Record!D1138),"",Record!D1138)</f>
        <v/>
      </c>
      <c r="E1137" t="str">
        <f>IF(ISBLANK(Record!E1138),"",Record!E1138)</f>
        <v/>
      </c>
      <c r="M1137" t="str">
        <f t="shared" si="119"/>
        <v xml:space="preserve">          </v>
      </c>
      <c r="N1137" s="227" t="str">
        <f t="shared" si="120"/>
        <v/>
      </c>
      <c r="X1137" t="str">
        <f t="shared" si="121"/>
        <v xml:space="preserve">          </v>
      </c>
      <c r="Y1137" s="227" t="str">
        <f t="shared" si="122"/>
        <v/>
      </c>
      <c r="Z1137" t="str">
        <f t="shared" si="123"/>
        <v/>
      </c>
      <c r="AL1137" t="str">
        <f t="shared" si="124"/>
        <v/>
      </c>
      <c r="AM1137" t="str">
        <f t="shared" si="125"/>
        <v/>
      </c>
    </row>
    <row r="1138" spans="1:39">
      <c r="A1138" t="str">
        <f>IF(ISBLANK(Record!A1139),"",Record!A1139)</f>
        <v/>
      </c>
      <c r="B1138" t="str">
        <f>IF(ISBLANK(Record!B1139),"",Record!B1139)</f>
        <v/>
      </c>
      <c r="C1138" s="227" t="str">
        <f>IF(ISBLANK(Record!C1139),"",Record!C1139)</f>
        <v/>
      </c>
      <c r="D1138" t="str">
        <f>IF(ISBLANK(Record!D1139),"",Record!D1139)</f>
        <v/>
      </c>
      <c r="E1138" t="str">
        <f>IF(ISBLANK(Record!E1139),"",Record!E1139)</f>
        <v/>
      </c>
      <c r="M1138" t="str">
        <f t="shared" si="119"/>
        <v xml:space="preserve">          </v>
      </c>
      <c r="N1138" s="227" t="str">
        <f t="shared" si="120"/>
        <v/>
      </c>
      <c r="X1138" t="str">
        <f t="shared" si="121"/>
        <v xml:space="preserve">          </v>
      </c>
      <c r="Y1138" s="227" t="str">
        <f t="shared" si="122"/>
        <v/>
      </c>
      <c r="Z1138" t="str">
        <f t="shared" si="123"/>
        <v/>
      </c>
      <c r="AL1138" t="str">
        <f t="shared" si="124"/>
        <v/>
      </c>
      <c r="AM1138" t="str">
        <f t="shared" si="125"/>
        <v/>
      </c>
    </row>
    <row r="1139" spans="1:39">
      <c r="A1139" t="str">
        <f>IF(ISBLANK(Record!A1140),"",Record!A1140)</f>
        <v/>
      </c>
      <c r="B1139" t="str">
        <f>IF(ISBLANK(Record!B1140),"",Record!B1140)</f>
        <v/>
      </c>
      <c r="C1139" s="227" t="str">
        <f>IF(ISBLANK(Record!C1140),"",Record!C1140)</f>
        <v/>
      </c>
      <c r="D1139" t="str">
        <f>IF(ISBLANK(Record!D1140),"",Record!D1140)</f>
        <v/>
      </c>
      <c r="E1139" t="str">
        <f>IF(ISBLANK(Record!E1140),"",Record!E1140)</f>
        <v/>
      </c>
      <c r="M1139" t="str">
        <f t="shared" si="119"/>
        <v xml:space="preserve">          </v>
      </c>
      <c r="N1139" s="227" t="str">
        <f t="shared" si="120"/>
        <v/>
      </c>
      <c r="X1139" t="str">
        <f t="shared" si="121"/>
        <v xml:space="preserve">          </v>
      </c>
      <c r="Y1139" s="227" t="str">
        <f t="shared" si="122"/>
        <v/>
      </c>
      <c r="Z1139" t="str">
        <f t="shared" si="123"/>
        <v/>
      </c>
      <c r="AL1139" t="str">
        <f t="shared" si="124"/>
        <v/>
      </c>
      <c r="AM1139" t="str">
        <f t="shared" si="125"/>
        <v/>
      </c>
    </row>
    <row r="1140" spans="1:39">
      <c r="A1140" t="str">
        <f>IF(ISBLANK(Record!A1141),"",Record!A1141)</f>
        <v/>
      </c>
      <c r="B1140" t="str">
        <f>IF(ISBLANK(Record!B1141),"",Record!B1141)</f>
        <v/>
      </c>
      <c r="C1140" s="227" t="str">
        <f>IF(ISBLANK(Record!C1141),"",Record!C1141)</f>
        <v/>
      </c>
      <c r="D1140" t="str">
        <f>IF(ISBLANK(Record!D1141),"",Record!D1141)</f>
        <v/>
      </c>
      <c r="E1140" t="str">
        <f>IF(ISBLANK(Record!E1141),"",Record!E1141)</f>
        <v/>
      </c>
      <c r="M1140" t="str">
        <f t="shared" si="119"/>
        <v xml:space="preserve">          </v>
      </c>
      <c r="N1140" s="227" t="str">
        <f t="shared" si="120"/>
        <v/>
      </c>
      <c r="X1140" t="str">
        <f t="shared" si="121"/>
        <v xml:space="preserve">          </v>
      </c>
      <c r="Y1140" s="227" t="str">
        <f t="shared" si="122"/>
        <v/>
      </c>
      <c r="Z1140" t="str">
        <f t="shared" si="123"/>
        <v/>
      </c>
      <c r="AL1140" t="str">
        <f t="shared" si="124"/>
        <v/>
      </c>
      <c r="AM1140" t="str">
        <f t="shared" si="125"/>
        <v/>
      </c>
    </row>
    <row r="1141" spans="1:39">
      <c r="A1141" t="str">
        <f>IF(ISBLANK(Record!A1142),"",Record!A1142)</f>
        <v/>
      </c>
      <c r="B1141" t="str">
        <f>IF(ISBLANK(Record!B1142),"",Record!B1142)</f>
        <v/>
      </c>
      <c r="C1141" s="227" t="str">
        <f>IF(ISBLANK(Record!C1142),"",Record!C1142)</f>
        <v/>
      </c>
      <c r="D1141" t="str">
        <f>IF(ISBLANK(Record!D1142),"",Record!D1142)</f>
        <v/>
      </c>
      <c r="E1141" t="str">
        <f>IF(ISBLANK(Record!E1142),"",Record!E1142)</f>
        <v/>
      </c>
      <c r="M1141" t="str">
        <f t="shared" si="119"/>
        <v xml:space="preserve">          </v>
      </c>
      <c r="N1141" s="227" t="str">
        <f t="shared" si="120"/>
        <v/>
      </c>
      <c r="X1141" t="str">
        <f t="shared" si="121"/>
        <v xml:space="preserve">          </v>
      </c>
      <c r="Y1141" s="227" t="str">
        <f t="shared" si="122"/>
        <v/>
      </c>
      <c r="Z1141" t="str">
        <f t="shared" si="123"/>
        <v/>
      </c>
      <c r="AL1141" t="str">
        <f t="shared" si="124"/>
        <v/>
      </c>
      <c r="AM1141" t="str">
        <f t="shared" si="125"/>
        <v/>
      </c>
    </row>
    <row r="1142" spans="1:39">
      <c r="A1142" t="str">
        <f>IF(ISBLANK(Record!A1143),"",Record!A1143)</f>
        <v/>
      </c>
      <c r="B1142" t="str">
        <f>IF(ISBLANK(Record!B1143),"",Record!B1143)</f>
        <v/>
      </c>
      <c r="C1142" s="227" t="str">
        <f>IF(ISBLANK(Record!C1143),"",Record!C1143)</f>
        <v/>
      </c>
      <c r="D1142" t="str">
        <f>IF(ISBLANK(Record!D1143),"",Record!D1143)</f>
        <v/>
      </c>
      <c r="E1142" t="str">
        <f>IF(ISBLANK(Record!E1143),"",Record!E1143)</f>
        <v/>
      </c>
      <c r="M1142" t="str">
        <f t="shared" si="119"/>
        <v xml:space="preserve">          </v>
      </c>
      <c r="N1142" s="227" t="str">
        <f t="shared" si="120"/>
        <v/>
      </c>
      <c r="X1142" t="str">
        <f t="shared" si="121"/>
        <v xml:space="preserve">          </v>
      </c>
      <c r="Y1142" s="227" t="str">
        <f t="shared" si="122"/>
        <v/>
      </c>
      <c r="Z1142" t="str">
        <f t="shared" si="123"/>
        <v/>
      </c>
      <c r="AL1142" t="str">
        <f t="shared" si="124"/>
        <v/>
      </c>
      <c r="AM1142" t="str">
        <f t="shared" si="125"/>
        <v/>
      </c>
    </row>
    <row r="1143" spans="1:39">
      <c r="A1143" t="str">
        <f>IF(ISBLANK(Record!A1144),"",Record!A1144)</f>
        <v/>
      </c>
      <c r="B1143" t="str">
        <f>IF(ISBLANK(Record!B1144),"",Record!B1144)</f>
        <v/>
      </c>
      <c r="C1143" s="227" t="str">
        <f>IF(ISBLANK(Record!C1144),"",Record!C1144)</f>
        <v/>
      </c>
      <c r="D1143" t="str">
        <f>IF(ISBLANK(Record!D1144),"",Record!D1144)</f>
        <v/>
      </c>
      <c r="E1143" t="str">
        <f>IF(ISBLANK(Record!E1144),"",Record!E1144)</f>
        <v/>
      </c>
      <c r="M1143" t="str">
        <f t="shared" si="119"/>
        <v xml:space="preserve">          </v>
      </c>
      <c r="N1143" s="227" t="str">
        <f t="shared" si="120"/>
        <v/>
      </c>
      <c r="X1143" t="str">
        <f t="shared" si="121"/>
        <v xml:space="preserve">          </v>
      </c>
      <c r="Y1143" s="227" t="str">
        <f t="shared" si="122"/>
        <v/>
      </c>
      <c r="Z1143" t="str">
        <f t="shared" si="123"/>
        <v/>
      </c>
      <c r="AL1143" t="str">
        <f t="shared" si="124"/>
        <v/>
      </c>
      <c r="AM1143" t="str">
        <f t="shared" si="125"/>
        <v/>
      </c>
    </row>
    <row r="1144" spans="1:39">
      <c r="A1144" t="str">
        <f>IF(ISBLANK(Record!A1145),"",Record!A1145)</f>
        <v/>
      </c>
      <c r="B1144" t="str">
        <f>IF(ISBLANK(Record!B1145),"",Record!B1145)</f>
        <v/>
      </c>
      <c r="C1144" s="227" t="str">
        <f>IF(ISBLANK(Record!C1145),"",Record!C1145)</f>
        <v/>
      </c>
      <c r="D1144" t="str">
        <f>IF(ISBLANK(Record!D1145),"",Record!D1145)</f>
        <v/>
      </c>
      <c r="E1144" t="str">
        <f>IF(ISBLANK(Record!E1145),"",Record!E1145)</f>
        <v/>
      </c>
      <c r="M1144" t="str">
        <f t="shared" si="119"/>
        <v xml:space="preserve">          </v>
      </c>
      <c r="N1144" s="227" t="str">
        <f t="shared" si="120"/>
        <v/>
      </c>
      <c r="X1144" t="str">
        <f t="shared" si="121"/>
        <v xml:space="preserve">          </v>
      </c>
      <c r="Y1144" s="227" t="str">
        <f t="shared" si="122"/>
        <v/>
      </c>
      <c r="Z1144" t="str">
        <f t="shared" si="123"/>
        <v/>
      </c>
      <c r="AL1144" t="str">
        <f t="shared" si="124"/>
        <v/>
      </c>
      <c r="AM1144" t="str">
        <f t="shared" si="125"/>
        <v/>
      </c>
    </row>
    <row r="1145" spans="1:39">
      <c r="A1145" t="str">
        <f>IF(ISBLANK(Record!A1146),"",Record!A1146)</f>
        <v/>
      </c>
      <c r="B1145" t="str">
        <f>IF(ISBLANK(Record!B1146),"",Record!B1146)</f>
        <v/>
      </c>
      <c r="C1145" s="227" t="str">
        <f>IF(ISBLANK(Record!C1146),"",Record!C1146)</f>
        <v/>
      </c>
      <c r="D1145" t="str">
        <f>IF(ISBLANK(Record!D1146),"",Record!D1146)</f>
        <v/>
      </c>
      <c r="E1145" t="str">
        <f>IF(ISBLANK(Record!E1146),"",Record!E1146)</f>
        <v/>
      </c>
      <c r="M1145" t="str">
        <f t="shared" si="119"/>
        <v xml:space="preserve">          </v>
      </c>
      <c r="N1145" s="227" t="str">
        <f t="shared" si="120"/>
        <v/>
      </c>
      <c r="X1145" t="str">
        <f t="shared" si="121"/>
        <v xml:space="preserve">          </v>
      </c>
      <c r="Y1145" s="227" t="str">
        <f t="shared" si="122"/>
        <v/>
      </c>
      <c r="Z1145" t="str">
        <f t="shared" si="123"/>
        <v/>
      </c>
      <c r="AL1145" t="str">
        <f t="shared" si="124"/>
        <v/>
      </c>
      <c r="AM1145" t="str">
        <f t="shared" si="125"/>
        <v/>
      </c>
    </row>
    <row r="1146" spans="1:39">
      <c r="A1146" t="str">
        <f>IF(ISBLANK(Record!A1147),"",Record!A1147)</f>
        <v/>
      </c>
      <c r="B1146" t="str">
        <f>IF(ISBLANK(Record!B1147),"",Record!B1147)</f>
        <v/>
      </c>
      <c r="C1146" s="227" t="str">
        <f>IF(ISBLANK(Record!C1147),"",Record!C1147)</f>
        <v/>
      </c>
      <c r="D1146" t="str">
        <f>IF(ISBLANK(Record!D1147),"",Record!D1147)</f>
        <v/>
      </c>
      <c r="E1146" t="str">
        <f>IF(ISBLANK(Record!E1147),"",Record!E1147)</f>
        <v/>
      </c>
      <c r="M1146" t="str">
        <f t="shared" si="119"/>
        <v xml:space="preserve">          </v>
      </c>
      <c r="N1146" s="227" t="str">
        <f t="shared" si="120"/>
        <v/>
      </c>
      <c r="X1146" t="str">
        <f t="shared" si="121"/>
        <v xml:space="preserve">          </v>
      </c>
      <c r="Y1146" s="227" t="str">
        <f t="shared" si="122"/>
        <v/>
      </c>
      <c r="Z1146" t="str">
        <f t="shared" si="123"/>
        <v/>
      </c>
      <c r="AL1146" t="str">
        <f t="shared" si="124"/>
        <v/>
      </c>
      <c r="AM1146" t="str">
        <f t="shared" si="125"/>
        <v/>
      </c>
    </row>
    <row r="1147" spans="1:39">
      <c r="A1147" t="str">
        <f>IF(ISBLANK(Record!A1148),"",Record!A1148)</f>
        <v/>
      </c>
      <c r="B1147" t="str">
        <f>IF(ISBLANK(Record!B1148),"",Record!B1148)</f>
        <v/>
      </c>
      <c r="C1147" s="227" t="str">
        <f>IF(ISBLANK(Record!C1148),"",Record!C1148)</f>
        <v/>
      </c>
      <c r="D1147" t="str">
        <f>IF(ISBLANK(Record!D1148),"",Record!D1148)</f>
        <v/>
      </c>
      <c r="E1147" t="str">
        <f>IF(ISBLANK(Record!E1148),"",Record!E1148)</f>
        <v/>
      </c>
      <c r="M1147" t="str">
        <f t="shared" si="119"/>
        <v xml:space="preserve">          </v>
      </c>
      <c r="N1147" s="227" t="str">
        <f t="shared" si="120"/>
        <v/>
      </c>
      <c r="X1147" t="str">
        <f t="shared" si="121"/>
        <v xml:space="preserve">          </v>
      </c>
      <c r="Y1147" s="227" t="str">
        <f t="shared" si="122"/>
        <v/>
      </c>
      <c r="Z1147" t="str">
        <f t="shared" si="123"/>
        <v/>
      </c>
      <c r="AL1147" t="str">
        <f t="shared" si="124"/>
        <v/>
      </c>
      <c r="AM1147" t="str">
        <f t="shared" si="125"/>
        <v/>
      </c>
    </row>
    <row r="1148" spans="1:39">
      <c r="A1148" t="str">
        <f>IF(ISBLANK(Record!A1149),"",Record!A1149)</f>
        <v/>
      </c>
      <c r="B1148" t="str">
        <f>IF(ISBLANK(Record!B1149),"",Record!B1149)</f>
        <v/>
      </c>
      <c r="C1148" s="227" t="str">
        <f>IF(ISBLANK(Record!C1149),"",Record!C1149)</f>
        <v/>
      </c>
      <c r="D1148" t="str">
        <f>IF(ISBLANK(Record!D1149),"",Record!D1149)</f>
        <v/>
      </c>
      <c r="E1148" t="str">
        <f>IF(ISBLANK(Record!E1149),"",Record!E1149)</f>
        <v/>
      </c>
      <c r="M1148" t="str">
        <f t="shared" si="119"/>
        <v xml:space="preserve">          </v>
      </c>
      <c r="N1148" s="227" t="str">
        <f t="shared" si="120"/>
        <v/>
      </c>
      <c r="X1148" t="str">
        <f t="shared" si="121"/>
        <v xml:space="preserve">          </v>
      </c>
      <c r="Y1148" s="227" t="str">
        <f t="shared" si="122"/>
        <v/>
      </c>
      <c r="Z1148" t="str">
        <f t="shared" si="123"/>
        <v/>
      </c>
      <c r="AL1148" t="str">
        <f t="shared" si="124"/>
        <v/>
      </c>
      <c r="AM1148" t="str">
        <f t="shared" si="125"/>
        <v/>
      </c>
    </row>
    <row r="1149" spans="1:39">
      <c r="A1149" t="str">
        <f>IF(ISBLANK(Record!A1150),"",Record!A1150)</f>
        <v/>
      </c>
      <c r="B1149" t="str">
        <f>IF(ISBLANK(Record!B1150),"",Record!B1150)</f>
        <v/>
      </c>
      <c r="C1149" s="227" t="str">
        <f>IF(ISBLANK(Record!C1150),"",Record!C1150)</f>
        <v/>
      </c>
      <c r="D1149" t="str">
        <f>IF(ISBLANK(Record!D1150),"",Record!D1150)</f>
        <v/>
      </c>
      <c r="E1149" t="str">
        <f>IF(ISBLANK(Record!E1150),"",Record!E1150)</f>
        <v/>
      </c>
      <c r="M1149" t="str">
        <f t="shared" si="119"/>
        <v xml:space="preserve">          </v>
      </c>
      <c r="N1149" s="227" t="str">
        <f t="shared" si="120"/>
        <v/>
      </c>
      <c r="X1149" t="str">
        <f t="shared" si="121"/>
        <v xml:space="preserve">          </v>
      </c>
      <c r="Y1149" s="227" t="str">
        <f t="shared" si="122"/>
        <v/>
      </c>
      <c r="Z1149" t="str">
        <f t="shared" si="123"/>
        <v/>
      </c>
      <c r="AL1149" t="str">
        <f t="shared" si="124"/>
        <v/>
      </c>
      <c r="AM1149" t="str">
        <f t="shared" si="125"/>
        <v/>
      </c>
    </row>
    <row r="1150" spans="1:39">
      <c r="A1150" t="str">
        <f>IF(ISBLANK(Record!A1151),"",Record!A1151)</f>
        <v/>
      </c>
      <c r="B1150" t="str">
        <f>IF(ISBLANK(Record!B1151),"",Record!B1151)</f>
        <v/>
      </c>
      <c r="C1150" s="227" t="str">
        <f>IF(ISBLANK(Record!C1151),"",Record!C1151)</f>
        <v/>
      </c>
      <c r="D1150" t="str">
        <f>IF(ISBLANK(Record!D1151),"",Record!D1151)</f>
        <v/>
      </c>
      <c r="E1150" t="str">
        <f>IF(ISBLANK(Record!E1151),"",Record!E1151)</f>
        <v/>
      </c>
      <c r="M1150" t="str">
        <f t="shared" si="119"/>
        <v xml:space="preserve">          </v>
      </c>
      <c r="N1150" s="227" t="str">
        <f t="shared" si="120"/>
        <v/>
      </c>
      <c r="X1150" t="str">
        <f t="shared" si="121"/>
        <v xml:space="preserve">          </v>
      </c>
      <c r="Y1150" s="227" t="str">
        <f t="shared" si="122"/>
        <v/>
      </c>
      <c r="Z1150" t="str">
        <f t="shared" si="123"/>
        <v/>
      </c>
      <c r="AL1150" t="str">
        <f t="shared" si="124"/>
        <v/>
      </c>
      <c r="AM1150" t="str">
        <f t="shared" si="125"/>
        <v/>
      </c>
    </row>
    <row r="1151" spans="1:39">
      <c r="A1151" t="str">
        <f>IF(ISBLANK(Record!A1152),"",Record!A1152)</f>
        <v/>
      </c>
      <c r="B1151" t="str">
        <f>IF(ISBLANK(Record!B1152),"",Record!B1152)</f>
        <v/>
      </c>
      <c r="C1151" s="227" t="str">
        <f>IF(ISBLANK(Record!C1152),"",Record!C1152)</f>
        <v/>
      </c>
      <c r="D1151" t="str">
        <f>IF(ISBLANK(Record!D1152),"",Record!D1152)</f>
        <v/>
      </c>
      <c r="E1151" t="str">
        <f>IF(ISBLANK(Record!E1152),"",Record!E1152)</f>
        <v/>
      </c>
      <c r="M1151" t="str">
        <f t="shared" si="119"/>
        <v xml:space="preserve">          </v>
      </c>
      <c r="N1151" s="227" t="str">
        <f t="shared" si="120"/>
        <v/>
      </c>
      <c r="X1151" t="str">
        <f t="shared" si="121"/>
        <v xml:space="preserve">          </v>
      </c>
      <c r="Y1151" s="227" t="str">
        <f t="shared" si="122"/>
        <v/>
      </c>
      <c r="Z1151" t="str">
        <f t="shared" si="123"/>
        <v/>
      </c>
      <c r="AL1151" t="str">
        <f t="shared" si="124"/>
        <v/>
      </c>
      <c r="AM1151" t="str">
        <f t="shared" si="125"/>
        <v/>
      </c>
    </row>
    <row r="1152" spans="1:39">
      <c r="A1152" t="str">
        <f>IF(ISBLANK(Record!A1153),"",Record!A1153)</f>
        <v/>
      </c>
      <c r="B1152" t="str">
        <f>IF(ISBLANK(Record!B1153),"",Record!B1153)</f>
        <v/>
      </c>
      <c r="C1152" s="227" t="str">
        <f>IF(ISBLANK(Record!C1153),"",Record!C1153)</f>
        <v/>
      </c>
      <c r="D1152" t="str">
        <f>IF(ISBLANK(Record!D1153),"",Record!D1153)</f>
        <v/>
      </c>
      <c r="E1152" t="str">
        <f>IF(ISBLANK(Record!E1153),"",Record!E1153)</f>
        <v/>
      </c>
      <c r="M1152" t="str">
        <f t="shared" si="119"/>
        <v xml:space="preserve">          </v>
      </c>
      <c r="N1152" s="227" t="str">
        <f t="shared" si="120"/>
        <v/>
      </c>
      <c r="X1152" t="str">
        <f t="shared" si="121"/>
        <v xml:space="preserve">          </v>
      </c>
      <c r="Y1152" s="227" t="str">
        <f t="shared" si="122"/>
        <v/>
      </c>
      <c r="Z1152" t="str">
        <f t="shared" si="123"/>
        <v/>
      </c>
      <c r="AL1152" t="str">
        <f t="shared" si="124"/>
        <v/>
      </c>
      <c r="AM1152" t="str">
        <f t="shared" si="125"/>
        <v/>
      </c>
    </row>
    <row r="1153" spans="1:39">
      <c r="A1153" t="str">
        <f>IF(ISBLANK(Record!A1154),"",Record!A1154)</f>
        <v/>
      </c>
      <c r="B1153" t="str">
        <f>IF(ISBLANK(Record!B1154),"",Record!B1154)</f>
        <v/>
      </c>
      <c r="C1153" s="227" t="str">
        <f>IF(ISBLANK(Record!C1154),"",Record!C1154)</f>
        <v/>
      </c>
      <c r="D1153" t="str">
        <f>IF(ISBLANK(Record!D1154),"",Record!D1154)</f>
        <v/>
      </c>
      <c r="E1153" t="str">
        <f>IF(ISBLANK(Record!E1154),"",Record!E1154)</f>
        <v/>
      </c>
      <c r="M1153" t="str">
        <f t="shared" si="119"/>
        <v xml:space="preserve">          </v>
      </c>
      <c r="N1153" s="227" t="str">
        <f t="shared" si="120"/>
        <v/>
      </c>
      <c r="X1153" t="str">
        <f t="shared" si="121"/>
        <v xml:space="preserve">          </v>
      </c>
      <c r="Y1153" s="227" t="str">
        <f t="shared" si="122"/>
        <v/>
      </c>
      <c r="Z1153" t="str">
        <f t="shared" si="123"/>
        <v/>
      </c>
      <c r="AL1153" t="str">
        <f t="shared" si="124"/>
        <v/>
      </c>
      <c r="AM1153" t="str">
        <f t="shared" si="125"/>
        <v/>
      </c>
    </row>
    <row r="1154" spans="1:39">
      <c r="A1154" t="str">
        <f>IF(ISBLANK(Record!A1155),"",Record!A1155)</f>
        <v/>
      </c>
      <c r="B1154" t="str">
        <f>IF(ISBLANK(Record!B1155),"",Record!B1155)</f>
        <v/>
      </c>
      <c r="C1154" s="227" t="str">
        <f>IF(ISBLANK(Record!C1155),"",Record!C1155)</f>
        <v/>
      </c>
      <c r="D1154" t="str">
        <f>IF(ISBLANK(Record!D1155),"",Record!D1155)</f>
        <v/>
      </c>
      <c r="E1154" t="str">
        <f>IF(ISBLANK(Record!E1155),"",Record!E1155)</f>
        <v/>
      </c>
      <c r="M1154" t="str">
        <f t="shared" si="119"/>
        <v xml:space="preserve">          </v>
      </c>
      <c r="N1154" s="227" t="str">
        <f t="shared" si="120"/>
        <v/>
      </c>
      <c r="X1154" t="str">
        <f t="shared" si="121"/>
        <v xml:space="preserve">          </v>
      </c>
      <c r="Y1154" s="227" t="str">
        <f t="shared" si="122"/>
        <v/>
      </c>
      <c r="Z1154" t="str">
        <f t="shared" si="123"/>
        <v/>
      </c>
      <c r="AL1154" t="str">
        <f t="shared" si="124"/>
        <v/>
      </c>
      <c r="AM1154" t="str">
        <f t="shared" si="125"/>
        <v/>
      </c>
    </row>
    <row r="1155" spans="1:39">
      <c r="A1155" t="str">
        <f>IF(ISBLANK(Record!A1156),"",Record!A1156)</f>
        <v/>
      </c>
      <c r="B1155" t="str">
        <f>IF(ISBLANK(Record!B1156),"",Record!B1156)</f>
        <v/>
      </c>
      <c r="C1155" s="227" t="str">
        <f>IF(ISBLANK(Record!C1156),"",Record!C1156)</f>
        <v/>
      </c>
      <c r="D1155" t="str">
        <f>IF(ISBLANK(Record!D1156),"",Record!D1156)</f>
        <v/>
      </c>
      <c r="E1155" t="str">
        <f>IF(ISBLANK(Record!E1156),"",Record!E1156)</f>
        <v/>
      </c>
      <c r="M1155" t="str">
        <f t="shared" ref="M1155:M1218" si="126">RIGHT("                                   " &amp; A1155,10)</f>
        <v xml:space="preserve">          </v>
      </c>
      <c r="N1155" s="227" t="str">
        <f t="shared" ref="N1155:N1218" si="127">RIGHT(C1155,16)</f>
        <v/>
      </c>
      <c r="X1155" t="str">
        <f t="shared" ref="X1155:X1218" si="128">RIGHT("                                   " &amp; A1155,10)</f>
        <v xml:space="preserve">          </v>
      </c>
      <c r="Y1155" s="227" t="str">
        <f t="shared" ref="Y1155:Y1218" si="129">RIGHT(C1155,16)</f>
        <v/>
      </c>
      <c r="Z1155" t="str">
        <f t="shared" ref="Z1155:Z1218" si="130">RIGHT(D1155,8)</f>
        <v/>
      </c>
      <c r="AL1155" t="str">
        <f t="shared" ref="AL1155:AL1218" si="131">D1155</f>
        <v/>
      </c>
      <c r="AM1155" t="str">
        <f t="shared" ref="AM1155:AM1218" si="132">IF(E1155&lt;&gt;AL1155,E1155,E1155)</f>
        <v/>
      </c>
    </row>
    <row r="1156" spans="1:39">
      <c r="A1156" t="str">
        <f>IF(ISBLANK(Record!A1157),"",Record!A1157)</f>
        <v/>
      </c>
      <c r="B1156" t="str">
        <f>IF(ISBLANK(Record!B1157),"",Record!B1157)</f>
        <v/>
      </c>
      <c r="C1156" s="227" t="str">
        <f>IF(ISBLANK(Record!C1157),"",Record!C1157)</f>
        <v/>
      </c>
      <c r="D1156" t="str">
        <f>IF(ISBLANK(Record!D1157),"",Record!D1157)</f>
        <v/>
      </c>
      <c r="E1156" t="str">
        <f>IF(ISBLANK(Record!E1157),"",Record!E1157)</f>
        <v/>
      </c>
      <c r="M1156" t="str">
        <f t="shared" si="126"/>
        <v xml:space="preserve">          </v>
      </c>
      <c r="N1156" s="227" t="str">
        <f t="shared" si="127"/>
        <v/>
      </c>
      <c r="X1156" t="str">
        <f t="shared" si="128"/>
        <v xml:space="preserve">          </v>
      </c>
      <c r="Y1156" s="227" t="str">
        <f t="shared" si="129"/>
        <v/>
      </c>
      <c r="Z1156" t="str">
        <f t="shared" si="130"/>
        <v/>
      </c>
      <c r="AL1156" t="str">
        <f t="shared" si="131"/>
        <v/>
      </c>
      <c r="AM1156" t="str">
        <f t="shared" si="132"/>
        <v/>
      </c>
    </row>
    <row r="1157" spans="1:39">
      <c r="A1157" t="str">
        <f>IF(ISBLANK(Record!A1158),"",Record!A1158)</f>
        <v/>
      </c>
      <c r="B1157" t="str">
        <f>IF(ISBLANK(Record!B1158),"",Record!B1158)</f>
        <v/>
      </c>
      <c r="C1157" s="227" t="str">
        <f>IF(ISBLANK(Record!C1158),"",Record!C1158)</f>
        <v/>
      </c>
      <c r="D1157" t="str">
        <f>IF(ISBLANK(Record!D1158),"",Record!D1158)</f>
        <v/>
      </c>
      <c r="E1157" t="str">
        <f>IF(ISBLANK(Record!E1158),"",Record!E1158)</f>
        <v/>
      </c>
      <c r="M1157" t="str">
        <f t="shared" si="126"/>
        <v xml:space="preserve">          </v>
      </c>
      <c r="N1157" s="227" t="str">
        <f t="shared" si="127"/>
        <v/>
      </c>
      <c r="X1157" t="str">
        <f t="shared" si="128"/>
        <v xml:space="preserve">          </v>
      </c>
      <c r="Y1157" s="227" t="str">
        <f t="shared" si="129"/>
        <v/>
      </c>
      <c r="Z1157" t="str">
        <f t="shared" si="130"/>
        <v/>
      </c>
      <c r="AL1157" t="str">
        <f t="shared" si="131"/>
        <v/>
      </c>
      <c r="AM1157" t="str">
        <f t="shared" si="132"/>
        <v/>
      </c>
    </row>
    <row r="1158" spans="1:39">
      <c r="A1158" t="str">
        <f>IF(ISBLANK(Record!A1159),"",Record!A1159)</f>
        <v/>
      </c>
      <c r="B1158" t="str">
        <f>IF(ISBLANK(Record!B1159),"",Record!B1159)</f>
        <v/>
      </c>
      <c r="C1158" s="227" t="str">
        <f>IF(ISBLANK(Record!C1159),"",Record!C1159)</f>
        <v/>
      </c>
      <c r="D1158" t="str">
        <f>IF(ISBLANK(Record!D1159),"",Record!D1159)</f>
        <v/>
      </c>
      <c r="E1158" t="str">
        <f>IF(ISBLANK(Record!E1159),"",Record!E1159)</f>
        <v/>
      </c>
      <c r="M1158" t="str">
        <f t="shared" si="126"/>
        <v xml:space="preserve">          </v>
      </c>
      <c r="N1158" s="227" t="str">
        <f t="shared" si="127"/>
        <v/>
      </c>
      <c r="X1158" t="str">
        <f t="shared" si="128"/>
        <v xml:space="preserve">          </v>
      </c>
      <c r="Y1158" s="227" t="str">
        <f t="shared" si="129"/>
        <v/>
      </c>
      <c r="Z1158" t="str">
        <f t="shared" si="130"/>
        <v/>
      </c>
      <c r="AL1158" t="str">
        <f t="shared" si="131"/>
        <v/>
      </c>
      <c r="AM1158" t="str">
        <f t="shared" si="132"/>
        <v/>
      </c>
    </row>
    <row r="1159" spans="1:39">
      <c r="A1159" t="str">
        <f>IF(ISBLANK(Record!A1160),"",Record!A1160)</f>
        <v/>
      </c>
      <c r="B1159" t="str">
        <f>IF(ISBLANK(Record!B1160),"",Record!B1160)</f>
        <v/>
      </c>
      <c r="C1159" s="227" t="str">
        <f>IF(ISBLANK(Record!C1160),"",Record!C1160)</f>
        <v/>
      </c>
      <c r="D1159" t="str">
        <f>IF(ISBLANK(Record!D1160),"",Record!D1160)</f>
        <v/>
      </c>
      <c r="E1159" t="str">
        <f>IF(ISBLANK(Record!E1160),"",Record!E1160)</f>
        <v/>
      </c>
      <c r="M1159" t="str">
        <f t="shared" si="126"/>
        <v xml:space="preserve">          </v>
      </c>
      <c r="N1159" s="227" t="str">
        <f t="shared" si="127"/>
        <v/>
      </c>
      <c r="X1159" t="str">
        <f t="shared" si="128"/>
        <v xml:space="preserve">          </v>
      </c>
      <c r="Y1159" s="227" t="str">
        <f t="shared" si="129"/>
        <v/>
      </c>
      <c r="Z1159" t="str">
        <f t="shared" si="130"/>
        <v/>
      </c>
      <c r="AL1159" t="str">
        <f t="shared" si="131"/>
        <v/>
      </c>
      <c r="AM1159" t="str">
        <f t="shared" si="132"/>
        <v/>
      </c>
    </row>
    <row r="1160" spans="1:39">
      <c r="A1160" t="str">
        <f>IF(ISBLANK(Record!A1161),"",Record!A1161)</f>
        <v/>
      </c>
      <c r="B1160" t="str">
        <f>IF(ISBLANK(Record!B1161),"",Record!B1161)</f>
        <v/>
      </c>
      <c r="C1160" s="227" t="str">
        <f>IF(ISBLANK(Record!C1161),"",Record!C1161)</f>
        <v/>
      </c>
      <c r="D1160" t="str">
        <f>IF(ISBLANK(Record!D1161),"",Record!D1161)</f>
        <v/>
      </c>
      <c r="E1160" t="str">
        <f>IF(ISBLANK(Record!E1161),"",Record!E1161)</f>
        <v/>
      </c>
      <c r="M1160" t="str">
        <f t="shared" si="126"/>
        <v xml:space="preserve">          </v>
      </c>
      <c r="N1160" s="227" t="str">
        <f t="shared" si="127"/>
        <v/>
      </c>
      <c r="X1160" t="str">
        <f t="shared" si="128"/>
        <v xml:space="preserve">          </v>
      </c>
      <c r="Y1160" s="227" t="str">
        <f t="shared" si="129"/>
        <v/>
      </c>
      <c r="Z1160" t="str">
        <f t="shared" si="130"/>
        <v/>
      </c>
      <c r="AL1160" t="str">
        <f t="shared" si="131"/>
        <v/>
      </c>
      <c r="AM1160" t="str">
        <f t="shared" si="132"/>
        <v/>
      </c>
    </row>
    <row r="1161" spans="1:39">
      <c r="A1161" t="str">
        <f>IF(ISBLANK(Record!A1162),"",Record!A1162)</f>
        <v/>
      </c>
      <c r="B1161" t="str">
        <f>IF(ISBLANK(Record!B1162),"",Record!B1162)</f>
        <v/>
      </c>
      <c r="C1161" s="227" t="str">
        <f>IF(ISBLANK(Record!C1162),"",Record!C1162)</f>
        <v/>
      </c>
      <c r="D1161" t="str">
        <f>IF(ISBLANK(Record!D1162),"",Record!D1162)</f>
        <v/>
      </c>
      <c r="E1161" t="str">
        <f>IF(ISBLANK(Record!E1162),"",Record!E1162)</f>
        <v/>
      </c>
      <c r="M1161" t="str">
        <f t="shared" si="126"/>
        <v xml:space="preserve">          </v>
      </c>
      <c r="N1161" s="227" t="str">
        <f t="shared" si="127"/>
        <v/>
      </c>
      <c r="X1161" t="str">
        <f t="shared" si="128"/>
        <v xml:space="preserve">          </v>
      </c>
      <c r="Y1161" s="227" t="str">
        <f t="shared" si="129"/>
        <v/>
      </c>
      <c r="Z1161" t="str">
        <f t="shared" si="130"/>
        <v/>
      </c>
      <c r="AL1161" t="str">
        <f t="shared" si="131"/>
        <v/>
      </c>
      <c r="AM1161" t="str">
        <f t="shared" si="132"/>
        <v/>
      </c>
    </row>
    <row r="1162" spans="1:39">
      <c r="A1162" t="str">
        <f>IF(ISBLANK(Record!A1163),"",Record!A1163)</f>
        <v/>
      </c>
      <c r="B1162" t="str">
        <f>IF(ISBLANK(Record!B1163),"",Record!B1163)</f>
        <v/>
      </c>
      <c r="C1162" s="227" t="str">
        <f>IF(ISBLANK(Record!C1163),"",Record!C1163)</f>
        <v/>
      </c>
      <c r="D1162" t="str">
        <f>IF(ISBLANK(Record!D1163),"",Record!D1163)</f>
        <v/>
      </c>
      <c r="E1162" t="str">
        <f>IF(ISBLANK(Record!E1163),"",Record!E1163)</f>
        <v/>
      </c>
      <c r="M1162" t="str">
        <f t="shared" si="126"/>
        <v xml:space="preserve">          </v>
      </c>
      <c r="N1162" s="227" t="str">
        <f t="shared" si="127"/>
        <v/>
      </c>
      <c r="X1162" t="str">
        <f t="shared" si="128"/>
        <v xml:space="preserve">          </v>
      </c>
      <c r="Y1162" s="227" t="str">
        <f t="shared" si="129"/>
        <v/>
      </c>
      <c r="Z1162" t="str">
        <f t="shared" si="130"/>
        <v/>
      </c>
      <c r="AL1162" t="str">
        <f t="shared" si="131"/>
        <v/>
      </c>
      <c r="AM1162" t="str">
        <f t="shared" si="132"/>
        <v/>
      </c>
    </row>
    <row r="1163" spans="1:39">
      <c r="A1163" t="str">
        <f>IF(ISBLANK(Record!A1164),"",Record!A1164)</f>
        <v/>
      </c>
      <c r="B1163" t="str">
        <f>IF(ISBLANK(Record!B1164),"",Record!B1164)</f>
        <v/>
      </c>
      <c r="C1163" s="227" t="str">
        <f>IF(ISBLANK(Record!C1164),"",Record!C1164)</f>
        <v/>
      </c>
      <c r="D1163" t="str">
        <f>IF(ISBLANK(Record!D1164),"",Record!D1164)</f>
        <v/>
      </c>
      <c r="E1163" t="str">
        <f>IF(ISBLANK(Record!E1164),"",Record!E1164)</f>
        <v/>
      </c>
      <c r="M1163" t="str">
        <f t="shared" si="126"/>
        <v xml:space="preserve">          </v>
      </c>
      <c r="N1163" s="227" t="str">
        <f t="shared" si="127"/>
        <v/>
      </c>
      <c r="X1163" t="str">
        <f t="shared" si="128"/>
        <v xml:space="preserve">          </v>
      </c>
      <c r="Y1163" s="227" t="str">
        <f t="shared" si="129"/>
        <v/>
      </c>
      <c r="Z1163" t="str">
        <f t="shared" si="130"/>
        <v/>
      </c>
      <c r="AL1163" t="str">
        <f t="shared" si="131"/>
        <v/>
      </c>
      <c r="AM1163" t="str">
        <f t="shared" si="132"/>
        <v/>
      </c>
    </row>
    <row r="1164" spans="1:39">
      <c r="A1164" t="str">
        <f>IF(ISBLANK(Record!A1165),"",Record!A1165)</f>
        <v/>
      </c>
      <c r="B1164" t="str">
        <f>IF(ISBLANK(Record!B1165),"",Record!B1165)</f>
        <v/>
      </c>
      <c r="C1164" s="227" t="str">
        <f>IF(ISBLANK(Record!C1165),"",Record!C1165)</f>
        <v/>
      </c>
      <c r="D1164" t="str">
        <f>IF(ISBLANK(Record!D1165),"",Record!D1165)</f>
        <v/>
      </c>
      <c r="E1164" t="str">
        <f>IF(ISBLANK(Record!E1165),"",Record!E1165)</f>
        <v/>
      </c>
      <c r="M1164" t="str">
        <f t="shared" si="126"/>
        <v xml:space="preserve">          </v>
      </c>
      <c r="N1164" s="227" t="str">
        <f t="shared" si="127"/>
        <v/>
      </c>
      <c r="X1164" t="str">
        <f t="shared" si="128"/>
        <v xml:space="preserve">          </v>
      </c>
      <c r="Y1164" s="227" t="str">
        <f t="shared" si="129"/>
        <v/>
      </c>
      <c r="Z1164" t="str">
        <f t="shared" si="130"/>
        <v/>
      </c>
      <c r="AL1164" t="str">
        <f t="shared" si="131"/>
        <v/>
      </c>
      <c r="AM1164" t="str">
        <f t="shared" si="132"/>
        <v/>
      </c>
    </row>
    <row r="1165" spans="1:39">
      <c r="A1165" t="str">
        <f>IF(ISBLANK(Record!A1166),"",Record!A1166)</f>
        <v/>
      </c>
      <c r="B1165" t="str">
        <f>IF(ISBLANK(Record!B1166),"",Record!B1166)</f>
        <v/>
      </c>
      <c r="C1165" s="227" t="str">
        <f>IF(ISBLANK(Record!C1166),"",Record!C1166)</f>
        <v/>
      </c>
      <c r="D1165" t="str">
        <f>IF(ISBLANK(Record!D1166),"",Record!D1166)</f>
        <v/>
      </c>
      <c r="E1165" t="str">
        <f>IF(ISBLANK(Record!E1166),"",Record!E1166)</f>
        <v/>
      </c>
      <c r="M1165" t="str">
        <f t="shared" si="126"/>
        <v xml:space="preserve">          </v>
      </c>
      <c r="N1165" s="227" t="str">
        <f t="shared" si="127"/>
        <v/>
      </c>
      <c r="X1165" t="str">
        <f t="shared" si="128"/>
        <v xml:space="preserve">          </v>
      </c>
      <c r="Y1165" s="227" t="str">
        <f t="shared" si="129"/>
        <v/>
      </c>
      <c r="Z1165" t="str">
        <f t="shared" si="130"/>
        <v/>
      </c>
      <c r="AL1165" t="str">
        <f t="shared" si="131"/>
        <v/>
      </c>
      <c r="AM1165" t="str">
        <f t="shared" si="132"/>
        <v/>
      </c>
    </row>
    <row r="1166" spans="1:39">
      <c r="A1166" t="str">
        <f>IF(ISBLANK(Record!A1167),"",Record!A1167)</f>
        <v/>
      </c>
      <c r="B1166" t="str">
        <f>IF(ISBLANK(Record!B1167),"",Record!B1167)</f>
        <v/>
      </c>
      <c r="C1166" s="227" t="str">
        <f>IF(ISBLANK(Record!C1167),"",Record!C1167)</f>
        <v/>
      </c>
      <c r="D1166" t="str">
        <f>IF(ISBLANK(Record!D1167),"",Record!D1167)</f>
        <v/>
      </c>
      <c r="E1166" t="str">
        <f>IF(ISBLANK(Record!E1167),"",Record!E1167)</f>
        <v/>
      </c>
      <c r="M1166" t="str">
        <f t="shared" si="126"/>
        <v xml:space="preserve">          </v>
      </c>
      <c r="N1166" s="227" t="str">
        <f t="shared" si="127"/>
        <v/>
      </c>
      <c r="X1166" t="str">
        <f t="shared" si="128"/>
        <v xml:space="preserve">          </v>
      </c>
      <c r="Y1166" s="227" t="str">
        <f t="shared" si="129"/>
        <v/>
      </c>
      <c r="Z1166" t="str">
        <f t="shared" si="130"/>
        <v/>
      </c>
      <c r="AL1166" t="str">
        <f t="shared" si="131"/>
        <v/>
      </c>
      <c r="AM1166" t="str">
        <f t="shared" si="132"/>
        <v/>
      </c>
    </row>
    <row r="1167" spans="1:39">
      <c r="A1167" t="str">
        <f>IF(ISBLANK(Record!A1168),"",Record!A1168)</f>
        <v/>
      </c>
      <c r="B1167" t="str">
        <f>IF(ISBLANK(Record!B1168),"",Record!B1168)</f>
        <v/>
      </c>
      <c r="C1167" s="227" t="str">
        <f>IF(ISBLANK(Record!C1168),"",Record!C1168)</f>
        <v/>
      </c>
      <c r="D1167" t="str">
        <f>IF(ISBLANK(Record!D1168),"",Record!D1168)</f>
        <v/>
      </c>
      <c r="E1167" t="str">
        <f>IF(ISBLANK(Record!E1168),"",Record!E1168)</f>
        <v/>
      </c>
      <c r="M1167" t="str">
        <f t="shared" si="126"/>
        <v xml:space="preserve">          </v>
      </c>
      <c r="N1167" s="227" t="str">
        <f t="shared" si="127"/>
        <v/>
      </c>
      <c r="X1167" t="str">
        <f t="shared" si="128"/>
        <v xml:space="preserve">          </v>
      </c>
      <c r="Y1167" s="227" t="str">
        <f t="shared" si="129"/>
        <v/>
      </c>
      <c r="Z1167" t="str">
        <f t="shared" si="130"/>
        <v/>
      </c>
      <c r="AL1167" t="str">
        <f t="shared" si="131"/>
        <v/>
      </c>
      <c r="AM1167" t="str">
        <f t="shared" si="132"/>
        <v/>
      </c>
    </row>
    <row r="1168" spans="1:39">
      <c r="A1168" t="str">
        <f>IF(ISBLANK(Record!A1169),"",Record!A1169)</f>
        <v/>
      </c>
      <c r="B1168" t="str">
        <f>IF(ISBLANK(Record!B1169),"",Record!B1169)</f>
        <v/>
      </c>
      <c r="C1168" s="227" t="str">
        <f>IF(ISBLANK(Record!C1169),"",Record!C1169)</f>
        <v/>
      </c>
      <c r="D1168" t="str">
        <f>IF(ISBLANK(Record!D1169),"",Record!D1169)</f>
        <v/>
      </c>
      <c r="E1168" t="str">
        <f>IF(ISBLANK(Record!E1169),"",Record!E1169)</f>
        <v/>
      </c>
      <c r="M1168" t="str">
        <f t="shared" si="126"/>
        <v xml:space="preserve">          </v>
      </c>
      <c r="N1168" s="227" t="str">
        <f t="shared" si="127"/>
        <v/>
      </c>
      <c r="X1168" t="str">
        <f t="shared" si="128"/>
        <v xml:space="preserve">          </v>
      </c>
      <c r="Y1168" s="227" t="str">
        <f t="shared" si="129"/>
        <v/>
      </c>
      <c r="Z1168" t="str">
        <f t="shared" si="130"/>
        <v/>
      </c>
      <c r="AL1168" t="str">
        <f t="shared" si="131"/>
        <v/>
      </c>
      <c r="AM1168" t="str">
        <f t="shared" si="132"/>
        <v/>
      </c>
    </row>
    <row r="1169" spans="1:39">
      <c r="A1169" t="str">
        <f>IF(ISBLANK(Record!A1170),"",Record!A1170)</f>
        <v/>
      </c>
      <c r="B1169" t="str">
        <f>IF(ISBLANK(Record!B1170),"",Record!B1170)</f>
        <v/>
      </c>
      <c r="C1169" s="227" t="str">
        <f>IF(ISBLANK(Record!C1170),"",Record!C1170)</f>
        <v/>
      </c>
      <c r="D1169" t="str">
        <f>IF(ISBLANK(Record!D1170),"",Record!D1170)</f>
        <v/>
      </c>
      <c r="E1169" t="str">
        <f>IF(ISBLANK(Record!E1170),"",Record!E1170)</f>
        <v/>
      </c>
      <c r="M1169" t="str">
        <f t="shared" si="126"/>
        <v xml:space="preserve">          </v>
      </c>
      <c r="N1169" s="227" t="str">
        <f t="shared" si="127"/>
        <v/>
      </c>
      <c r="X1169" t="str">
        <f t="shared" si="128"/>
        <v xml:space="preserve">          </v>
      </c>
      <c r="Y1169" s="227" t="str">
        <f t="shared" si="129"/>
        <v/>
      </c>
      <c r="Z1169" t="str">
        <f t="shared" si="130"/>
        <v/>
      </c>
      <c r="AL1169" t="str">
        <f t="shared" si="131"/>
        <v/>
      </c>
      <c r="AM1169" t="str">
        <f t="shared" si="132"/>
        <v/>
      </c>
    </row>
    <row r="1170" spans="1:39">
      <c r="A1170" t="str">
        <f>IF(ISBLANK(Record!A1171),"",Record!A1171)</f>
        <v/>
      </c>
      <c r="B1170" t="str">
        <f>IF(ISBLANK(Record!B1171),"",Record!B1171)</f>
        <v/>
      </c>
      <c r="C1170" s="227" t="str">
        <f>IF(ISBLANK(Record!C1171),"",Record!C1171)</f>
        <v/>
      </c>
      <c r="D1170" t="str">
        <f>IF(ISBLANK(Record!D1171),"",Record!D1171)</f>
        <v/>
      </c>
      <c r="E1170" t="str">
        <f>IF(ISBLANK(Record!E1171),"",Record!E1171)</f>
        <v/>
      </c>
      <c r="M1170" t="str">
        <f t="shared" si="126"/>
        <v xml:space="preserve">          </v>
      </c>
      <c r="N1170" s="227" t="str">
        <f t="shared" si="127"/>
        <v/>
      </c>
      <c r="X1170" t="str">
        <f t="shared" si="128"/>
        <v xml:space="preserve">          </v>
      </c>
      <c r="Y1170" s="227" t="str">
        <f t="shared" si="129"/>
        <v/>
      </c>
      <c r="Z1170" t="str">
        <f t="shared" si="130"/>
        <v/>
      </c>
      <c r="AL1170" t="str">
        <f t="shared" si="131"/>
        <v/>
      </c>
      <c r="AM1170" t="str">
        <f t="shared" si="132"/>
        <v/>
      </c>
    </row>
    <row r="1171" spans="1:39">
      <c r="A1171" t="str">
        <f>IF(ISBLANK(Record!A1172),"",Record!A1172)</f>
        <v/>
      </c>
      <c r="B1171" t="str">
        <f>IF(ISBLANK(Record!B1172),"",Record!B1172)</f>
        <v/>
      </c>
      <c r="C1171" s="227" t="str">
        <f>IF(ISBLANK(Record!C1172),"",Record!C1172)</f>
        <v/>
      </c>
      <c r="D1171" t="str">
        <f>IF(ISBLANK(Record!D1172),"",Record!D1172)</f>
        <v/>
      </c>
      <c r="E1171" t="str">
        <f>IF(ISBLANK(Record!E1172),"",Record!E1172)</f>
        <v/>
      </c>
      <c r="M1171" t="str">
        <f t="shared" si="126"/>
        <v xml:space="preserve">          </v>
      </c>
      <c r="N1171" s="227" t="str">
        <f t="shared" si="127"/>
        <v/>
      </c>
      <c r="X1171" t="str">
        <f t="shared" si="128"/>
        <v xml:space="preserve">          </v>
      </c>
      <c r="Y1171" s="227" t="str">
        <f t="shared" si="129"/>
        <v/>
      </c>
      <c r="Z1171" t="str">
        <f t="shared" si="130"/>
        <v/>
      </c>
      <c r="AL1171" t="str">
        <f t="shared" si="131"/>
        <v/>
      </c>
      <c r="AM1171" t="str">
        <f t="shared" si="132"/>
        <v/>
      </c>
    </row>
    <row r="1172" spans="1:39">
      <c r="A1172" t="str">
        <f>IF(ISBLANK(Record!A1173),"",Record!A1173)</f>
        <v/>
      </c>
      <c r="B1172" t="str">
        <f>IF(ISBLANK(Record!B1173),"",Record!B1173)</f>
        <v/>
      </c>
      <c r="C1172" s="227" t="str">
        <f>IF(ISBLANK(Record!C1173),"",Record!C1173)</f>
        <v/>
      </c>
      <c r="D1172" t="str">
        <f>IF(ISBLANK(Record!D1173),"",Record!D1173)</f>
        <v/>
      </c>
      <c r="E1172" t="str">
        <f>IF(ISBLANK(Record!E1173),"",Record!E1173)</f>
        <v/>
      </c>
      <c r="M1172" t="str">
        <f t="shared" si="126"/>
        <v xml:space="preserve">          </v>
      </c>
      <c r="N1172" s="227" t="str">
        <f t="shared" si="127"/>
        <v/>
      </c>
      <c r="X1172" t="str">
        <f t="shared" si="128"/>
        <v xml:space="preserve">          </v>
      </c>
      <c r="Y1172" s="227" t="str">
        <f t="shared" si="129"/>
        <v/>
      </c>
      <c r="Z1172" t="str">
        <f t="shared" si="130"/>
        <v/>
      </c>
      <c r="AL1172" t="str">
        <f t="shared" si="131"/>
        <v/>
      </c>
      <c r="AM1172" t="str">
        <f t="shared" si="132"/>
        <v/>
      </c>
    </row>
    <row r="1173" spans="1:39">
      <c r="A1173" t="str">
        <f>IF(ISBLANK(Record!A1174),"",Record!A1174)</f>
        <v/>
      </c>
      <c r="B1173" t="str">
        <f>IF(ISBLANK(Record!B1174),"",Record!B1174)</f>
        <v/>
      </c>
      <c r="C1173" s="227" t="str">
        <f>IF(ISBLANK(Record!C1174),"",Record!C1174)</f>
        <v/>
      </c>
      <c r="D1173" t="str">
        <f>IF(ISBLANK(Record!D1174),"",Record!D1174)</f>
        <v/>
      </c>
      <c r="E1173" t="str">
        <f>IF(ISBLANK(Record!E1174),"",Record!E1174)</f>
        <v/>
      </c>
      <c r="M1173" t="str">
        <f t="shared" si="126"/>
        <v xml:space="preserve">          </v>
      </c>
      <c r="N1173" s="227" t="str">
        <f t="shared" si="127"/>
        <v/>
      </c>
      <c r="X1173" t="str">
        <f t="shared" si="128"/>
        <v xml:space="preserve">          </v>
      </c>
      <c r="Y1173" s="227" t="str">
        <f t="shared" si="129"/>
        <v/>
      </c>
      <c r="Z1173" t="str">
        <f t="shared" si="130"/>
        <v/>
      </c>
      <c r="AL1173" t="str">
        <f t="shared" si="131"/>
        <v/>
      </c>
      <c r="AM1173" t="str">
        <f t="shared" si="132"/>
        <v/>
      </c>
    </row>
    <row r="1174" spans="1:39">
      <c r="A1174" t="str">
        <f>IF(ISBLANK(Record!A1175),"",Record!A1175)</f>
        <v/>
      </c>
      <c r="B1174" t="str">
        <f>IF(ISBLANK(Record!B1175),"",Record!B1175)</f>
        <v/>
      </c>
      <c r="C1174" s="227" t="str">
        <f>IF(ISBLANK(Record!C1175),"",Record!C1175)</f>
        <v/>
      </c>
      <c r="D1174" t="str">
        <f>IF(ISBLANK(Record!D1175),"",Record!D1175)</f>
        <v/>
      </c>
      <c r="E1174" t="str">
        <f>IF(ISBLANK(Record!E1175),"",Record!E1175)</f>
        <v/>
      </c>
      <c r="M1174" t="str">
        <f t="shared" si="126"/>
        <v xml:space="preserve">          </v>
      </c>
      <c r="N1174" s="227" t="str">
        <f t="shared" si="127"/>
        <v/>
      </c>
      <c r="X1174" t="str">
        <f t="shared" si="128"/>
        <v xml:space="preserve">          </v>
      </c>
      <c r="Y1174" s="227" t="str">
        <f t="shared" si="129"/>
        <v/>
      </c>
      <c r="Z1174" t="str">
        <f t="shared" si="130"/>
        <v/>
      </c>
      <c r="AL1174" t="str">
        <f t="shared" si="131"/>
        <v/>
      </c>
      <c r="AM1174" t="str">
        <f t="shared" si="132"/>
        <v/>
      </c>
    </row>
    <row r="1175" spans="1:39">
      <c r="A1175" t="str">
        <f>IF(ISBLANK(Record!A1176),"",Record!A1176)</f>
        <v/>
      </c>
      <c r="B1175" t="str">
        <f>IF(ISBLANK(Record!B1176),"",Record!B1176)</f>
        <v/>
      </c>
      <c r="C1175" s="227" t="str">
        <f>IF(ISBLANK(Record!C1176),"",Record!C1176)</f>
        <v/>
      </c>
      <c r="D1175" t="str">
        <f>IF(ISBLANK(Record!D1176),"",Record!D1176)</f>
        <v/>
      </c>
      <c r="E1175" t="str">
        <f>IF(ISBLANK(Record!E1176),"",Record!E1176)</f>
        <v/>
      </c>
      <c r="M1175" t="str">
        <f t="shared" si="126"/>
        <v xml:space="preserve">          </v>
      </c>
      <c r="N1175" s="227" t="str">
        <f t="shared" si="127"/>
        <v/>
      </c>
      <c r="X1175" t="str">
        <f t="shared" si="128"/>
        <v xml:space="preserve">          </v>
      </c>
      <c r="Y1175" s="227" t="str">
        <f t="shared" si="129"/>
        <v/>
      </c>
      <c r="Z1175" t="str">
        <f t="shared" si="130"/>
        <v/>
      </c>
      <c r="AL1175" t="str">
        <f t="shared" si="131"/>
        <v/>
      </c>
      <c r="AM1175" t="str">
        <f t="shared" si="132"/>
        <v/>
      </c>
    </row>
    <row r="1176" spans="1:39">
      <c r="A1176" t="str">
        <f>IF(ISBLANK(Record!A1177),"",Record!A1177)</f>
        <v/>
      </c>
      <c r="B1176" t="str">
        <f>IF(ISBLANK(Record!B1177),"",Record!B1177)</f>
        <v/>
      </c>
      <c r="C1176" s="227" t="str">
        <f>IF(ISBLANK(Record!C1177),"",Record!C1177)</f>
        <v/>
      </c>
      <c r="D1176" t="str">
        <f>IF(ISBLANK(Record!D1177),"",Record!D1177)</f>
        <v/>
      </c>
      <c r="E1176" t="str">
        <f>IF(ISBLANK(Record!E1177),"",Record!E1177)</f>
        <v/>
      </c>
      <c r="M1176" t="str">
        <f t="shared" si="126"/>
        <v xml:space="preserve">          </v>
      </c>
      <c r="N1176" s="227" t="str">
        <f t="shared" si="127"/>
        <v/>
      </c>
      <c r="X1176" t="str">
        <f t="shared" si="128"/>
        <v xml:space="preserve">          </v>
      </c>
      <c r="Y1176" s="227" t="str">
        <f t="shared" si="129"/>
        <v/>
      </c>
      <c r="Z1176" t="str">
        <f t="shared" si="130"/>
        <v/>
      </c>
      <c r="AL1176" t="str">
        <f t="shared" si="131"/>
        <v/>
      </c>
      <c r="AM1176" t="str">
        <f t="shared" si="132"/>
        <v/>
      </c>
    </row>
    <row r="1177" spans="1:39">
      <c r="A1177" t="str">
        <f>IF(ISBLANK(Record!A1178),"",Record!A1178)</f>
        <v/>
      </c>
      <c r="B1177" t="str">
        <f>IF(ISBLANK(Record!B1178),"",Record!B1178)</f>
        <v/>
      </c>
      <c r="C1177" s="227" t="str">
        <f>IF(ISBLANK(Record!C1178),"",Record!C1178)</f>
        <v/>
      </c>
      <c r="D1177" t="str">
        <f>IF(ISBLANK(Record!D1178),"",Record!D1178)</f>
        <v/>
      </c>
      <c r="E1177" t="str">
        <f>IF(ISBLANK(Record!E1178),"",Record!E1178)</f>
        <v/>
      </c>
      <c r="M1177" t="str">
        <f t="shared" si="126"/>
        <v xml:space="preserve">          </v>
      </c>
      <c r="N1177" s="227" t="str">
        <f t="shared" si="127"/>
        <v/>
      </c>
      <c r="X1177" t="str">
        <f t="shared" si="128"/>
        <v xml:space="preserve">          </v>
      </c>
      <c r="Y1177" s="227" t="str">
        <f t="shared" si="129"/>
        <v/>
      </c>
      <c r="Z1177" t="str">
        <f t="shared" si="130"/>
        <v/>
      </c>
      <c r="AL1177" t="str">
        <f t="shared" si="131"/>
        <v/>
      </c>
      <c r="AM1177" t="str">
        <f t="shared" si="132"/>
        <v/>
      </c>
    </row>
    <row r="1178" spans="1:39">
      <c r="A1178" t="str">
        <f>IF(ISBLANK(Record!A1179),"",Record!A1179)</f>
        <v/>
      </c>
      <c r="B1178" t="str">
        <f>IF(ISBLANK(Record!B1179),"",Record!B1179)</f>
        <v/>
      </c>
      <c r="C1178" s="227" t="str">
        <f>IF(ISBLANK(Record!C1179),"",Record!C1179)</f>
        <v/>
      </c>
      <c r="D1178" t="str">
        <f>IF(ISBLANK(Record!D1179),"",Record!D1179)</f>
        <v/>
      </c>
      <c r="E1178" t="str">
        <f>IF(ISBLANK(Record!E1179),"",Record!E1179)</f>
        <v/>
      </c>
      <c r="M1178" t="str">
        <f t="shared" si="126"/>
        <v xml:space="preserve">          </v>
      </c>
      <c r="N1178" s="227" t="str">
        <f t="shared" si="127"/>
        <v/>
      </c>
      <c r="X1178" t="str">
        <f t="shared" si="128"/>
        <v xml:space="preserve">          </v>
      </c>
      <c r="Y1178" s="227" t="str">
        <f t="shared" si="129"/>
        <v/>
      </c>
      <c r="Z1178" t="str">
        <f t="shared" si="130"/>
        <v/>
      </c>
      <c r="AL1178" t="str">
        <f t="shared" si="131"/>
        <v/>
      </c>
      <c r="AM1178" t="str">
        <f t="shared" si="132"/>
        <v/>
      </c>
    </row>
    <row r="1179" spans="1:39">
      <c r="A1179" t="str">
        <f>IF(ISBLANK(Record!A1180),"",Record!A1180)</f>
        <v/>
      </c>
      <c r="B1179" t="str">
        <f>IF(ISBLANK(Record!B1180),"",Record!B1180)</f>
        <v/>
      </c>
      <c r="C1179" s="227" t="str">
        <f>IF(ISBLANK(Record!C1180),"",Record!C1180)</f>
        <v/>
      </c>
      <c r="D1179" t="str">
        <f>IF(ISBLANK(Record!D1180),"",Record!D1180)</f>
        <v/>
      </c>
      <c r="E1179" t="str">
        <f>IF(ISBLANK(Record!E1180),"",Record!E1180)</f>
        <v/>
      </c>
      <c r="M1179" t="str">
        <f t="shared" si="126"/>
        <v xml:space="preserve">          </v>
      </c>
      <c r="N1179" s="227" t="str">
        <f t="shared" si="127"/>
        <v/>
      </c>
      <c r="X1179" t="str">
        <f t="shared" si="128"/>
        <v xml:space="preserve">          </v>
      </c>
      <c r="Y1179" s="227" t="str">
        <f t="shared" si="129"/>
        <v/>
      </c>
      <c r="Z1179" t="str">
        <f t="shared" si="130"/>
        <v/>
      </c>
      <c r="AL1179" t="str">
        <f t="shared" si="131"/>
        <v/>
      </c>
      <c r="AM1179" t="str">
        <f t="shared" si="132"/>
        <v/>
      </c>
    </row>
    <row r="1180" spans="1:39">
      <c r="A1180" t="str">
        <f>IF(ISBLANK(Record!A1181),"",Record!A1181)</f>
        <v/>
      </c>
      <c r="B1180" t="str">
        <f>IF(ISBLANK(Record!B1181),"",Record!B1181)</f>
        <v/>
      </c>
      <c r="C1180" s="227" t="str">
        <f>IF(ISBLANK(Record!C1181),"",Record!C1181)</f>
        <v/>
      </c>
      <c r="D1180" t="str">
        <f>IF(ISBLANK(Record!D1181),"",Record!D1181)</f>
        <v/>
      </c>
      <c r="E1180" t="str">
        <f>IF(ISBLANK(Record!E1181),"",Record!E1181)</f>
        <v/>
      </c>
      <c r="M1180" t="str">
        <f t="shared" si="126"/>
        <v xml:space="preserve">          </v>
      </c>
      <c r="N1180" s="227" t="str">
        <f t="shared" si="127"/>
        <v/>
      </c>
      <c r="X1180" t="str">
        <f t="shared" si="128"/>
        <v xml:space="preserve">          </v>
      </c>
      <c r="Y1180" s="227" t="str">
        <f t="shared" si="129"/>
        <v/>
      </c>
      <c r="Z1180" t="str">
        <f t="shared" si="130"/>
        <v/>
      </c>
      <c r="AL1180" t="str">
        <f t="shared" si="131"/>
        <v/>
      </c>
      <c r="AM1180" t="str">
        <f t="shared" si="132"/>
        <v/>
      </c>
    </row>
    <row r="1181" spans="1:39">
      <c r="A1181" t="str">
        <f>IF(ISBLANK(Record!A1182),"",Record!A1182)</f>
        <v/>
      </c>
      <c r="B1181" t="str">
        <f>IF(ISBLANK(Record!B1182),"",Record!B1182)</f>
        <v/>
      </c>
      <c r="C1181" s="227" t="str">
        <f>IF(ISBLANK(Record!C1182),"",Record!C1182)</f>
        <v/>
      </c>
      <c r="D1181" t="str">
        <f>IF(ISBLANK(Record!D1182),"",Record!D1182)</f>
        <v/>
      </c>
      <c r="E1181" t="str">
        <f>IF(ISBLANK(Record!E1182),"",Record!E1182)</f>
        <v/>
      </c>
      <c r="M1181" t="str">
        <f t="shared" si="126"/>
        <v xml:space="preserve">          </v>
      </c>
      <c r="N1181" s="227" t="str">
        <f t="shared" si="127"/>
        <v/>
      </c>
      <c r="X1181" t="str">
        <f t="shared" si="128"/>
        <v xml:space="preserve">          </v>
      </c>
      <c r="Y1181" s="227" t="str">
        <f t="shared" si="129"/>
        <v/>
      </c>
      <c r="Z1181" t="str">
        <f t="shared" si="130"/>
        <v/>
      </c>
      <c r="AL1181" t="str">
        <f t="shared" si="131"/>
        <v/>
      </c>
      <c r="AM1181" t="str">
        <f t="shared" si="132"/>
        <v/>
      </c>
    </row>
    <row r="1182" spans="1:39">
      <c r="A1182" t="str">
        <f>IF(ISBLANK(Record!A1183),"",Record!A1183)</f>
        <v/>
      </c>
      <c r="B1182" t="str">
        <f>IF(ISBLANK(Record!B1183),"",Record!B1183)</f>
        <v/>
      </c>
      <c r="C1182" s="227" t="str">
        <f>IF(ISBLANK(Record!C1183),"",Record!C1183)</f>
        <v/>
      </c>
      <c r="D1182" t="str">
        <f>IF(ISBLANK(Record!D1183),"",Record!D1183)</f>
        <v/>
      </c>
      <c r="E1182" t="str">
        <f>IF(ISBLANK(Record!E1183),"",Record!E1183)</f>
        <v/>
      </c>
      <c r="M1182" t="str">
        <f t="shared" si="126"/>
        <v xml:space="preserve">          </v>
      </c>
      <c r="N1182" s="227" t="str">
        <f t="shared" si="127"/>
        <v/>
      </c>
      <c r="X1182" t="str">
        <f t="shared" si="128"/>
        <v xml:space="preserve">          </v>
      </c>
      <c r="Y1182" s="227" t="str">
        <f t="shared" si="129"/>
        <v/>
      </c>
      <c r="Z1182" t="str">
        <f t="shared" si="130"/>
        <v/>
      </c>
      <c r="AL1182" t="str">
        <f t="shared" si="131"/>
        <v/>
      </c>
      <c r="AM1182" t="str">
        <f t="shared" si="132"/>
        <v/>
      </c>
    </row>
    <row r="1183" spans="1:39">
      <c r="A1183" t="str">
        <f>IF(ISBLANK(Record!A1184),"",Record!A1184)</f>
        <v/>
      </c>
      <c r="B1183" t="str">
        <f>IF(ISBLANK(Record!B1184),"",Record!B1184)</f>
        <v/>
      </c>
      <c r="C1183" s="227" t="str">
        <f>IF(ISBLANK(Record!C1184),"",Record!C1184)</f>
        <v/>
      </c>
      <c r="D1183" t="str">
        <f>IF(ISBLANK(Record!D1184),"",Record!D1184)</f>
        <v/>
      </c>
      <c r="E1183" t="str">
        <f>IF(ISBLANK(Record!E1184),"",Record!E1184)</f>
        <v/>
      </c>
      <c r="M1183" t="str">
        <f t="shared" si="126"/>
        <v xml:space="preserve">          </v>
      </c>
      <c r="N1183" s="227" t="str">
        <f t="shared" si="127"/>
        <v/>
      </c>
      <c r="X1183" t="str">
        <f t="shared" si="128"/>
        <v xml:space="preserve">          </v>
      </c>
      <c r="Y1183" s="227" t="str">
        <f t="shared" si="129"/>
        <v/>
      </c>
      <c r="Z1183" t="str">
        <f t="shared" si="130"/>
        <v/>
      </c>
      <c r="AL1183" t="str">
        <f t="shared" si="131"/>
        <v/>
      </c>
      <c r="AM1183" t="str">
        <f t="shared" si="132"/>
        <v/>
      </c>
    </row>
    <row r="1184" spans="1:39">
      <c r="A1184" t="str">
        <f>IF(ISBLANK(Record!A1185),"",Record!A1185)</f>
        <v/>
      </c>
      <c r="B1184" t="str">
        <f>IF(ISBLANK(Record!B1185),"",Record!B1185)</f>
        <v/>
      </c>
      <c r="C1184" s="227" t="str">
        <f>IF(ISBLANK(Record!C1185),"",Record!C1185)</f>
        <v/>
      </c>
      <c r="D1184" t="str">
        <f>IF(ISBLANK(Record!D1185),"",Record!D1185)</f>
        <v/>
      </c>
      <c r="E1184" t="str">
        <f>IF(ISBLANK(Record!E1185),"",Record!E1185)</f>
        <v/>
      </c>
      <c r="M1184" t="str">
        <f t="shared" si="126"/>
        <v xml:space="preserve">          </v>
      </c>
      <c r="N1184" s="227" t="str">
        <f t="shared" si="127"/>
        <v/>
      </c>
      <c r="X1184" t="str">
        <f t="shared" si="128"/>
        <v xml:space="preserve">          </v>
      </c>
      <c r="Y1184" s="227" t="str">
        <f t="shared" si="129"/>
        <v/>
      </c>
      <c r="Z1184" t="str">
        <f t="shared" si="130"/>
        <v/>
      </c>
      <c r="AL1184" t="str">
        <f t="shared" si="131"/>
        <v/>
      </c>
      <c r="AM1184" t="str">
        <f t="shared" si="132"/>
        <v/>
      </c>
    </row>
    <row r="1185" spans="1:39">
      <c r="A1185" t="str">
        <f>IF(ISBLANK(Record!A1186),"",Record!A1186)</f>
        <v/>
      </c>
      <c r="B1185" t="str">
        <f>IF(ISBLANK(Record!B1186),"",Record!B1186)</f>
        <v/>
      </c>
      <c r="C1185" s="227" t="str">
        <f>IF(ISBLANK(Record!C1186),"",Record!C1186)</f>
        <v/>
      </c>
      <c r="D1185" t="str">
        <f>IF(ISBLANK(Record!D1186),"",Record!D1186)</f>
        <v/>
      </c>
      <c r="E1185" t="str">
        <f>IF(ISBLANK(Record!E1186),"",Record!E1186)</f>
        <v/>
      </c>
      <c r="M1185" t="str">
        <f t="shared" si="126"/>
        <v xml:space="preserve">          </v>
      </c>
      <c r="N1185" s="227" t="str">
        <f t="shared" si="127"/>
        <v/>
      </c>
      <c r="X1185" t="str">
        <f t="shared" si="128"/>
        <v xml:space="preserve">          </v>
      </c>
      <c r="Y1185" s="227" t="str">
        <f t="shared" si="129"/>
        <v/>
      </c>
      <c r="Z1185" t="str">
        <f t="shared" si="130"/>
        <v/>
      </c>
      <c r="AL1185" t="str">
        <f t="shared" si="131"/>
        <v/>
      </c>
      <c r="AM1185" t="str">
        <f t="shared" si="132"/>
        <v/>
      </c>
    </row>
    <row r="1186" spans="1:39">
      <c r="A1186" t="str">
        <f>IF(ISBLANK(Record!A1187),"",Record!A1187)</f>
        <v/>
      </c>
      <c r="B1186" t="str">
        <f>IF(ISBLANK(Record!B1187),"",Record!B1187)</f>
        <v/>
      </c>
      <c r="C1186" s="227" t="str">
        <f>IF(ISBLANK(Record!C1187),"",Record!C1187)</f>
        <v/>
      </c>
      <c r="D1186" t="str">
        <f>IF(ISBLANK(Record!D1187),"",Record!D1187)</f>
        <v/>
      </c>
      <c r="E1186" t="str">
        <f>IF(ISBLANK(Record!E1187),"",Record!E1187)</f>
        <v/>
      </c>
      <c r="M1186" t="str">
        <f t="shared" si="126"/>
        <v xml:space="preserve">          </v>
      </c>
      <c r="N1186" s="227" t="str">
        <f t="shared" si="127"/>
        <v/>
      </c>
      <c r="X1186" t="str">
        <f t="shared" si="128"/>
        <v xml:space="preserve">          </v>
      </c>
      <c r="Y1186" s="227" t="str">
        <f t="shared" si="129"/>
        <v/>
      </c>
      <c r="Z1186" t="str">
        <f t="shared" si="130"/>
        <v/>
      </c>
      <c r="AL1186" t="str">
        <f t="shared" si="131"/>
        <v/>
      </c>
      <c r="AM1186" t="str">
        <f t="shared" si="132"/>
        <v/>
      </c>
    </row>
    <row r="1187" spans="1:39">
      <c r="A1187" t="str">
        <f>IF(ISBLANK(Record!A1188),"",Record!A1188)</f>
        <v/>
      </c>
      <c r="B1187" t="str">
        <f>IF(ISBLANK(Record!B1188),"",Record!B1188)</f>
        <v/>
      </c>
      <c r="C1187" s="227" t="str">
        <f>IF(ISBLANK(Record!C1188),"",Record!C1188)</f>
        <v/>
      </c>
      <c r="D1187" t="str">
        <f>IF(ISBLANK(Record!D1188),"",Record!D1188)</f>
        <v/>
      </c>
      <c r="E1187" t="str">
        <f>IF(ISBLANK(Record!E1188),"",Record!E1188)</f>
        <v/>
      </c>
      <c r="M1187" t="str">
        <f t="shared" si="126"/>
        <v xml:space="preserve">          </v>
      </c>
      <c r="N1187" s="227" t="str">
        <f t="shared" si="127"/>
        <v/>
      </c>
      <c r="X1187" t="str">
        <f t="shared" si="128"/>
        <v xml:space="preserve">          </v>
      </c>
      <c r="Y1187" s="227" t="str">
        <f t="shared" si="129"/>
        <v/>
      </c>
      <c r="Z1187" t="str">
        <f t="shared" si="130"/>
        <v/>
      </c>
      <c r="AL1187" t="str">
        <f t="shared" si="131"/>
        <v/>
      </c>
      <c r="AM1187" t="str">
        <f t="shared" si="132"/>
        <v/>
      </c>
    </row>
    <row r="1188" spans="1:39">
      <c r="A1188" t="str">
        <f>IF(ISBLANK(Record!A1189),"",Record!A1189)</f>
        <v/>
      </c>
      <c r="B1188" t="str">
        <f>IF(ISBLANK(Record!B1189),"",Record!B1189)</f>
        <v/>
      </c>
      <c r="C1188" s="227" t="str">
        <f>IF(ISBLANK(Record!C1189),"",Record!C1189)</f>
        <v/>
      </c>
      <c r="D1188" t="str">
        <f>IF(ISBLANK(Record!D1189),"",Record!D1189)</f>
        <v/>
      </c>
      <c r="E1188" t="str">
        <f>IF(ISBLANK(Record!E1189),"",Record!E1189)</f>
        <v/>
      </c>
      <c r="M1188" t="str">
        <f t="shared" si="126"/>
        <v xml:space="preserve">          </v>
      </c>
      <c r="N1188" s="227" t="str">
        <f t="shared" si="127"/>
        <v/>
      </c>
      <c r="X1188" t="str">
        <f t="shared" si="128"/>
        <v xml:space="preserve">          </v>
      </c>
      <c r="Y1188" s="227" t="str">
        <f t="shared" si="129"/>
        <v/>
      </c>
      <c r="Z1188" t="str">
        <f t="shared" si="130"/>
        <v/>
      </c>
      <c r="AL1188" t="str">
        <f t="shared" si="131"/>
        <v/>
      </c>
      <c r="AM1188" t="str">
        <f t="shared" si="132"/>
        <v/>
      </c>
    </row>
    <row r="1189" spans="1:39">
      <c r="A1189" t="str">
        <f>IF(ISBLANK(Record!A1190),"",Record!A1190)</f>
        <v/>
      </c>
      <c r="B1189" t="str">
        <f>IF(ISBLANK(Record!B1190),"",Record!B1190)</f>
        <v/>
      </c>
      <c r="C1189" s="227" t="str">
        <f>IF(ISBLANK(Record!C1190),"",Record!C1190)</f>
        <v/>
      </c>
      <c r="D1189" t="str">
        <f>IF(ISBLANK(Record!D1190),"",Record!D1190)</f>
        <v/>
      </c>
      <c r="E1189" t="str">
        <f>IF(ISBLANK(Record!E1190),"",Record!E1190)</f>
        <v/>
      </c>
      <c r="M1189" t="str">
        <f t="shared" si="126"/>
        <v xml:space="preserve">          </v>
      </c>
      <c r="N1189" s="227" t="str">
        <f t="shared" si="127"/>
        <v/>
      </c>
      <c r="X1189" t="str">
        <f t="shared" si="128"/>
        <v xml:space="preserve">          </v>
      </c>
      <c r="Y1189" s="227" t="str">
        <f t="shared" si="129"/>
        <v/>
      </c>
      <c r="Z1189" t="str">
        <f t="shared" si="130"/>
        <v/>
      </c>
      <c r="AL1189" t="str">
        <f t="shared" si="131"/>
        <v/>
      </c>
      <c r="AM1189" t="str">
        <f t="shared" si="132"/>
        <v/>
      </c>
    </row>
    <row r="1190" spans="1:39">
      <c r="A1190" t="str">
        <f>IF(ISBLANK(Record!A1191),"",Record!A1191)</f>
        <v/>
      </c>
      <c r="B1190" t="str">
        <f>IF(ISBLANK(Record!B1191),"",Record!B1191)</f>
        <v/>
      </c>
      <c r="C1190" s="227" t="str">
        <f>IF(ISBLANK(Record!C1191),"",Record!C1191)</f>
        <v/>
      </c>
      <c r="D1190" t="str">
        <f>IF(ISBLANK(Record!D1191),"",Record!D1191)</f>
        <v/>
      </c>
      <c r="E1190" t="str">
        <f>IF(ISBLANK(Record!E1191),"",Record!E1191)</f>
        <v/>
      </c>
      <c r="M1190" t="str">
        <f t="shared" si="126"/>
        <v xml:space="preserve">          </v>
      </c>
      <c r="N1190" s="227" t="str">
        <f t="shared" si="127"/>
        <v/>
      </c>
      <c r="X1190" t="str">
        <f t="shared" si="128"/>
        <v xml:space="preserve">          </v>
      </c>
      <c r="Y1190" s="227" t="str">
        <f t="shared" si="129"/>
        <v/>
      </c>
      <c r="Z1190" t="str">
        <f t="shared" si="130"/>
        <v/>
      </c>
      <c r="AL1190" t="str">
        <f t="shared" si="131"/>
        <v/>
      </c>
      <c r="AM1190" t="str">
        <f t="shared" si="132"/>
        <v/>
      </c>
    </row>
    <row r="1191" spans="1:39">
      <c r="A1191" t="str">
        <f>IF(ISBLANK(Record!A1192),"",Record!A1192)</f>
        <v/>
      </c>
      <c r="B1191" t="str">
        <f>IF(ISBLANK(Record!B1192),"",Record!B1192)</f>
        <v/>
      </c>
      <c r="C1191" s="227" t="str">
        <f>IF(ISBLANK(Record!C1192),"",Record!C1192)</f>
        <v/>
      </c>
      <c r="D1191" t="str">
        <f>IF(ISBLANK(Record!D1192),"",Record!D1192)</f>
        <v/>
      </c>
      <c r="E1191" t="str">
        <f>IF(ISBLANK(Record!E1192),"",Record!E1192)</f>
        <v/>
      </c>
      <c r="M1191" t="str">
        <f t="shared" si="126"/>
        <v xml:space="preserve">          </v>
      </c>
      <c r="N1191" s="227" t="str">
        <f t="shared" si="127"/>
        <v/>
      </c>
      <c r="X1191" t="str">
        <f t="shared" si="128"/>
        <v xml:space="preserve">          </v>
      </c>
      <c r="Y1191" s="227" t="str">
        <f t="shared" si="129"/>
        <v/>
      </c>
      <c r="Z1191" t="str">
        <f t="shared" si="130"/>
        <v/>
      </c>
      <c r="AL1191" t="str">
        <f t="shared" si="131"/>
        <v/>
      </c>
      <c r="AM1191" t="str">
        <f t="shared" si="132"/>
        <v/>
      </c>
    </row>
    <row r="1192" spans="1:39">
      <c r="A1192" t="str">
        <f>IF(ISBLANK(Record!A1193),"",Record!A1193)</f>
        <v/>
      </c>
      <c r="B1192" t="str">
        <f>IF(ISBLANK(Record!B1193),"",Record!B1193)</f>
        <v/>
      </c>
      <c r="C1192" s="227" t="str">
        <f>IF(ISBLANK(Record!C1193),"",Record!C1193)</f>
        <v/>
      </c>
      <c r="D1192" t="str">
        <f>IF(ISBLANK(Record!D1193),"",Record!D1193)</f>
        <v/>
      </c>
      <c r="E1192" t="str">
        <f>IF(ISBLANK(Record!E1193),"",Record!E1193)</f>
        <v/>
      </c>
      <c r="M1192" t="str">
        <f t="shared" si="126"/>
        <v xml:space="preserve">          </v>
      </c>
      <c r="N1192" s="227" t="str">
        <f t="shared" si="127"/>
        <v/>
      </c>
      <c r="X1192" t="str">
        <f t="shared" si="128"/>
        <v xml:space="preserve">          </v>
      </c>
      <c r="Y1192" s="227" t="str">
        <f t="shared" si="129"/>
        <v/>
      </c>
      <c r="Z1192" t="str">
        <f t="shared" si="130"/>
        <v/>
      </c>
      <c r="AL1192" t="str">
        <f t="shared" si="131"/>
        <v/>
      </c>
      <c r="AM1192" t="str">
        <f t="shared" si="132"/>
        <v/>
      </c>
    </row>
    <row r="1193" spans="1:39">
      <c r="A1193" t="str">
        <f>IF(ISBLANK(Record!A1194),"",Record!A1194)</f>
        <v/>
      </c>
      <c r="B1193" t="str">
        <f>IF(ISBLANK(Record!B1194),"",Record!B1194)</f>
        <v/>
      </c>
      <c r="C1193" s="227" t="str">
        <f>IF(ISBLANK(Record!C1194),"",Record!C1194)</f>
        <v/>
      </c>
      <c r="D1193" t="str">
        <f>IF(ISBLANK(Record!D1194),"",Record!D1194)</f>
        <v/>
      </c>
      <c r="E1193" t="str">
        <f>IF(ISBLANK(Record!E1194),"",Record!E1194)</f>
        <v/>
      </c>
      <c r="M1193" t="str">
        <f t="shared" si="126"/>
        <v xml:space="preserve">          </v>
      </c>
      <c r="N1193" s="227" t="str">
        <f t="shared" si="127"/>
        <v/>
      </c>
      <c r="X1193" t="str">
        <f t="shared" si="128"/>
        <v xml:space="preserve">          </v>
      </c>
      <c r="Y1193" s="227" t="str">
        <f t="shared" si="129"/>
        <v/>
      </c>
      <c r="Z1193" t="str">
        <f t="shared" si="130"/>
        <v/>
      </c>
      <c r="AL1193" t="str">
        <f t="shared" si="131"/>
        <v/>
      </c>
      <c r="AM1193" t="str">
        <f t="shared" si="132"/>
        <v/>
      </c>
    </row>
    <row r="1194" spans="1:39">
      <c r="A1194" t="str">
        <f>IF(ISBLANK(Record!A1195),"",Record!A1195)</f>
        <v/>
      </c>
      <c r="B1194" t="str">
        <f>IF(ISBLANK(Record!B1195),"",Record!B1195)</f>
        <v/>
      </c>
      <c r="C1194" s="227" t="str">
        <f>IF(ISBLANK(Record!C1195),"",Record!C1195)</f>
        <v/>
      </c>
      <c r="D1194" t="str">
        <f>IF(ISBLANK(Record!D1195),"",Record!D1195)</f>
        <v/>
      </c>
      <c r="E1194" t="str">
        <f>IF(ISBLANK(Record!E1195),"",Record!E1195)</f>
        <v/>
      </c>
      <c r="M1194" t="str">
        <f t="shared" si="126"/>
        <v xml:space="preserve">          </v>
      </c>
      <c r="N1194" s="227" t="str">
        <f t="shared" si="127"/>
        <v/>
      </c>
      <c r="X1194" t="str">
        <f t="shared" si="128"/>
        <v xml:space="preserve">          </v>
      </c>
      <c r="Y1194" s="227" t="str">
        <f t="shared" si="129"/>
        <v/>
      </c>
      <c r="Z1194" t="str">
        <f t="shared" si="130"/>
        <v/>
      </c>
      <c r="AL1194" t="str">
        <f t="shared" si="131"/>
        <v/>
      </c>
      <c r="AM1194" t="str">
        <f t="shared" si="132"/>
        <v/>
      </c>
    </row>
    <row r="1195" spans="1:39">
      <c r="A1195" t="str">
        <f>IF(ISBLANK(Record!A1196),"",Record!A1196)</f>
        <v/>
      </c>
      <c r="B1195" t="str">
        <f>IF(ISBLANK(Record!B1196),"",Record!B1196)</f>
        <v/>
      </c>
      <c r="C1195" s="227" t="str">
        <f>IF(ISBLANK(Record!C1196),"",Record!C1196)</f>
        <v/>
      </c>
      <c r="D1195" t="str">
        <f>IF(ISBLANK(Record!D1196),"",Record!D1196)</f>
        <v/>
      </c>
      <c r="E1195" t="str">
        <f>IF(ISBLANK(Record!E1196),"",Record!E1196)</f>
        <v/>
      </c>
      <c r="M1195" t="str">
        <f t="shared" si="126"/>
        <v xml:space="preserve">          </v>
      </c>
      <c r="N1195" s="227" t="str">
        <f t="shared" si="127"/>
        <v/>
      </c>
      <c r="X1195" t="str">
        <f t="shared" si="128"/>
        <v xml:space="preserve">          </v>
      </c>
      <c r="Y1195" s="227" t="str">
        <f t="shared" si="129"/>
        <v/>
      </c>
      <c r="Z1195" t="str">
        <f t="shared" si="130"/>
        <v/>
      </c>
      <c r="AL1195" t="str">
        <f t="shared" si="131"/>
        <v/>
      </c>
      <c r="AM1195" t="str">
        <f t="shared" si="132"/>
        <v/>
      </c>
    </row>
    <row r="1196" spans="1:39">
      <c r="A1196" t="str">
        <f>IF(ISBLANK(Record!A1197),"",Record!A1197)</f>
        <v/>
      </c>
      <c r="B1196" t="str">
        <f>IF(ISBLANK(Record!B1197),"",Record!B1197)</f>
        <v/>
      </c>
      <c r="C1196" s="227" t="str">
        <f>IF(ISBLANK(Record!C1197),"",Record!C1197)</f>
        <v/>
      </c>
      <c r="D1196" t="str">
        <f>IF(ISBLANK(Record!D1197),"",Record!D1197)</f>
        <v/>
      </c>
      <c r="E1196" t="str">
        <f>IF(ISBLANK(Record!E1197),"",Record!E1197)</f>
        <v/>
      </c>
      <c r="M1196" t="str">
        <f t="shared" si="126"/>
        <v xml:space="preserve">          </v>
      </c>
      <c r="N1196" s="227" t="str">
        <f t="shared" si="127"/>
        <v/>
      </c>
      <c r="X1196" t="str">
        <f t="shared" si="128"/>
        <v xml:space="preserve">          </v>
      </c>
      <c r="Y1196" s="227" t="str">
        <f t="shared" si="129"/>
        <v/>
      </c>
      <c r="Z1196" t="str">
        <f t="shared" si="130"/>
        <v/>
      </c>
      <c r="AL1196" t="str">
        <f t="shared" si="131"/>
        <v/>
      </c>
      <c r="AM1196" t="str">
        <f t="shared" si="132"/>
        <v/>
      </c>
    </row>
    <row r="1197" spans="1:39">
      <c r="A1197" t="str">
        <f>IF(ISBLANK(Record!A1198),"",Record!A1198)</f>
        <v/>
      </c>
      <c r="B1197" t="str">
        <f>IF(ISBLANK(Record!B1198),"",Record!B1198)</f>
        <v/>
      </c>
      <c r="C1197" s="227" t="str">
        <f>IF(ISBLANK(Record!C1198),"",Record!C1198)</f>
        <v/>
      </c>
      <c r="D1197" t="str">
        <f>IF(ISBLANK(Record!D1198),"",Record!D1198)</f>
        <v/>
      </c>
      <c r="E1197" t="str">
        <f>IF(ISBLANK(Record!E1198),"",Record!E1198)</f>
        <v/>
      </c>
      <c r="M1197" t="str">
        <f t="shared" si="126"/>
        <v xml:space="preserve">          </v>
      </c>
      <c r="N1197" s="227" t="str">
        <f t="shared" si="127"/>
        <v/>
      </c>
      <c r="X1197" t="str">
        <f t="shared" si="128"/>
        <v xml:space="preserve">          </v>
      </c>
      <c r="Y1197" s="227" t="str">
        <f t="shared" si="129"/>
        <v/>
      </c>
      <c r="Z1197" t="str">
        <f t="shared" si="130"/>
        <v/>
      </c>
      <c r="AL1197" t="str">
        <f t="shared" si="131"/>
        <v/>
      </c>
      <c r="AM1197" t="str">
        <f t="shared" si="132"/>
        <v/>
      </c>
    </row>
    <row r="1198" spans="1:39">
      <c r="A1198" t="str">
        <f>IF(ISBLANK(Record!A1199),"",Record!A1199)</f>
        <v/>
      </c>
      <c r="B1198" t="str">
        <f>IF(ISBLANK(Record!B1199),"",Record!B1199)</f>
        <v/>
      </c>
      <c r="C1198" s="227" t="str">
        <f>IF(ISBLANK(Record!C1199),"",Record!C1199)</f>
        <v/>
      </c>
      <c r="D1198" t="str">
        <f>IF(ISBLANK(Record!D1199),"",Record!D1199)</f>
        <v/>
      </c>
      <c r="E1198" t="str">
        <f>IF(ISBLANK(Record!E1199),"",Record!E1199)</f>
        <v/>
      </c>
      <c r="M1198" t="str">
        <f t="shared" si="126"/>
        <v xml:space="preserve">          </v>
      </c>
      <c r="N1198" s="227" t="str">
        <f t="shared" si="127"/>
        <v/>
      </c>
      <c r="X1198" t="str">
        <f t="shared" si="128"/>
        <v xml:space="preserve">          </v>
      </c>
      <c r="Y1198" s="227" t="str">
        <f t="shared" si="129"/>
        <v/>
      </c>
      <c r="Z1198" t="str">
        <f t="shared" si="130"/>
        <v/>
      </c>
      <c r="AL1198" t="str">
        <f t="shared" si="131"/>
        <v/>
      </c>
      <c r="AM1198" t="str">
        <f t="shared" si="132"/>
        <v/>
      </c>
    </row>
    <row r="1199" spans="1:39">
      <c r="A1199" t="str">
        <f>IF(ISBLANK(Record!A1200),"",Record!A1200)</f>
        <v/>
      </c>
      <c r="B1199" t="str">
        <f>IF(ISBLANK(Record!B1200),"",Record!B1200)</f>
        <v/>
      </c>
      <c r="C1199" s="227" t="str">
        <f>IF(ISBLANK(Record!C1200),"",Record!C1200)</f>
        <v/>
      </c>
      <c r="D1199" t="str">
        <f>IF(ISBLANK(Record!D1200),"",Record!D1200)</f>
        <v/>
      </c>
      <c r="E1199" t="str">
        <f>IF(ISBLANK(Record!E1200),"",Record!E1200)</f>
        <v/>
      </c>
      <c r="M1199" t="str">
        <f t="shared" si="126"/>
        <v xml:space="preserve">          </v>
      </c>
      <c r="N1199" s="227" t="str">
        <f t="shared" si="127"/>
        <v/>
      </c>
      <c r="X1199" t="str">
        <f t="shared" si="128"/>
        <v xml:space="preserve">          </v>
      </c>
      <c r="Y1199" s="227" t="str">
        <f t="shared" si="129"/>
        <v/>
      </c>
      <c r="Z1199" t="str">
        <f t="shared" si="130"/>
        <v/>
      </c>
      <c r="AL1199" t="str">
        <f t="shared" si="131"/>
        <v/>
      </c>
      <c r="AM1199" t="str">
        <f t="shared" si="132"/>
        <v/>
      </c>
    </row>
    <row r="1200" spans="1:39">
      <c r="A1200" t="str">
        <f>IF(ISBLANK(Record!A1201),"",Record!A1201)</f>
        <v/>
      </c>
      <c r="B1200" t="str">
        <f>IF(ISBLANK(Record!B1201),"",Record!B1201)</f>
        <v/>
      </c>
      <c r="C1200" s="227" t="str">
        <f>IF(ISBLANK(Record!C1201),"",Record!C1201)</f>
        <v/>
      </c>
      <c r="D1200" t="str">
        <f>IF(ISBLANK(Record!D1201),"",Record!D1201)</f>
        <v/>
      </c>
      <c r="E1200" t="str">
        <f>IF(ISBLANK(Record!E1201),"",Record!E1201)</f>
        <v/>
      </c>
      <c r="M1200" t="str">
        <f t="shared" si="126"/>
        <v xml:space="preserve">          </v>
      </c>
      <c r="N1200" s="227" t="str">
        <f t="shared" si="127"/>
        <v/>
      </c>
      <c r="X1200" t="str">
        <f t="shared" si="128"/>
        <v xml:space="preserve">          </v>
      </c>
      <c r="Y1200" s="227" t="str">
        <f t="shared" si="129"/>
        <v/>
      </c>
      <c r="Z1200" t="str">
        <f t="shared" si="130"/>
        <v/>
      </c>
      <c r="AL1200" t="str">
        <f t="shared" si="131"/>
        <v/>
      </c>
      <c r="AM1200" t="str">
        <f t="shared" si="132"/>
        <v/>
      </c>
    </row>
    <row r="1201" spans="1:39">
      <c r="A1201" t="str">
        <f>IF(ISBLANK(Record!A1202),"",Record!A1202)</f>
        <v/>
      </c>
      <c r="B1201" t="str">
        <f>IF(ISBLANK(Record!B1202),"",Record!B1202)</f>
        <v/>
      </c>
      <c r="C1201" s="227" t="str">
        <f>IF(ISBLANK(Record!C1202),"",Record!C1202)</f>
        <v/>
      </c>
      <c r="D1201" t="str">
        <f>IF(ISBLANK(Record!D1202),"",Record!D1202)</f>
        <v/>
      </c>
      <c r="E1201" t="str">
        <f>IF(ISBLANK(Record!E1202),"",Record!E1202)</f>
        <v/>
      </c>
      <c r="M1201" t="str">
        <f t="shared" si="126"/>
        <v xml:space="preserve">          </v>
      </c>
      <c r="N1201" s="227" t="str">
        <f t="shared" si="127"/>
        <v/>
      </c>
      <c r="X1201" t="str">
        <f t="shared" si="128"/>
        <v xml:space="preserve">          </v>
      </c>
      <c r="Y1201" s="227" t="str">
        <f t="shared" si="129"/>
        <v/>
      </c>
      <c r="Z1201" t="str">
        <f t="shared" si="130"/>
        <v/>
      </c>
      <c r="AL1201" t="str">
        <f t="shared" si="131"/>
        <v/>
      </c>
      <c r="AM1201" t="str">
        <f t="shared" si="132"/>
        <v/>
      </c>
    </row>
    <row r="1202" spans="1:39">
      <c r="A1202" t="str">
        <f>IF(ISBLANK(Record!A1203),"",Record!A1203)</f>
        <v/>
      </c>
      <c r="B1202" t="str">
        <f>IF(ISBLANK(Record!B1203),"",Record!B1203)</f>
        <v/>
      </c>
      <c r="C1202" s="227" t="str">
        <f>IF(ISBLANK(Record!C1203),"",Record!C1203)</f>
        <v/>
      </c>
      <c r="D1202" t="str">
        <f>IF(ISBLANK(Record!D1203),"",Record!D1203)</f>
        <v/>
      </c>
      <c r="E1202" t="str">
        <f>IF(ISBLANK(Record!E1203),"",Record!E1203)</f>
        <v/>
      </c>
      <c r="M1202" t="str">
        <f t="shared" si="126"/>
        <v xml:space="preserve">          </v>
      </c>
      <c r="N1202" s="227" t="str">
        <f t="shared" si="127"/>
        <v/>
      </c>
      <c r="X1202" t="str">
        <f t="shared" si="128"/>
        <v xml:space="preserve">          </v>
      </c>
      <c r="Y1202" s="227" t="str">
        <f t="shared" si="129"/>
        <v/>
      </c>
      <c r="Z1202" t="str">
        <f t="shared" si="130"/>
        <v/>
      </c>
      <c r="AL1202" t="str">
        <f t="shared" si="131"/>
        <v/>
      </c>
      <c r="AM1202" t="str">
        <f t="shared" si="132"/>
        <v/>
      </c>
    </row>
    <row r="1203" spans="1:39">
      <c r="A1203" t="str">
        <f>IF(ISBLANK(Record!A1204),"",Record!A1204)</f>
        <v/>
      </c>
      <c r="B1203" t="str">
        <f>IF(ISBLANK(Record!B1204),"",Record!B1204)</f>
        <v/>
      </c>
      <c r="C1203" s="227" t="str">
        <f>IF(ISBLANK(Record!C1204),"",Record!C1204)</f>
        <v/>
      </c>
      <c r="D1203" t="str">
        <f>IF(ISBLANK(Record!D1204),"",Record!D1204)</f>
        <v/>
      </c>
      <c r="E1203" t="str">
        <f>IF(ISBLANK(Record!E1204),"",Record!E1204)</f>
        <v/>
      </c>
      <c r="M1203" t="str">
        <f t="shared" si="126"/>
        <v xml:space="preserve">          </v>
      </c>
      <c r="N1203" s="227" t="str">
        <f t="shared" si="127"/>
        <v/>
      </c>
      <c r="X1203" t="str">
        <f t="shared" si="128"/>
        <v xml:space="preserve">          </v>
      </c>
      <c r="Y1203" s="227" t="str">
        <f t="shared" si="129"/>
        <v/>
      </c>
      <c r="Z1203" t="str">
        <f t="shared" si="130"/>
        <v/>
      </c>
      <c r="AL1203" t="str">
        <f t="shared" si="131"/>
        <v/>
      </c>
      <c r="AM1203" t="str">
        <f t="shared" si="132"/>
        <v/>
      </c>
    </row>
    <row r="1204" spans="1:39">
      <c r="A1204" t="str">
        <f>IF(ISBLANK(Record!A1205),"",Record!A1205)</f>
        <v/>
      </c>
      <c r="B1204" t="str">
        <f>IF(ISBLANK(Record!B1205),"",Record!B1205)</f>
        <v/>
      </c>
      <c r="C1204" s="227" t="str">
        <f>IF(ISBLANK(Record!C1205),"",Record!C1205)</f>
        <v/>
      </c>
      <c r="D1204" t="str">
        <f>IF(ISBLANK(Record!D1205),"",Record!D1205)</f>
        <v/>
      </c>
      <c r="E1204" t="str">
        <f>IF(ISBLANK(Record!E1205),"",Record!E1205)</f>
        <v/>
      </c>
      <c r="M1204" t="str">
        <f t="shared" si="126"/>
        <v xml:space="preserve">          </v>
      </c>
      <c r="N1204" s="227" t="str">
        <f t="shared" si="127"/>
        <v/>
      </c>
      <c r="X1204" t="str">
        <f t="shared" si="128"/>
        <v xml:space="preserve">          </v>
      </c>
      <c r="Y1204" s="227" t="str">
        <f t="shared" si="129"/>
        <v/>
      </c>
      <c r="Z1204" t="str">
        <f t="shared" si="130"/>
        <v/>
      </c>
      <c r="AL1204" t="str">
        <f t="shared" si="131"/>
        <v/>
      </c>
      <c r="AM1204" t="str">
        <f t="shared" si="132"/>
        <v/>
      </c>
    </row>
    <row r="1205" spans="1:39">
      <c r="A1205" t="str">
        <f>IF(ISBLANK(Record!A1206),"",Record!A1206)</f>
        <v/>
      </c>
      <c r="B1205" t="str">
        <f>IF(ISBLANK(Record!B1206),"",Record!B1206)</f>
        <v/>
      </c>
      <c r="C1205" s="227" t="str">
        <f>IF(ISBLANK(Record!C1206),"",Record!C1206)</f>
        <v/>
      </c>
      <c r="D1205" t="str">
        <f>IF(ISBLANK(Record!D1206),"",Record!D1206)</f>
        <v/>
      </c>
      <c r="E1205" t="str">
        <f>IF(ISBLANK(Record!E1206),"",Record!E1206)</f>
        <v/>
      </c>
      <c r="M1205" t="str">
        <f t="shared" si="126"/>
        <v xml:space="preserve">          </v>
      </c>
      <c r="N1205" s="227" t="str">
        <f t="shared" si="127"/>
        <v/>
      </c>
      <c r="X1205" t="str">
        <f t="shared" si="128"/>
        <v xml:space="preserve">          </v>
      </c>
      <c r="Y1205" s="227" t="str">
        <f t="shared" si="129"/>
        <v/>
      </c>
      <c r="Z1205" t="str">
        <f t="shared" si="130"/>
        <v/>
      </c>
      <c r="AL1205" t="str">
        <f t="shared" si="131"/>
        <v/>
      </c>
      <c r="AM1205" t="str">
        <f t="shared" si="132"/>
        <v/>
      </c>
    </row>
    <row r="1206" spans="1:39">
      <c r="A1206" t="str">
        <f>IF(ISBLANK(Record!A1207),"",Record!A1207)</f>
        <v/>
      </c>
      <c r="B1206" t="str">
        <f>IF(ISBLANK(Record!B1207),"",Record!B1207)</f>
        <v/>
      </c>
      <c r="C1206" s="227" t="str">
        <f>IF(ISBLANK(Record!C1207),"",Record!C1207)</f>
        <v/>
      </c>
      <c r="D1206" t="str">
        <f>IF(ISBLANK(Record!D1207),"",Record!D1207)</f>
        <v/>
      </c>
      <c r="E1206" t="str">
        <f>IF(ISBLANK(Record!E1207),"",Record!E1207)</f>
        <v/>
      </c>
      <c r="M1206" t="str">
        <f t="shared" si="126"/>
        <v xml:space="preserve">          </v>
      </c>
      <c r="N1206" s="227" t="str">
        <f t="shared" si="127"/>
        <v/>
      </c>
      <c r="X1206" t="str">
        <f t="shared" si="128"/>
        <v xml:space="preserve">          </v>
      </c>
      <c r="Y1206" s="227" t="str">
        <f t="shared" si="129"/>
        <v/>
      </c>
      <c r="Z1206" t="str">
        <f t="shared" si="130"/>
        <v/>
      </c>
      <c r="AL1206" t="str">
        <f t="shared" si="131"/>
        <v/>
      </c>
      <c r="AM1206" t="str">
        <f t="shared" si="132"/>
        <v/>
      </c>
    </row>
    <row r="1207" spans="1:39">
      <c r="A1207" t="str">
        <f>IF(ISBLANK(Record!A1208),"",Record!A1208)</f>
        <v/>
      </c>
      <c r="B1207" t="str">
        <f>IF(ISBLANK(Record!B1208),"",Record!B1208)</f>
        <v/>
      </c>
      <c r="C1207" s="227" t="str">
        <f>IF(ISBLANK(Record!C1208),"",Record!C1208)</f>
        <v/>
      </c>
      <c r="D1207" t="str">
        <f>IF(ISBLANK(Record!D1208),"",Record!D1208)</f>
        <v/>
      </c>
      <c r="E1207" t="str">
        <f>IF(ISBLANK(Record!E1208),"",Record!E1208)</f>
        <v/>
      </c>
      <c r="M1207" t="str">
        <f t="shared" si="126"/>
        <v xml:space="preserve">          </v>
      </c>
      <c r="N1207" s="227" t="str">
        <f t="shared" si="127"/>
        <v/>
      </c>
      <c r="X1207" t="str">
        <f t="shared" si="128"/>
        <v xml:space="preserve">          </v>
      </c>
      <c r="Y1207" s="227" t="str">
        <f t="shared" si="129"/>
        <v/>
      </c>
      <c r="Z1207" t="str">
        <f t="shared" si="130"/>
        <v/>
      </c>
      <c r="AL1207" t="str">
        <f t="shared" si="131"/>
        <v/>
      </c>
      <c r="AM1207" t="str">
        <f t="shared" si="132"/>
        <v/>
      </c>
    </row>
    <row r="1208" spans="1:39">
      <c r="A1208" t="str">
        <f>IF(ISBLANK(Record!A1209),"",Record!A1209)</f>
        <v/>
      </c>
      <c r="B1208" t="str">
        <f>IF(ISBLANK(Record!B1209),"",Record!B1209)</f>
        <v/>
      </c>
      <c r="C1208" s="227" t="str">
        <f>IF(ISBLANK(Record!C1209),"",Record!C1209)</f>
        <v/>
      </c>
      <c r="D1208" t="str">
        <f>IF(ISBLANK(Record!D1209),"",Record!D1209)</f>
        <v/>
      </c>
      <c r="E1208" t="str">
        <f>IF(ISBLANK(Record!E1209),"",Record!E1209)</f>
        <v/>
      </c>
      <c r="M1208" t="str">
        <f t="shared" si="126"/>
        <v xml:space="preserve">          </v>
      </c>
      <c r="N1208" s="227" t="str">
        <f t="shared" si="127"/>
        <v/>
      </c>
      <c r="X1208" t="str">
        <f t="shared" si="128"/>
        <v xml:space="preserve">          </v>
      </c>
      <c r="Y1208" s="227" t="str">
        <f t="shared" si="129"/>
        <v/>
      </c>
      <c r="Z1208" t="str">
        <f t="shared" si="130"/>
        <v/>
      </c>
      <c r="AL1208" t="str">
        <f t="shared" si="131"/>
        <v/>
      </c>
      <c r="AM1208" t="str">
        <f t="shared" si="132"/>
        <v/>
      </c>
    </row>
    <row r="1209" spans="1:39">
      <c r="A1209" t="str">
        <f>IF(ISBLANK(Record!A1210),"",Record!A1210)</f>
        <v/>
      </c>
      <c r="B1209" t="str">
        <f>IF(ISBLANK(Record!B1210),"",Record!B1210)</f>
        <v/>
      </c>
      <c r="C1209" s="227" t="str">
        <f>IF(ISBLANK(Record!C1210),"",Record!C1210)</f>
        <v/>
      </c>
      <c r="D1209" t="str">
        <f>IF(ISBLANK(Record!D1210),"",Record!D1210)</f>
        <v/>
      </c>
      <c r="E1209" t="str">
        <f>IF(ISBLANK(Record!E1210),"",Record!E1210)</f>
        <v/>
      </c>
      <c r="M1209" t="str">
        <f t="shared" si="126"/>
        <v xml:space="preserve">          </v>
      </c>
      <c r="N1209" s="227" t="str">
        <f t="shared" si="127"/>
        <v/>
      </c>
      <c r="X1209" t="str">
        <f t="shared" si="128"/>
        <v xml:space="preserve">          </v>
      </c>
      <c r="Y1209" s="227" t="str">
        <f t="shared" si="129"/>
        <v/>
      </c>
      <c r="Z1209" t="str">
        <f t="shared" si="130"/>
        <v/>
      </c>
      <c r="AL1209" t="str">
        <f t="shared" si="131"/>
        <v/>
      </c>
      <c r="AM1209" t="str">
        <f t="shared" si="132"/>
        <v/>
      </c>
    </row>
    <row r="1210" spans="1:39">
      <c r="A1210" t="str">
        <f>IF(ISBLANK(Record!A1211),"",Record!A1211)</f>
        <v/>
      </c>
      <c r="B1210" t="str">
        <f>IF(ISBLANK(Record!B1211),"",Record!B1211)</f>
        <v/>
      </c>
      <c r="C1210" s="227" t="str">
        <f>IF(ISBLANK(Record!C1211),"",Record!C1211)</f>
        <v/>
      </c>
      <c r="D1210" t="str">
        <f>IF(ISBLANK(Record!D1211),"",Record!D1211)</f>
        <v/>
      </c>
      <c r="E1210" t="str">
        <f>IF(ISBLANK(Record!E1211),"",Record!E1211)</f>
        <v/>
      </c>
      <c r="M1210" t="str">
        <f t="shared" si="126"/>
        <v xml:space="preserve">          </v>
      </c>
      <c r="N1210" s="227" t="str">
        <f t="shared" si="127"/>
        <v/>
      </c>
      <c r="X1210" t="str">
        <f t="shared" si="128"/>
        <v xml:space="preserve">          </v>
      </c>
      <c r="Y1210" s="227" t="str">
        <f t="shared" si="129"/>
        <v/>
      </c>
      <c r="Z1210" t="str">
        <f t="shared" si="130"/>
        <v/>
      </c>
      <c r="AL1210" t="str">
        <f t="shared" si="131"/>
        <v/>
      </c>
      <c r="AM1210" t="str">
        <f t="shared" si="132"/>
        <v/>
      </c>
    </row>
    <row r="1211" spans="1:39">
      <c r="A1211" t="str">
        <f>IF(ISBLANK(Record!A1212),"",Record!A1212)</f>
        <v/>
      </c>
      <c r="B1211" t="str">
        <f>IF(ISBLANK(Record!B1212),"",Record!B1212)</f>
        <v/>
      </c>
      <c r="C1211" s="227" t="str">
        <f>IF(ISBLANK(Record!C1212),"",Record!C1212)</f>
        <v/>
      </c>
      <c r="D1211" t="str">
        <f>IF(ISBLANK(Record!D1212),"",Record!D1212)</f>
        <v/>
      </c>
      <c r="E1211" t="str">
        <f>IF(ISBLANK(Record!E1212),"",Record!E1212)</f>
        <v/>
      </c>
      <c r="M1211" t="str">
        <f t="shared" si="126"/>
        <v xml:space="preserve">          </v>
      </c>
      <c r="N1211" s="227" t="str">
        <f t="shared" si="127"/>
        <v/>
      </c>
      <c r="X1211" t="str">
        <f t="shared" si="128"/>
        <v xml:space="preserve">          </v>
      </c>
      <c r="Y1211" s="227" t="str">
        <f t="shared" si="129"/>
        <v/>
      </c>
      <c r="Z1211" t="str">
        <f t="shared" si="130"/>
        <v/>
      </c>
      <c r="AL1211" t="str">
        <f t="shared" si="131"/>
        <v/>
      </c>
      <c r="AM1211" t="str">
        <f t="shared" si="132"/>
        <v/>
      </c>
    </row>
    <row r="1212" spans="1:39">
      <c r="A1212" t="str">
        <f>IF(ISBLANK(Record!A1213),"",Record!A1213)</f>
        <v/>
      </c>
      <c r="B1212" t="str">
        <f>IF(ISBLANK(Record!B1213),"",Record!B1213)</f>
        <v/>
      </c>
      <c r="C1212" s="227" t="str">
        <f>IF(ISBLANK(Record!C1213),"",Record!C1213)</f>
        <v/>
      </c>
      <c r="D1212" t="str">
        <f>IF(ISBLANK(Record!D1213),"",Record!D1213)</f>
        <v/>
      </c>
      <c r="E1212" t="str">
        <f>IF(ISBLANK(Record!E1213),"",Record!E1213)</f>
        <v/>
      </c>
      <c r="M1212" t="str">
        <f t="shared" si="126"/>
        <v xml:space="preserve">          </v>
      </c>
      <c r="N1212" s="227" t="str">
        <f t="shared" si="127"/>
        <v/>
      </c>
      <c r="X1212" t="str">
        <f t="shared" si="128"/>
        <v xml:space="preserve">          </v>
      </c>
      <c r="Y1212" s="227" t="str">
        <f t="shared" si="129"/>
        <v/>
      </c>
      <c r="Z1212" t="str">
        <f t="shared" si="130"/>
        <v/>
      </c>
      <c r="AL1212" t="str">
        <f t="shared" si="131"/>
        <v/>
      </c>
      <c r="AM1212" t="str">
        <f t="shared" si="132"/>
        <v/>
      </c>
    </row>
    <row r="1213" spans="1:39">
      <c r="A1213" t="str">
        <f>IF(ISBLANK(Record!A1214),"",Record!A1214)</f>
        <v/>
      </c>
      <c r="B1213" t="str">
        <f>IF(ISBLANK(Record!B1214),"",Record!B1214)</f>
        <v/>
      </c>
      <c r="C1213" s="227" t="str">
        <f>IF(ISBLANK(Record!C1214),"",Record!C1214)</f>
        <v/>
      </c>
      <c r="D1213" t="str">
        <f>IF(ISBLANK(Record!D1214),"",Record!D1214)</f>
        <v/>
      </c>
      <c r="E1213" t="str">
        <f>IF(ISBLANK(Record!E1214),"",Record!E1214)</f>
        <v/>
      </c>
      <c r="M1213" t="str">
        <f t="shared" si="126"/>
        <v xml:space="preserve">          </v>
      </c>
      <c r="N1213" s="227" t="str">
        <f t="shared" si="127"/>
        <v/>
      </c>
      <c r="X1213" t="str">
        <f t="shared" si="128"/>
        <v xml:space="preserve">          </v>
      </c>
      <c r="Y1213" s="227" t="str">
        <f t="shared" si="129"/>
        <v/>
      </c>
      <c r="Z1213" t="str">
        <f t="shared" si="130"/>
        <v/>
      </c>
      <c r="AL1213" t="str">
        <f t="shared" si="131"/>
        <v/>
      </c>
      <c r="AM1213" t="str">
        <f t="shared" si="132"/>
        <v/>
      </c>
    </row>
    <row r="1214" spans="1:39">
      <c r="A1214" t="str">
        <f>IF(ISBLANK(Record!A1215),"",Record!A1215)</f>
        <v/>
      </c>
      <c r="B1214" t="str">
        <f>IF(ISBLANK(Record!B1215),"",Record!B1215)</f>
        <v/>
      </c>
      <c r="C1214" s="227" t="str">
        <f>IF(ISBLANK(Record!C1215),"",Record!C1215)</f>
        <v/>
      </c>
      <c r="D1214" t="str">
        <f>IF(ISBLANK(Record!D1215),"",Record!D1215)</f>
        <v/>
      </c>
      <c r="E1214" t="str">
        <f>IF(ISBLANK(Record!E1215),"",Record!E1215)</f>
        <v/>
      </c>
      <c r="M1214" t="str">
        <f t="shared" si="126"/>
        <v xml:space="preserve">          </v>
      </c>
      <c r="N1214" s="227" t="str">
        <f t="shared" si="127"/>
        <v/>
      </c>
      <c r="X1214" t="str">
        <f t="shared" si="128"/>
        <v xml:space="preserve">          </v>
      </c>
      <c r="Y1214" s="227" t="str">
        <f t="shared" si="129"/>
        <v/>
      </c>
      <c r="Z1214" t="str">
        <f t="shared" si="130"/>
        <v/>
      </c>
      <c r="AL1214" t="str">
        <f t="shared" si="131"/>
        <v/>
      </c>
      <c r="AM1214" t="str">
        <f t="shared" si="132"/>
        <v/>
      </c>
    </row>
    <row r="1215" spans="1:39">
      <c r="A1215" t="str">
        <f>IF(ISBLANK(Record!A1216),"",Record!A1216)</f>
        <v/>
      </c>
      <c r="B1215" t="str">
        <f>IF(ISBLANK(Record!B1216),"",Record!B1216)</f>
        <v/>
      </c>
      <c r="C1215" s="227" t="str">
        <f>IF(ISBLANK(Record!C1216),"",Record!C1216)</f>
        <v/>
      </c>
      <c r="D1215" t="str">
        <f>IF(ISBLANK(Record!D1216),"",Record!D1216)</f>
        <v/>
      </c>
      <c r="E1215" t="str">
        <f>IF(ISBLANK(Record!E1216),"",Record!E1216)</f>
        <v/>
      </c>
      <c r="M1215" t="str">
        <f t="shared" si="126"/>
        <v xml:space="preserve">          </v>
      </c>
      <c r="N1215" s="227" t="str">
        <f t="shared" si="127"/>
        <v/>
      </c>
      <c r="X1215" t="str">
        <f t="shared" si="128"/>
        <v xml:space="preserve">          </v>
      </c>
      <c r="Y1215" s="227" t="str">
        <f t="shared" si="129"/>
        <v/>
      </c>
      <c r="Z1215" t="str">
        <f t="shared" si="130"/>
        <v/>
      </c>
      <c r="AL1215" t="str">
        <f t="shared" si="131"/>
        <v/>
      </c>
      <c r="AM1215" t="str">
        <f t="shared" si="132"/>
        <v/>
      </c>
    </row>
    <row r="1216" spans="1:39">
      <c r="A1216" t="str">
        <f>IF(ISBLANK(Record!A1217),"",Record!A1217)</f>
        <v/>
      </c>
      <c r="B1216" t="str">
        <f>IF(ISBLANK(Record!B1217),"",Record!B1217)</f>
        <v/>
      </c>
      <c r="C1216" s="227" t="str">
        <f>IF(ISBLANK(Record!C1217),"",Record!C1217)</f>
        <v/>
      </c>
      <c r="D1216" t="str">
        <f>IF(ISBLANK(Record!D1217),"",Record!D1217)</f>
        <v/>
      </c>
      <c r="E1216" t="str">
        <f>IF(ISBLANK(Record!E1217),"",Record!E1217)</f>
        <v/>
      </c>
      <c r="M1216" t="str">
        <f t="shared" si="126"/>
        <v xml:space="preserve">          </v>
      </c>
      <c r="N1216" s="227" t="str">
        <f t="shared" si="127"/>
        <v/>
      </c>
      <c r="X1216" t="str">
        <f t="shared" si="128"/>
        <v xml:space="preserve">          </v>
      </c>
      <c r="Y1216" s="227" t="str">
        <f t="shared" si="129"/>
        <v/>
      </c>
      <c r="Z1216" t="str">
        <f t="shared" si="130"/>
        <v/>
      </c>
      <c r="AL1216" t="str">
        <f t="shared" si="131"/>
        <v/>
      </c>
      <c r="AM1216" t="str">
        <f t="shared" si="132"/>
        <v/>
      </c>
    </row>
    <row r="1217" spans="1:39">
      <c r="A1217" t="str">
        <f>IF(ISBLANK(Record!A1218),"",Record!A1218)</f>
        <v/>
      </c>
      <c r="B1217" t="str">
        <f>IF(ISBLANK(Record!B1218),"",Record!B1218)</f>
        <v/>
      </c>
      <c r="C1217" s="227" t="str">
        <f>IF(ISBLANK(Record!C1218),"",Record!C1218)</f>
        <v/>
      </c>
      <c r="D1217" t="str">
        <f>IF(ISBLANK(Record!D1218),"",Record!D1218)</f>
        <v/>
      </c>
      <c r="E1217" t="str">
        <f>IF(ISBLANK(Record!E1218),"",Record!E1218)</f>
        <v/>
      </c>
      <c r="M1217" t="str">
        <f t="shared" si="126"/>
        <v xml:space="preserve">          </v>
      </c>
      <c r="N1217" s="227" t="str">
        <f t="shared" si="127"/>
        <v/>
      </c>
      <c r="X1217" t="str">
        <f t="shared" si="128"/>
        <v xml:space="preserve">          </v>
      </c>
      <c r="Y1217" s="227" t="str">
        <f t="shared" si="129"/>
        <v/>
      </c>
      <c r="Z1217" t="str">
        <f t="shared" si="130"/>
        <v/>
      </c>
      <c r="AL1217" t="str">
        <f t="shared" si="131"/>
        <v/>
      </c>
      <c r="AM1217" t="str">
        <f t="shared" si="132"/>
        <v/>
      </c>
    </row>
    <row r="1218" spans="1:39">
      <c r="A1218" t="str">
        <f>IF(ISBLANK(Record!A1219),"",Record!A1219)</f>
        <v/>
      </c>
      <c r="B1218" t="str">
        <f>IF(ISBLANK(Record!B1219),"",Record!B1219)</f>
        <v/>
      </c>
      <c r="C1218" s="227" t="str">
        <f>IF(ISBLANK(Record!C1219),"",Record!C1219)</f>
        <v/>
      </c>
      <c r="D1218" t="str">
        <f>IF(ISBLANK(Record!D1219),"",Record!D1219)</f>
        <v/>
      </c>
      <c r="E1218" t="str">
        <f>IF(ISBLANK(Record!E1219),"",Record!E1219)</f>
        <v/>
      </c>
      <c r="M1218" t="str">
        <f t="shared" si="126"/>
        <v xml:space="preserve">          </v>
      </c>
      <c r="N1218" s="227" t="str">
        <f t="shared" si="127"/>
        <v/>
      </c>
      <c r="X1218" t="str">
        <f t="shared" si="128"/>
        <v xml:space="preserve">          </v>
      </c>
      <c r="Y1218" s="227" t="str">
        <f t="shared" si="129"/>
        <v/>
      </c>
      <c r="Z1218" t="str">
        <f t="shared" si="130"/>
        <v/>
      </c>
      <c r="AL1218" t="str">
        <f t="shared" si="131"/>
        <v/>
      </c>
      <c r="AM1218" t="str">
        <f t="shared" si="132"/>
        <v/>
      </c>
    </row>
    <row r="1219" spans="1:39">
      <c r="A1219" t="str">
        <f>IF(ISBLANK(Record!A1220),"",Record!A1220)</f>
        <v/>
      </c>
      <c r="B1219" t="str">
        <f>IF(ISBLANK(Record!B1220),"",Record!B1220)</f>
        <v/>
      </c>
      <c r="C1219" s="227" t="str">
        <f>IF(ISBLANK(Record!C1220),"",Record!C1220)</f>
        <v/>
      </c>
      <c r="D1219" t="str">
        <f>IF(ISBLANK(Record!D1220),"",Record!D1220)</f>
        <v/>
      </c>
      <c r="E1219" t="str">
        <f>IF(ISBLANK(Record!E1220),"",Record!E1220)</f>
        <v/>
      </c>
      <c r="M1219" t="str">
        <f t="shared" ref="M1219:M1282" si="133">RIGHT("                                   " &amp; A1219,10)</f>
        <v xml:space="preserve">          </v>
      </c>
      <c r="N1219" s="227" t="str">
        <f t="shared" ref="N1219:N1282" si="134">RIGHT(C1219,16)</f>
        <v/>
      </c>
      <c r="X1219" t="str">
        <f t="shared" ref="X1219:X1282" si="135">RIGHT("                                   " &amp; A1219,10)</f>
        <v xml:space="preserve">          </v>
      </c>
      <c r="Y1219" s="227" t="str">
        <f t="shared" ref="Y1219:Y1282" si="136">RIGHT(C1219,16)</f>
        <v/>
      </c>
      <c r="Z1219" t="str">
        <f t="shared" ref="Z1219:Z1282" si="137">RIGHT(D1219,8)</f>
        <v/>
      </c>
      <c r="AL1219" t="str">
        <f t="shared" ref="AL1219:AL1282" si="138">D1219</f>
        <v/>
      </c>
      <c r="AM1219" t="str">
        <f t="shared" ref="AM1219:AM1282" si="139">IF(E1219&lt;&gt;AL1219,E1219,E1219)</f>
        <v/>
      </c>
    </row>
    <row r="1220" spans="1:39">
      <c r="A1220" t="str">
        <f>IF(ISBLANK(Record!A1221),"",Record!A1221)</f>
        <v/>
      </c>
      <c r="B1220" t="str">
        <f>IF(ISBLANK(Record!B1221),"",Record!B1221)</f>
        <v/>
      </c>
      <c r="C1220" s="227" t="str">
        <f>IF(ISBLANK(Record!C1221),"",Record!C1221)</f>
        <v/>
      </c>
      <c r="D1220" t="str">
        <f>IF(ISBLANK(Record!D1221),"",Record!D1221)</f>
        <v/>
      </c>
      <c r="E1220" t="str">
        <f>IF(ISBLANK(Record!E1221),"",Record!E1221)</f>
        <v/>
      </c>
      <c r="M1220" t="str">
        <f t="shared" si="133"/>
        <v xml:space="preserve">          </v>
      </c>
      <c r="N1220" s="227" t="str">
        <f t="shared" si="134"/>
        <v/>
      </c>
      <c r="X1220" t="str">
        <f t="shared" si="135"/>
        <v xml:space="preserve">          </v>
      </c>
      <c r="Y1220" s="227" t="str">
        <f t="shared" si="136"/>
        <v/>
      </c>
      <c r="Z1220" t="str">
        <f t="shared" si="137"/>
        <v/>
      </c>
      <c r="AL1220" t="str">
        <f t="shared" si="138"/>
        <v/>
      </c>
      <c r="AM1220" t="str">
        <f t="shared" si="139"/>
        <v/>
      </c>
    </row>
    <row r="1221" spans="1:39">
      <c r="A1221" t="str">
        <f>IF(ISBLANK(Record!A1222),"",Record!A1222)</f>
        <v/>
      </c>
      <c r="B1221" t="str">
        <f>IF(ISBLANK(Record!B1222),"",Record!B1222)</f>
        <v/>
      </c>
      <c r="C1221" s="227" t="str">
        <f>IF(ISBLANK(Record!C1222),"",Record!C1222)</f>
        <v/>
      </c>
      <c r="D1221" t="str">
        <f>IF(ISBLANK(Record!D1222),"",Record!D1222)</f>
        <v/>
      </c>
      <c r="E1221" t="str">
        <f>IF(ISBLANK(Record!E1222),"",Record!E1222)</f>
        <v/>
      </c>
      <c r="M1221" t="str">
        <f t="shared" si="133"/>
        <v xml:space="preserve">          </v>
      </c>
      <c r="N1221" s="227" t="str">
        <f t="shared" si="134"/>
        <v/>
      </c>
      <c r="X1221" t="str">
        <f t="shared" si="135"/>
        <v xml:space="preserve">          </v>
      </c>
      <c r="Y1221" s="227" t="str">
        <f t="shared" si="136"/>
        <v/>
      </c>
      <c r="Z1221" t="str">
        <f t="shared" si="137"/>
        <v/>
      </c>
      <c r="AL1221" t="str">
        <f t="shared" si="138"/>
        <v/>
      </c>
      <c r="AM1221" t="str">
        <f t="shared" si="139"/>
        <v/>
      </c>
    </row>
    <row r="1222" spans="1:39">
      <c r="A1222" t="str">
        <f>IF(ISBLANK(Record!A1223),"",Record!A1223)</f>
        <v/>
      </c>
      <c r="B1222" t="str">
        <f>IF(ISBLANK(Record!B1223),"",Record!B1223)</f>
        <v/>
      </c>
      <c r="C1222" s="227" t="str">
        <f>IF(ISBLANK(Record!C1223),"",Record!C1223)</f>
        <v/>
      </c>
      <c r="D1222" t="str">
        <f>IF(ISBLANK(Record!D1223),"",Record!D1223)</f>
        <v/>
      </c>
      <c r="E1222" t="str">
        <f>IF(ISBLANK(Record!E1223),"",Record!E1223)</f>
        <v/>
      </c>
      <c r="M1222" t="str">
        <f t="shared" si="133"/>
        <v xml:space="preserve">          </v>
      </c>
      <c r="N1222" s="227" t="str">
        <f t="shared" si="134"/>
        <v/>
      </c>
      <c r="X1222" t="str">
        <f t="shared" si="135"/>
        <v xml:space="preserve">          </v>
      </c>
      <c r="Y1222" s="227" t="str">
        <f t="shared" si="136"/>
        <v/>
      </c>
      <c r="Z1222" t="str">
        <f t="shared" si="137"/>
        <v/>
      </c>
      <c r="AL1222" t="str">
        <f t="shared" si="138"/>
        <v/>
      </c>
      <c r="AM1222" t="str">
        <f t="shared" si="139"/>
        <v/>
      </c>
    </row>
    <row r="1223" spans="1:39">
      <c r="A1223" t="str">
        <f>IF(ISBLANK(Record!A1224),"",Record!A1224)</f>
        <v/>
      </c>
      <c r="B1223" t="str">
        <f>IF(ISBLANK(Record!B1224),"",Record!B1224)</f>
        <v/>
      </c>
      <c r="C1223" s="227" t="str">
        <f>IF(ISBLANK(Record!C1224),"",Record!C1224)</f>
        <v/>
      </c>
      <c r="D1223" t="str">
        <f>IF(ISBLANK(Record!D1224),"",Record!D1224)</f>
        <v/>
      </c>
      <c r="E1223" t="str">
        <f>IF(ISBLANK(Record!E1224),"",Record!E1224)</f>
        <v/>
      </c>
      <c r="M1223" t="str">
        <f t="shared" si="133"/>
        <v xml:space="preserve">          </v>
      </c>
      <c r="N1223" s="227" t="str">
        <f t="shared" si="134"/>
        <v/>
      </c>
      <c r="X1223" t="str">
        <f t="shared" si="135"/>
        <v xml:space="preserve">          </v>
      </c>
      <c r="Y1223" s="227" t="str">
        <f t="shared" si="136"/>
        <v/>
      </c>
      <c r="Z1223" t="str">
        <f t="shared" si="137"/>
        <v/>
      </c>
      <c r="AL1223" t="str">
        <f t="shared" si="138"/>
        <v/>
      </c>
      <c r="AM1223" t="str">
        <f t="shared" si="139"/>
        <v/>
      </c>
    </row>
    <row r="1224" spans="1:39">
      <c r="A1224" t="str">
        <f>IF(ISBLANK(Record!A1225),"",Record!A1225)</f>
        <v/>
      </c>
      <c r="B1224" t="str">
        <f>IF(ISBLANK(Record!B1225),"",Record!B1225)</f>
        <v/>
      </c>
      <c r="C1224" s="227" t="str">
        <f>IF(ISBLANK(Record!C1225),"",Record!C1225)</f>
        <v/>
      </c>
      <c r="D1224" t="str">
        <f>IF(ISBLANK(Record!D1225),"",Record!D1225)</f>
        <v/>
      </c>
      <c r="E1224" t="str">
        <f>IF(ISBLANK(Record!E1225),"",Record!E1225)</f>
        <v/>
      </c>
      <c r="M1224" t="str">
        <f t="shared" si="133"/>
        <v xml:space="preserve">          </v>
      </c>
      <c r="N1224" s="227" t="str">
        <f t="shared" si="134"/>
        <v/>
      </c>
      <c r="X1224" t="str">
        <f t="shared" si="135"/>
        <v xml:space="preserve">          </v>
      </c>
      <c r="Y1224" s="227" t="str">
        <f t="shared" si="136"/>
        <v/>
      </c>
      <c r="Z1224" t="str">
        <f t="shared" si="137"/>
        <v/>
      </c>
      <c r="AL1224" t="str">
        <f t="shared" si="138"/>
        <v/>
      </c>
      <c r="AM1224" t="str">
        <f t="shared" si="139"/>
        <v/>
      </c>
    </row>
    <row r="1225" spans="1:39">
      <c r="A1225" t="str">
        <f>IF(ISBLANK(Record!A1226),"",Record!A1226)</f>
        <v/>
      </c>
      <c r="B1225" t="str">
        <f>IF(ISBLANK(Record!B1226),"",Record!B1226)</f>
        <v/>
      </c>
      <c r="C1225" s="227" t="str">
        <f>IF(ISBLANK(Record!C1226),"",Record!C1226)</f>
        <v/>
      </c>
      <c r="D1225" t="str">
        <f>IF(ISBLANK(Record!D1226),"",Record!D1226)</f>
        <v/>
      </c>
      <c r="E1225" t="str">
        <f>IF(ISBLANK(Record!E1226),"",Record!E1226)</f>
        <v/>
      </c>
      <c r="M1225" t="str">
        <f t="shared" si="133"/>
        <v xml:space="preserve">          </v>
      </c>
      <c r="N1225" s="227" t="str">
        <f t="shared" si="134"/>
        <v/>
      </c>
      <c r="X1225" t="str">
        <f t="shared" si="135"/>
        <v xml:space="preserve">          </v>
      </c>
      <c r="Y1225" s="227" t="str">
        <f t="shared" si="136"/>
        <v/>
      </c>
      <c r="Z1225" t="str">
        <f t="shared" si="137"/>
        <v/>
      </c>
      <c r="AL1225" t="str">
        <f t="shared" si="138"/>
        <v/>
      </c>
      <c r="AM1225" t="str">
        <f t="shared" si="139"/>
        <v/>
      </c>
    </row>
    <row r="1226" spans="1:39">
      <c r="A1226" t="str">
        <f>IF(ISBLANK(Record!A1227),"",Record!A1227)</f>
        <v/>
      </c>
      <c r="B1226" t="str">
        <f>IF(ISBLANK(Record!B1227),"",Record!B1227)</f>
        <v/>
      </c>
      <c r="C1226" s="227" t="str">
        <f>IF(ISBLANK(Record!C1227),"",Record!C1227)</f>
        <v/>
      </c>
      <c r="D1226" t="str">
        <f>IF(ISBLANK(Record!D1227),"",Record!D1227)</f>
        <v/>
      </c>
      <c r="E1226" t="str">
        <f>IF(ISBLANK(Record!E1227),"",Record!E1227)</f>
        <v/>
      </c>
      <c r="M1226" t="str">
        <f t="shared" si="133"/>
        <v xml:space="preserve">          </v>
      </c>
      <c r="N1226" s="227" t="str">
        <f t="shared" si="134"/>
        <v/>
      </c>
      <c r="X1226" t="str">
        <f t="shared" si="135"/>
        <v xml:space="preserve">          </v>
      </c>
      <c r="Y1226" s="227" t="str">
        <f t="shared" si="136"/>
        <v/>
      </c>
      <c r="Z1226" t="str">
        <f t="shared" si="137"/>
        <v/>
      </c>
      <c r="AL1226" t="str">
        <f t="shared" si="138"/>
        <v/>
      </c>
      <c r="AM1226" t="str">
        <f t="shared" si="139"/>
        <v/>
      </c>
    </row>
    <row r="1227" spans="1:39">
      <c r="A1227" t="str">
        <f>IF(ISBLANK(Record!A1228),"",Record!A1228)</f>
        <v/>
      </c>
      <c r="B1227" t="str">
        <f>IF(ISBLANK(Record!B1228),"",Record!B1228)</f>
        <v/>
      </c>
      <c r="C1227" s="227" t="str">
        <f>IF(ISBLANK(Record!C1228),"",Record!C1228)</f>
        <v/>
      </c>
      <c r="D1227" t="str">
        <f>IF(ISBLANK(Record!D1228),"",Record!D1228)</f>
        <v/>
      </c>
      <c r="E1227" t="str">
        <f>IF(ISBLANK(Record!E1228),"",Record!E1228)</f>
        <v/>
      </c>
      <c r="M1227" t="str">
        <f t="shared" si="133"/>
        <v xml:space="preserve">          </v>
      </c>
      <c r="N1227" s="227" t="str">
        <f t="shared" si="134"/>
        <v/>
      </c>
      <c r="X1227" t="str">
        <f t="shared" si="135"/>
        <v xml:space="preserve">          </v>
      </c>
      <c r="Y1227" s="227" t="str">
        <f t="shared" si="136"/>
        <v/>
      </c>
      <c r="Z1227" t="str">
        <f t="shared" si="137"/>
        <v/>
      </c>
      <c r="AL1227" t="str">
        <f t="shared" si="138"/>
        <v/>
      </c>
      <c r="AM1227" t="str">
        <f t="shared" si="139"/>
        <v/>
      </c>
    </row>
    <row r="1228" spans="1:39">
      <c r="A1228" t="str">
        <f>IF(ISBLANK(Record!A1229),"",Record!A1229)</f>
        <v/>
      </c>
      <c r="B1228" t="str">
        <f>IF(ISBLANK(Record!B1229),"",Record!B1229)</f>
        <v/>
      </c>
      <c r="C1228" s="227" t="str">
        <f>IF(ISBLANK(Record!C1229),"",Record!C1229)</f>
        <v/>
      </c>
      <c r="D1228" t="str">
        <f>IF(ISBLANK(Record!D1229),"",Record!D1229)</f>
        <v/>
      </c>
      <c r="E1228" t="str">
        <f>IF(ISBLANK(Record!E1229),"",Record!E1229)</f>
        <v/>
      </c>
      <c r="M1228" t="str">
        <f t="shared" si="133"/>
        <v xml:space="preserve">          </v>
      </c>
      <c r="N1228" s="227" t="str">
        <f t="shared" si="134"/>
        <v/>
      </c>
      <c r="X1228" t="str">
        <f t="shared" si="135"/>
        <v xml:space="preserve">          </v>
      </c>
      <c r="Y1228" s="227" t="str">
        <f t="shared" si="136"/>
        <v/>
      </c>
      <c r="Z1228" t="str">
        <f t="shared" si="137"/>
        <v/>
      </c>
      <c r="AL1228" t="str">
        <f t="shared" si="138"/>
        <v/>
      </c>
      <c r="AM1228" t="str">
        <f t="shared" si="139"/>
        <v/>
      </c>
    </row>
    <row r="1229" spans="1:39">
      <c r="A1229" t="str">
        <f>IF(ISBLANK(Record!A1230),"",Record!A1230)</f>
        <v/>
      </c>
      <c r="B1229" t="str">
        <f>IF(ISBLANK(Record!B1230),"",Record!B1230)</f>
        <v/>
      </c>
      <c r="C1229" s="227" t="str">
        <f>IF(ISBLANK(Record!C1230),"",Record!C1230)</f>
        <v/>
      </c>
      <c r="D1229" t="str">
        <f>IF(ISBLANK(Record!D1230),"",Record!D1230)</f>
        <v/>
      </c>
      <c r="E1229" t="str">
        <f>IF(ISBLANK(Record!E1230),"",Record!E1230)</f>
        <v/>
      </c>
      <c r="M1229" t="str">
        <f t="shared" si="133"/>
        <v xml:space="preserve">          </v>
      </c>
      <c r="N1229" s="227" t="str">
        <f t="shared" si="134"/>
        <v/>
      </c>
      <c r="X1229" t="str">
        <f t="shared" si="135"/>
        <v xml:space="preserve">          </v>
      </c>
      <c r="Y1229" s="227" t="str">
        <f t="shared" si="136"/>
        <v/>
      </c>
      <c r="Z1229" t="str">
        <f t="shared" si="137"/>
        <v/>
      </c>
      <c r="AL1229" t="str">
        <f t="shared" si="138"/>
        <v/>
      </c>
      <c r="AM1229" t="str">
        <f t="shared" si="139"/>
        <v/>
      </c>
    </row>
    <row r="1230" spans="1:39">
      <c r="A1230" t="str">
        <f>IF(ISBLANK(Record!A1231),"",Record!A1231)</f>
        <v/>
      </c>
      <c r="B1230" t="str">
        <f>IF(ISBLANK(Record!B1231),"",Record!B1231)</f>
        <v/>
      </c>
      <c r="C1230" s="227" t="str">
        <f>IF(ISBLANK(Record!C1231),"",Record!C1231)</f>
        <v/>
      </c>
      <c r="D1230" t="str">
        <f>IF(ISBLANK(Record!D1231),"",Record!D1231)</f>
        <v/>
      </c>
      <c r="E1230" t="str">
        <f>IF(ISBLANK(Record!E1231),"",Record!E1231)</f>
        <v/>
      </c>
      <c r="M1230" t="str">
        <f t="shared" si="133"/>
        <v xml:space="preserve">          </v>
      </c>
      <c r="N1230" s="227" t="str">
        <f t="shared" si="134"/>
        <v/>
      </c>
      <c r="X1230" t="str">
        <f t="shared" si="135"/>
        <v xml:space="preserve">          </v>
      </c>
      <c r="Y1230" s="227" t="str">
        <f t="shared" si="136"/>
        <v/>
      </c>
      <c r="Z1230" t="str">
        <f t="shared" si="137"/>
        <v/>
      </c>
      <c r="AL1230" t="str">
        <f t="shared" si="138"/>
        <v/>
      </c>
      <c r="AM1230" t="str">
        <f t="shared" si="139"/>
        <v/>
      </c>
    </row>
    <row r="1231" spans="1:39">
      <c r="A1231" t="str">
        <f>IF(ISBLANK(Record!A1232),"",Record!A1232)</f>
        <v/>
      </c>
      <c r="B1231" t="str">
        <f>IF(ISBLANK(Record!B1232),"",Record!B1232)</f>
        <v/>
      </c>
      <c r="C1231" s="227" t="str">
        <f>IF(ISBLANK(Record!C1232),"",Record!C1232)</f>
        <v/>
      </c>
      <c r="D1231" t="str">
        <f>IF(ISBLANK(Record!D1232),"",Record!D1232)</f>
        <v/>
      </c>
      <c r="E1231" t="str">
        <f>IF(ISBLANK(Record!E1232),"",Record!E1232)</f>
        <v/>
      </c>
      <c r="M1231" t="str">
        <f t="shared" si="133"/>
        <v xml:space="preserve">          </v>
      </c>
      <c r="N1231" s="227" t="str">
        <f t="shared" si="134"/>
        <v/>
      </c>
      <c r="X1231" t="str">
        <f t="shared" si="135"/>
        <v xml:space="preserve">          </v>
      </c>
      <c r="Y1231" s="227" t="str">
        <f t="shared" si="136"/>
        <v/>
      </c>
      <c r="Z1231" t="str">
        <f t="shared" si="137"/>
        <v/>
      </c>
      <c r="AL1231" t="str">
        <f t="shared" si="138"/>
        <v/>
      </c>
      <c r="AM1231" t="str">
        <f t="shared" si="139"/>
        <v/>
      </c>
    </row>
    <row r="1232" spans="1:39">
      <c r="A1232" t="str">
        <f>IF(ISBLANK(Record!A1233),"",Record!A1233)</f>
        <v/>
      </c>
      <c r="B1232" t="str">
        <f>IF(ISBLANK(Record!B1233),"",Record!B1233)</f>
        <v/>
      </c>
      <c r="C1232" s="227" t="str">
        <f>IF(ISBLANK(Record!C1233),"",Record!C1233)</f>
        <v/>
      </c>
      <c r="D1232" t="str">
        <f>IF(ISBLANK(Record!D1233),"",Record!D1233)</f>
        <v/>
      </c>
      <c r="E1232" t="str">
        <f>IF(ISBLANK(Record!E1233),"",Record!E1233)</f>
        <v/>
      </c>
      <c r="M1232" t="str">
        <f t="shared" si="133"/>
        <v xml:space="preserve">          </v>
      </c>
      <c r="N1232" s="227" t="str">
        <f t="shared" si="134"/>
        <v/>
      </c>
      <c r="X1232" t="str">
        <f t="shared" si="135"/>
        <v xml:space="preserve">          </v>
      </c>
      <c r="Y1232" s="227" t="str">
        <f t="shared" si="136"/>
        <v/>
      </c>
      <c r="Z1232" t="str">
        <f t="shared" si="137"/>
        <v/>
      </c>
      <c r="AL1232" t="str">
        <f t="shared" si="138"/>
        <v/>
      </c>
      <c r="AM1232" t="str">
        <f t="shared" si="139"/>
        <v/>
      </c>
    </row>
    <row r="1233" spans="1:39">
      <c r="A1233" t="str">
        <f>IF(ISBLANK(Record!A1234),"",Record!A1234)</f>
        <v/>
      </c>
      <c r="B1233" t="str">
        <f>IF(ISBLANK(Record!B1234),"",Record!B1234)</f>
        <v/>
      </c>
      <c r="C1233" s="227" t="str">
        <f>IF(ISBLANK(Record!C1234),"",Record!C1234)</f>
        <v/>
      </c>
      <c r="D1233" t="str">
        <f>IF(ISBLANK(Record!D1234),"",Record!D1234)</f>
        <v/>
      </c>
      <c r="E1233" t="str">
        <f>IF(ISBLANK(Record!E1234),"",Record!E1234)</f>
        <v/>
      </c>
      <c r="M1233" t="str">
        <f t="shared" si="133"/>
        <v xml:space="preserve">          </v>
      </c>
      <c r="N1233" s="227" t="str">
        <f t="shared" si="134"/>
        <v/>
      </c>
      <c r="X1233" t="str">
        <f t="shared" si="135"/>
        <v xml:space="preserve">          </v>
      </c>
      <c r="Y1233" s="227" t="str">
        <f t="shared" si="136"/>
        <v/>
      </c>
      <c r="Z1233" t="str">
        <f t="shared" si="137"/>
        <v/>
      </c>
      <c r="AL1233" t="str">
        <f t="shared" si="138"/>
        <v/>
      </c>
      <c r="AM1233" t="str">
        <f t="shared" si="139"/>
        <v/>
      </c>
    </row>
    <row r="1234" spans="1:39">
      <c r="A1234" t="str">
        <f>IF(ISBLANK(Record!A1235),"",Record!A1235)</f>
        <v/>
      </c>
      <c r="B1234" t="str">
        <f>IF(ISBLANK(Record!B1235),"",Record!B1235)</f>
        <v/>
      </c>
      <c r="C1234" s="227" t="str">
        <f>IF(ISBLANK(Record!C1235),"",Record!C1235)</f>
        <v/>
      </c>
      <c r="D1234" t="str">
        <f>IF(ISBLANK(Record!D1235),"",Record!D1235)</f>
        <v/>
      </c>
      <c r="E1234" t="str">
        <f>IF(ISBLANK(Record!E1235),"",Record!E1235)</f>
        <v/>
      </c>
      <c r="M1234" t="str">
        <f t="shared" si="133"/>
        <v xml:space="preserve">          </v>
      </c>
      <c r="N1234" s="227" t="str">
        <f t="shared" si="134"/>
        <v/>
      </c>
      <c r="X1234" t="str">
        <f t="shared" si="135"/>
        <v xml:space="preserve">          </v>
      </c>
      <c r="Y1234" s="227" t="str">
        <f t="shared" si="136"/>
        <v/>
      </c>
      <c r="Z1234" t="str">
        <f t="shared" si="137"/>
        <v/>
      </c>
      <c r="AL1234" t="str">
        <f t="shared" si="138"/>
        <v/>
      </c>
      <c r="AM1234" t="str">
        <f t="shared" si="139"/>
        <v/>
      </c>
    </row>
    <row r="1235" spans="1:39">
      <c r="A1235" t="str">
        <f>IF(ISBLANK(Record!A1236),"",Record!A1236)</f>
        <v/>
      </c>
      <c r="B1235" t="str">
        <f>IF(ISBLANK(Record!B1236),"",Record!B1236)</f>
        <v/>
      </c>
      <c r="C1235" s="227" t="str">
        <f>IF(ISBLANK(Record!C1236),"",Record!C1236)</f>
        <v/>
      </c>
      <c r="D1235" t="str">
        <f>IF(ISBLANK(Record!D1236),"",Record!D1236)</f>
        <v/>
      </c>
      <c r="E1235" t="str">
        <f>IF(ISBLANK(Record!E1236),"",Record!E1236)</f>
        <v/>
      </c>
      <c r="M1235" t="str">
        <f t="shared" si="133"/>
        <v xml:space="preserve">          </v>
      </c>
      <c r="N1235" s="227" t="str">
        <f t="shared" si="134"/>
        <v/>
      </c>
      <c r="X1235" t="str">
        <f t="shared" si="135"/>
        <v xml:space="preserve">          </v>
      </c>
      <c r="Y1235" s="227" t="str">
        <f t="shared" si="136"/>
        <v/>
      </c>
      <c r="Z1235" t="str">
        <f t="shared" si="137"/>
        <v/>
      </c>
      <c r="AL1235" t="str">
        <f t="shared" si="138"/>
        <v/>
      </c>
      <c r="AM1235" t="str">
        <f t="shared" si="139"/>
        <v/>
      </c>
    </row>
    <row r="1236" spans="1:39">
      <c r="A1236" t="str">
        <f>IF(ISBLANK(Record!A1237),"",Record!A1237)</f>
        <v/>
      </c>
      <c r="B1236" t="str">
        <f>IF(ISBLANK(Record!B1237),"",Record!B1237)</f>
        <v/>
      </c>
      <c r="C1236" s="227" t="str">
        <f>IF(ISBLANK(Record!C1237),"",Record!C1237)</f>
        <v/>
      </c>
      <c r="D1236" t="str">
        <f>IF(ISBLANK(Record!D1237),"",Record!D1237)</f>
        <v/>
      </c>
      <c r="E1236" t="str">
        <f>IF(ISBLANK(Record!E1237),"",Record!E1237)</f>
        <v/>
      </c>
      <c r="M1236" t="str">
        <f t="shared" si="133"/>
        <v xml:space="preserve">          </v>
      </c>
      <c r="N1236" s="227" t="str">
        <f t="shared" si="134"/>
        <v/>
      </c>
      <c r="X1236" t="str">
        <f t="shared" si="135"/>
        <v xml:space="preserve">          </v>
      </c>
      <c r="Y1236" s="227" t="str">
        <f t="shared" si="136"/>
        <v/>
      </c>
      <c r="Z1236" t="str">
        <f t="shared" si="137"/>
        <v/>
      </c>
      <c r="AL1236" t="str">
        <f t="shared" si="138"/>
        <v/>
      </c>
      <c r="AM1236" t="str">
        <f t="shared" si="139"/>
        <v/>
      </c>
    </row>
    <row r="1237" spans="1:39">
      <c r="A1237" t="str">
        <f>IF(ISBLANK(Record!A1238),"",Record!A1238)</f>
        <v/>
      </c>
      <c r="B1237" t="str">
        <f>IF(ISBLANK(Record!B1238),"",Record!B1238)</f>
        <v/>
      </c>
      <c r="C1237" s="227" t="str">
        <f>IF(ISBLANK(Record!C1238),"",Record!C1238)</f>
        <v/>
      </c>
      <c r="D1237" t="str">
        <f>IF(ISBLANK(Record!D1238),"",Record!D1238)</f>
        <v/>
      </c>
      <c r="E1237" t="str">
        <f>IF(ISBLANK(Record!E1238),"",Record!E1238)</f>
        <v/>
      </c>
      <c r="M1237" t="str">
        <f t="shared" si="133"/>
        <v xml:space="preserve">          </v>
      </c>
      <c r="N1237" s="227" t="str">
        <f t="shared" si="134"/>
        <v/>
      </c>
      <c r="X1237" t="str">
        <f t="shared" si="135"/>
        <v xml:space="preserve">          </v>
      </c>
      <c r="Y1237" s="227" t="str">
        <f t="shared" si="136"/>
        <v/>
      </c>
      <c r="Z1237" t="str">
        <f t="shared" si="137"/>
        <v/>
      </c>
      <c r="AL1237" t="str">
        <f t="shared" si="138"/>
        <v/>
      </c>
      <c r="AM1237" t="str">
        <f t="shared" si="139"/>
        <v/>
      </c>
    </row>
    <row r="1238" spans="1:39">
      <c r="A1238" t="str">
        <f>IF(ISBLANK(Record!A1239),"",Record!A1239)</f>
        <v/>
      </c>
      <c r="B1238" t="str">
        <f>IF(ISBLANK(Record!B1239),"",Record!B1239)</f>
        <v/>
      </c>
      <c r="C1238" s="227" t="str">
        <f>IF(ISBLANK(Record!C1239),"",Record!C1239)</f>
        <v/>
      </c>
      <c r="D1238" t="str">
        <f>IF(ISBLANK(Record!D1239),"",Record!D1239)</f>
        <v/>
      </c>
      <c r="E1238" t="str">
        <f>IF(ISBLANK(Record!E1239),"",Record!E1239)</f>
        <v/>
      </c>
      <c r="M1238" t="str">
        <f t="shared" si="133"/>
        <v xml:space="preserve">          </v>
      </c>
      <c r="N1238" s="227" t="str">
        <f t="shared" si="134"/>
        <v/>
      </c>
      <c r="X1238" t="str">
        <f t="shared" si="135"/>
        <v xml:space="preserve">          </v>
      </c>
      <c r="Y1238" s="227" t="str">
        <f t="shared" si="136"/>
        <v/>
      </c>
      <c r="Z1238" t="str">
        <f t="shared" si="137"/>
        <v/>
      </c>
      <c r="AL1238" t="str">
        <f t="shared" si="138"/>
        <v/>
      </c>
      <c r="AM1238" t="str">
        <f t="shared" si="139"/>
        <v/>
      </c>
    </row>
    <row r="1239" spans="1:39">
      <c r="A1239" t="str">
        <f>IF(ISBLANK(Record!A1240),"",Record!A1240)</f>
        <v/>
      </c>
      <c r="B1239" t="str">
        <f>IF(ISBLANK(Record!B1240),"",Record!B1240)</f>
        <v/>
      </c>
      <c r="C1239" s="227" t="str">
        <f>IF(ISBLANK(Record!C1240),"",Record!C1240)</f>
        <v/>
      </c>
      <c r="D1239" t="str">
        <f>IF(ISBLANK(Record!D1240),"",Record!D1240)</f>
        <v/>
      </c>
      <c r="E1239" t="str">
        <f>IF(ISBLANK(Record!E1240),"",Record!E1240)</f>
        <v/>
      </c>
      <c r="M1239" t="str">
        <f t="shared" si="133"/>
        <v xml:space="preserve">          </v>
      </c>
      <c r="N1239" s="227" t="str">
        <f t="shared" si="134"/>
        <v/>
      </c>
      <c r="X1239" t="str">
        <f t="shared" si="135"/>
        <v xml:space="preserve">          </v>
      </c>
      <c r="Y1239" s="227" t="str">
        <f t="shared" si="136"/>
        <v/>
      </c>
      <c r="Z1239" t="str">
        <f t="shared" si="137"/>
        <v/>
      </c>
      <c r="AL1239" t="str">
        <f t="shared" si="138"/>
        <v/>
      </c>
      <c r="AM1239" t="str">
        <f t="shared" si="139"/>
        <v/>
      </c>
    </row>
    <row r="1240" spans="1:39">
      <c r="A1240" t="str">
        <f>IF(ISBLANK(Record!A1241),"",Record!A1241)</f>
        <v/>
      </c>
      <c r="B1240" t="str">
        <f>IF(ISBLANK(Record!B1241),"",Record!B1241)</f>
        <v/>
      </c>
      <c r="C1240" s="227" t="str">
        <f>IF(ISBLANK(Record!C1241),"",Record!C1241)</f>
        <v/>
      </c>
      <c r="D1240" t="str">
        <f>IF(ISBLANK(Record!D1241),"",Record!D1241)</f>
        <v/>
      </c>
      <c r="E1240" t="str">
        <f>IF(ISBLANK(Record!E1241),"",Record!E1241)</f>
        <v/>
      </c>
      <c r="M1240" t="str">
        <f t="shared" si="133"/>
        <v xml:space="preserve">          </v>
      </c>
      <c r="N1240" s="227" t="str">
        <f t="shared" si="134"/>
        <v/>
      </c>
      <c r="X1240" t="str">
        <f t="shared" si="135"/>
        <v xml:space="preserve">          </v>
      </c>
      <c r="Y1240" s="227" t="str">
        <f t="shared" si="136"/>
        <v/>
      </c>
      <c r="Z1240" t="str">
        <f t="shared" si="137"/>
        <v/>
      </c>
      <c r="AL1240" t="str">
        <f t="shared" si="138"/>
        <v/>
      </c>
      <c r="AM1240" t="str">
        <f t="shared" si="139"/>
        <v/>
      </c>
    </row>
    <row r="1241" spans="1:39">
      <c r="A1241" t="str">
        <f>IF(ISBLANK(Record!A1242),"",Record!A1242)</f>
        <v/>
      </c>
      <c r="B1241" t="str">
        <f>IF(ISBLANK(Record!B1242),"",Record!B1242)</f>
        <v/>
      </c>
      <c r="C1241" s="227" t="str">
        <f>IF(ISBLANK(Record!C1242),"",Record!C1242)</f>
        <v/>
      </c>
      <c r="D1241" t="str">
        <f>IF(ISBLANK(Record!D1242),"",Record!D1242)</f>
        <v/>
      </c>
      <c r="E1241" t="str">
        <f>IF(ISBLANK(Record!E1242),"",Record!E1242)</f>
        <v/>
      </c>
      <c r="M1241" t="str">
        <f t="shared" si="133"/>
        <v xml:space="preserve">          </v>
      </c>
      <c r="N1241" s="227" t="str">
        <f t="shared" si="134"/>
        <v/>
      </c>
      <c r="X1241" t="str">
        <f t="shared" si="135"/>
        <v xml:space="preserve">          </v>
      </c>
      <c r="Y1241" s="227" t="str">
        <f t="shared" si="136"/>
        <v/>
      </c>
      <c r="Z1241" t="str">
        <f t="shared" si="137"/>
        <v/>
      </c>
      <c r="AL1241" t="str">
        <f t="shared" si="138"/>
        <v/>
      </c>
      <c r="AM1241" t="str">
        <f t="shared" si="139"/>
        <v/>
      </c>
    </row>
    <row r="1242" spans="1:39">
      <c r="A1242" t="str">
        <f>IF(ISBLANK(Record!A1243),"",Record!A1243)</f>
        <v/>
      </c>
      <c r="B1242" t="str">
        <f>IF(ISBLANK(Record!B1243),"",Record!B1243)</f>
        <v/>
      </c>
      <c r="C1242" s="227" t="str">
        <f>IF(ISBLANK(Record!C1243),"",Record!C1243)</f>
        <v/>
      </c>
      <c r="D1242" t="str">
        <f>IF(ISBLANK(Record!D1243),"",Record!D1243)</f>
        <v/>
      </c>
      <c r="E1242" t="str">
        <f>IF(ISBLANK(Record!E1243),"",Record!E1243)</f>
        <v/>
      </c>
      <c r="M1242" t="str">
        <f t="shared" si="133"/>
        <v xml:space="preserve">          </v>
      </c>
      <c r="N1242" s="227" t="str">
        <f t="shared" si="134"/>
        <v/>
      </c>
      <c r="X1242" t="str">
        <f t="shared" si="135"/>
        <v xml:space="preserve">          </v>
      </c>
      <c r="Y1242" s="227" t="str">
        <f t="shared" si="136"/>
        <v/>
      </c>
      <c r="Z1242" t="str">
        <f t="shared" si="137"/>
        <v/>
      </c>
      <c r="AL1242" t="str">
        <f t="shared" si="138"/>
        <v/>
      </c>
      <c r="AM1242" t="str">
        <f t="shared" si="139"/>
        <v/>
      </c>
    </row>
    <row r="1243" spans="1:39">
      <c r="A1243" t="str">
        <f>IF(ISBLANK(Record!A1244),"",Record!A1244)</f>
        <v/>
      </c>
      <c r="B1243" t="str">
        <f>IF(ISBLANK(Record!B1244),"",Record!B1244)</f>
        <v/>
      </c>
      <c r="C1243" s="227" t="str">
        <f>IF(ISBLANK(Record!C1244),"",Record!C1244)</f>
        <v/>
      </c>
      <c r="D1243" t="str">
        <f>IF(ISBLANK(Record!D1244),"",Record!D1244)</f>
        <v/>
      </c>
      <c r="E1243" t="str">
        <f>IF(ISBLANK(Record!E1244),"",Record!E1244)</f>
        <v/>
      </c>
      <c r="M1243" t="str">
        <f t="shared" si="133"/>
        <v xml:space="preserve">          </v>
      </c>
      <c r="N1243" s="227" t="str">
        <f t="shared" si="134"/>
        <v/>
      </c>
      <c r="X1243" t="str">
        <f t="shared" si="135"/>
        <v xml:space="preserve">          </v>
      </c>
      <c r="Y1243" s="227" t="str">
        <f t="shared" si="136"/>
        <v/>
      </c>
      <c r="Z1243" t="str">
        <f t="shared" si="137"/>
        <v/>
      </c>
      <c r="AL1243" t="str">
        <f t="shared" si="138"/>
        <v/>
      </c>
      <c r="AM1243" t="str">
        <f t="shared" si="139"/>
        <v/>
      </c>
    </row>
    <row r="1244" spans="1:39">
      <c r="A1244" t="str">
        <f>IF(ISBLANK(Record!A1245),"",Record!A1245)</f>
        <v/>
      </c>
      <c r="B1244" t="str">
        <f>IF(ISBLANK(Record!B1245),"",Record!B1245)</f>
        <v/>
      </c>
      <c r="C1244" s="227" t="str">
        <f>IF(ISBLANK(Record!C1245),"",Record!C1245)</f>
        <v/>
      </c>
      <c r="D1244" t="str">
        <f>IF(ISBLANK(Record!D1245),"",Record!D1245)</f>
        <v/>
      </c>
      <c r="E1244" t="str">
        <f>IF(ISBLANK(Record!E1245),"",Record!E1245)</f>
        <v/>
      </c>
      <c r="M1244" t="str">
        <f t="shared" si="133"/>
        <v xml:space="preserve">          </v>
      </c>
      <c r="N1244" s="227" t="str">
        <f t="shared" si="134"/>
        <v/>
      </c>
      <c r="X1244" t="str">
        <f t="shared" si="135"/>
        <v xml:space="preserve">          </v>
      </c>
      <c r="Y1244" s="227" t="str">
        <f t="shared" si="136"/>
        <v/>
      </c>
      <c r="Z1244" t="str">
        <f t="shared" si="137"/>
        <v/>
      </c>
      <c r="AL1244" t="str">
        <f t="shared" si="138"/>
        <v/>
      </c>
      <c r="AM1244" t="str">
        <f t="shared" si="139"/>
        <v/>
      </c>
    </row>
    <row r="1245" spans="1:39">
      <c r="A1245" t="str">
        <f>IF(ISBLANK(Record!A1246),"",Record!A1246)</f>
        <v/>
      </c>
      <c r="B1245" t="str">
        <f>IF(ISBLANK(Record!B1246),"",Record!B1246)</f>
        <v/>
      </c>
      <c r="C1245" s="227" t="str">
        <f>IF(ISBLANK(Record!C1246),"",Record!C1246)</f>
        <v/>
      </c>
      <c r="D1245" t="str">
        <f>IF(ISBLANK(Record!D1246),"",Record!D1246)</f>
        <v/>
      </c>
      <c r="E1245" t="str">
        <f>IF(ISBLANK(Record!E1246),"",Record!E1246)</f>
        <v/>
      </c>
      <c r="M1245" t="str">
        <f t="shared" si="133"/>
        <v xml:space="preserve">          </v>
      </c>
      <c r="N1245" s="227" t="str">
        <f t="shared" si="134"/>
        <v/>
      </c>
      <c r="X1245" t="str">
        <f t="shared" si="135"/>
        <v xml:space="preserve">          </v>
      </c>
      <c r="Y1245" s="227" t="str">
        <f t="shared" si="136"/>
        <v/>
      </c>
      <c r="Z1245" t="str">
        <f t="shared" si="137"/>
        <v/>
      </c>
      <c r="AL1245" t="str">
        <f t="shared" si="138"/>
        <v/>
      </c>
      <c r="AM1245" t="str">
        <f t="shared" si="139"/>
        <v/>
      </c>
    </row>
    <row r="1246" spans="1:39">
      <c r="A1246" t="str">
        <f>IF(ISBLANK(Record!A1247),"",Record!A1247)</f>
        <v/>
      </c>
      <c r="B1246" t="str">
        <f>IF(ISBLANK(Record!B1247),"",Record!B1247)</f>
        <v/>
      </c>
      <c r="C1246" s="227" t="str">
        <f>IF(ISBLANK(Record!C1247),"",Record!C1247)</f>
        <v/>
      </c>
      <c r="D1246" t="str">
        <f>IF(ISBLANK(Record!D1247),"",Record!D1247)</f>
        <v/>
      </c>
      <c r="E1246" t="str">
        <f>IF(ISBLANK(Record!E1247),"",Record!E1247)</f>
        <v/>
      </c>
      <c r="M1246" t="str">
        <f t="shared" si="133"/>
        <v xml:space="preserve">          </v>
      </c>
      <c r="N1246" s="227" t="str">
        <f t="shared" si="134"/>
        <v/>
      </c>
      <c r="X1246" t="str">
        <f t="shared" si="135"/>
        <v xml:space="preserve">          </v>
      </c>
      <c r="Y1246" s="227" t="str">
        <f t="shared" si="136"/>
        <v/>
      </c>
      <c r="Z1246" t="str">
        <f t="shared" si="137"/>
        <v/>
      </c>
      <c r="AL1246" t="str">
        <f t="shared" si="138"/>
        <v/>
      </c>
      <c r="AM1246" t="str">
        <f t="shared" si="139"/>
        <v/>
      </c>
    </row>
    <row r="1247" spans="1:39">
      <c r="A1247" t="str">
        <f>IF(ISBLANK(Record!A1248),"",Record!A1248)</f>
        <v/>
      </c>
      <c r="B1247" t="str">
        <f>IF(ISBLANK(Record!B1248),"",Record!B1248)</f>
        <v/>
      </c>
      <c r="C1247" s="227" t="str">
        <f>IF(ISBLANK(Record!C1248),"",Record!C1248)</f>
        <v/>
      </c>
      <c r="D1247" t="str">
        <f>IF(ISBLANK(Record!D1248),"",Record!D1248)</f>
        <v/>
      </c>
      <c r="E1247" t="str">
        <f>IF(ISBLANK(Record!E1248),"",Record!E1248)</f>
        <v/>
      </c>
      <c r="M1247" t="str">
        <f t="shared" si="133"/>
        <v xml:space="preserve">          </v>
      </c>
      <c r="N1247" s="227" t="str">
        <f t="shared" si="134"/>
        <v/>
      </c>
      <c r="X1247" t="str">
        <f t="shared" si="135"/>
        <v xml:space="preserve">          </v>
      </c>
      <c r="Y1247" s="227" t="str">
        <f t="shared" si="136"/>
        <v/>
      </c>
      <c r="Z1247" t="str">
        <f t="shared" si="137"/>
        <v/>
      </c>
      <c r="AL1247" t="str">
        <f t="shared" si="138"/>
        <v/>
      </c>
      <c r="AM1247" t="str">
        <f t="shared" si="139"/>
        <v/>
      </c>
    </row>
    <row r="1248" spans="1:39">
      <c r="A1248" t="str">
        <f>IF(ISBLANK(Record!A1249),"",Record!A1249)</f>
        <v/>
      </c>
      <c r="B1248" t="str">
        <f>IF(ISBLANK(Record!B1249),"",Record!B1249)</f>
        <v/>
      </c>
      <c r="C1248" s="227" t="str">
        <f>IF(ISBLANK(Record!C1249),"",Record!C1249)</f>
        <v/>
      </c>
      <c r="D1248" t="str">
        <f>IF(ISBLANK(Record!D1249),"",Record!D1249)</f>
        <v/>
      </c>
      <c r="E1248" t="str">
        <f>IF(ISBLANK(Record!E1249),"",Record!E1249)</f>
        <v/>
      </c>
      <c r="M1248" t="str">
        <f t="shared" si="133"/>
        <v xml:space="preserve">          </v>
      </c>
      <c r="N1248" s="227" t="str">
        <f t="shared" si="134"/>
        <v/>
      </c>
      <c r="X1248" t="str">
        <f t="shared" si="135"/>
        <v xml:space="preserve">          </v>
      </c>
      <c r="Y1248" s="227" t="str">
        <f t="shared" si="136"/>
        <v/>
      </c>
      <c r="Z1248" t="str">
        <f t="shared" si="137"/>
        <v/>
      </c>
      <c r="AL1248" t="str">
        <f t="shared" si="138"/>
        <v/>
      </c>
      <c r="AM1248" t="str">
        <f t="shared" si="139"/>
        <v/>
      </c>
    </row>
    <row r="1249" spans="1:39">
      <c r="A1249" t="str">
        <f>IF(ISBLANK(Record!A1250),"",Record!A1250)</f>
        <v/>
      </c>
      <c r="B1249" t="str">
        <f>IF(ISBLANK(Record!B1250),"",Record!B1250)</f>
        <v/>
      </c>
      <c r="C1249" s="227" t="str">
        <f>IF(ISBLANK(Record!C1250),"",Record!C1250)</f>
        <v/>
      </c>
      <c r="D1249" t="str">
        <f>IF(ISBLANK(Record!D1250),"",Record!D1250)</f>
        <v/>
      </c>
      <c r="E1249" t="str">
        <f>IF(ISBLANK(Record!E1250),"",Record!E1250)</f>
        <v/>
      </c>
      <c r="M1249" t="str">
        <f t="shared" si="133"/>
        <v xml:space="preserve">          </v>
      </c>
      <c r="N1249" s="227" t="str">
        <f t="shared" si="134"/>
        <v/>
      </c>
      <c r="X1249" t="str">
        <f t="shared" si="135"/>
        <v xml:space="preserve">          </v>
      </c>
      <c r="Y1249" s="227" t="str">
        <f t="shared" si="136"/>
        <v/>
      </c>
      <c r="Z1249" t="str">
        <f t="shared" si="137"/>
        <v/>
      </c>
      <c r="AL1249" t="str">
        <f t="shared" si="138"/>
        <v/>
      </c>
      <c r="AM1249" t="str">
        <f t="shared" si="139"/>
        <v/>
      </c>
    </row>
    <row r="1250" spans="1:39">
      <c r="A1250" t="str">
        <f>IF(ISBLANK(Record!A1251),"",Record!A1251)</f>
        <v/>
      </c>
      <c r="B1250" t="str">
        <f>IF(ISBLANK(Record!B1251),"",Record!B1251)</f>
        <v/>
      </c>
      <c r="C1250" s="227" t="str">
        <f>IF(ISBLANK(Record!C1251),"",Record!C1251)</f>
        <v/>
      </c>
      <c r="D1250" t="str">
        <f>IF(ISBLANK(Record!D1251),"",Record!D1251)</f>
        <v/>
      </c>
      <c r="E1250" t="str">
        <f>IF(ISBLANK(Record!E1251),"",Record!E1251)</f>
        <v/>
      </c>
      <c r="M1250" t="str">
        <f t="shared" si="133"/>
        <v xml:space="preserve">          </v>
      </c>
      <c r="N1250" s="227" t="str">
        <f t="shared" si="134"/>
        <v/>
      </c>
      <c r="X1250" t="str">
        <f t="shared" si="135"/>
        <v xml:space="preserve">          </v>
      </c>
      <c r="Y1250" s="227" t="str">
        <f t="shared" si="136"/>
        <v/>
      </c>
      <c r="Z1250" t="str">
        <f t="shared" si="137"/>
        <v/>
      </c>
      <c r="AL1250" t="str">
        <f t="shared" si="138"/>
        <v/>
      </c>
      <c r="AM1250" t="str">
        <f t="shared" si="139"/>
        <v/>
      </c>
    </row>
    <row r="1251" spans="1:39">
      <c r="A1251" t="str">
        <f>IF(ISBLANK(Record!A1252),"",Record!A1252)</f>
        <v/>
      </c>
      <c r="B1251" t="str">
        <f>IF(ISBLANK(Record!B1252),"",Record!B1252)</f>
        <v/>
      </c>
      <c r="C1251" s="227" t="str">
        <f>IF(ISBLANK(Record!C1252),"",Record!C1252)</f>
        <v/>
      </c>
      <c r="D1251" t="str">
        <f>IF(ISBLANK(Record!D1252),"",Record!D1252)</f>
        <v/>
      </c>
      <c r="E1251" t="str">
        <f>IF(ISBLANK(Record!E1252),"",Record!E1252)</f>
        <v/>
      </c>
      <c r="M1251" t="str">
        <f t="shared" si="133"/>
        <v xml:space="preserve">          </v>
      </c>
      <c r="N1251" s="227" t="str">
        <f t="shared" si="134"/>
        <v/>
      </c>
      <c r="X1251" t="str">
        <f t="shared" si="135"/>
        <v xml:space="preserve">          </v>
      </c>
      <c r="Y1251" s="227" t="str">
        <f t="shared" si="136"/>
        <v/>
      </c>
      <c r="Z1251" t="str">
        <f t="shared" si="137"/>
        <v/>
      </c>
      <c r="AL1251" t="str">
        <f t="shared" si="138"/>
        <v/>
      </c>
      <c r="AM1251" t="str">
        <f t="shared" si="139"/>
        <v/>
      </c>
    </row>
    <row r="1252" spans="1:39">
      <c r="A1252" t="str">
        <f>IF(ISBLANK(Record!A1253),"",Record!A1253)</f>
        <v/>
      </c>
      <c r="B1252" t="str">
        <f>IF(ISBLANK(Record!B1253),"",Record!B1253)</f>
        <v/>
      </c>
      <c r="C1252" s="227" t="str">
        <f>IF(ISBLANK(Record!C1253),"",Record!C1253)</f>
        <v/>
      </c>
      <c r="D1252" t="str">
        <f>IF(ISBLANK(Record!D1253),"",Record!D1253)</f>
        <v/>
      </c>
      <c r="E1252" t="str">
        <f>IF(ISBLANK(Record!E1253),"",Record!E1253)</f>
        <v/>
      </c>
      <c r="M1252" t="str">
        <f t="shared" si="133"/>
        <v xml:space="preserve">          </v>
      </c>
      <c r="N1252" s="227" t="str">
        <f t="shared" si="134"/>
        <v/>
      </c>
      <c r="X1252" t="str">
        <f t="shared" si="135"/>
        <v xml:space="preserve">          </v>
      </c>
      <c r="Y1252" s="227" t="str">
        <f t="shared" si="136"/>
        <v/>
      </c>
      <c r="Z1252" t="str">
        <f t="shared" si="137"/>
        <v/>
      </c>
      <c r="AL1252" t="str">
        <f t="shared" si="138"/>
        <v/>
      </c>
      <c r="AM1252" t="str">
        <f t="shared" si="139"/>
        <v/>
      </c>
    </row>
    <row r="1253" spans="1:39">
      <c r="A1253" t="str">
        <f>IF(ISBLANK(Record!A1254),"",Record!A1254)</f>
        <v/>
      </c>
      <c r="B1253" t="str">
        <f>IF(ISBLANK(Record!B1254),"",Record!B1254)</f>
        <v/>
      </c>
      <c r="C1253" s="227" t="str">
        <f>IF(ISBLANK(Record!C1254),"",Record!C1254)</f>
        <v/>
      </c>
      <c r="D1253" t="str">
        <f>IF(ISBLANK(Record!D1254),"",Record!D1254)</f>
        <v/>
      </c>
      <c r="E1253" t="str">
        <f>IF(ISBLANK(Record!E1254),"",Record!E1254)</f>
        <v/>
      </c>
      <c r="M1253" t="str">
        <f t="shared" si="133"/>
        <v xml:space="preserve">          </v>
      </c>
      <c r="N1253" s="227" t="str">
        <f t="shared" si="134"/>
        <v/>
      </c>
      <c r="X1253" t="str">
        <f t="shared" si="135"/>
        <v xml:space="preserve">          </v>
      </c>
      <c r="Y1253" s="227" t="str">
        <f t="shared" si="136"/>
        <v/>
      </c>
      <c r="Z1253" t="str">
        <f t="shared" si="137"/>
        <v/>
      </c>
      <c r="AL1253" t="str">
        <f t="shared" si="138"/>
        <v/>
      </c>
      <c r="AM1253" t="str">
        <f t="shared" si="139"/>
        <v/>
      </c>
    </row>
    <row r="1254" spans="1:39">
      <c r="A1254" t="str">
        <f>IF(ISBLANK(Record!A1255),"",Record!A1255)</f>
        <v/>
      </c>
      <c r="B1254" t="str">
        <f>IF(ISBLANK(Record!B1255),"",Record!B1255)</f>
        <v/>
      </c>
      <c r="C1254" s="227" t="str">
        <f>IF(ISBLANK(Record!C1255),"",Record!C1255)</f>
        <v/>
      </c>
      <c r="D1254" t="str">
        <f>IF(ISBLANK(Record!D1255),"",Record!D1255)</f>
        <v/>
      </c>
      <c r="E1254" t="str">
        <f>IF(ISBLANK(Record!E1255),"",Record!E1255)</f>
        <v/>
      </c>
      <c r="M1254" t="str">
        <f t="shared" si="133"/>
        <v xml:space="preserve">          </v>
      </c>
      <c r="N1254" s="227" t="str">
        <f t="shared" si="134"/>
        <v/>
      </c>
      <c r="X1254" t="str">
        <f t="shared" si="135"/>
        <v xml:space="preserve">          </v>
      </c>
      <c r="Y1254" s="227" t="str">
        <f t="shared" si="136"/>
        <v/>
      </c>
      <c r="Z1254" t="str">
        <f t="shared" si="137"/>
        <v/>
      </c>
      <c r="AL1254" t="str">
        <f t="shared" si="138"/>
        <v/>
      </c>
      <c r="AM1254" t="str">
        <f t="shared" si="139"/>
        <v/>
      </c>
    </row>
    <row r="1255" spans="1:39">
      <c r="A1255" t="str">
        <f>IF(ISBLANK(Record!A1256),"",Record!A1256)</f>
        <v/>
      </c>
      <c r="B1255" t="str">
        <f>IF(ISBLANK(Record!B1256),"",Record!B1256)</f>
        <v/>
      </c>
      <c r="C1255" s="227" t="str">
        <f>IF(ISBLANK(Record!C1256),"",Record!C1256)</f>
        <v/>
      </c>
      <c r="D1255" t="str">
        <f>IF(ISBLANK(Record!D1256),"",Record!D1256)</f>
        <v/>
      </c>
      <c r="E1255" t="str">
        <f>IF(ISBLANK(Record!E1256),"",Record!E1256)</f>
        <v/>
      </c>
      <c r="M1255" t="str">
        <f t="shared" si="133"/>
        <v xml:space="preserve">          </v>
      </c>
      <c r="N1255" s="227" t="str">
        <f t="shared" si="134"/>
        <v/>
      </c>
      <c r="X1255" t="str">
        <f t="shared" si="135"/>
        <v xml:space="preserve">          </v>
      </c>
      <c r="Y1255" s="227" t="str">
        <f t="shared" si="136"/>
        <v/>
      </c>
      <c r="Z1255" t="str">
        <f t="shared" si="137"/>
        <v/>
      </c>
      <c r="AL1255" t="str">
        <f t="shared" si="138"/>
        <v/>
      </c>
      <c r="AM1255" t="str">
        <f t="shared" si="139"/>
        <v/>
      </c>
    </row>
    <row r="1256" spans="1:39">
      <c r="A1256" t="str">
        <f>IF(ISBLANK(Record!A1257),"",Record!A1257)</f>
        <v/>
      </c>
      <c r="B1256" t="str">
        <f>IF(ISBLANK(Record!B1257),"",Record!B1257)</f>
        <v/>
      </c>
      <c r="C1256" s="227" t="str">
        <f>IF(ISBLANK(Record!C1257),"",Record!C1257)</f>
        <v/>
      </c>
      <c r="D1256" t="str">
        <f>IF(ISBLANK(Record!D1257),"",Record!D1257)</f>
        <v/>
      </c>
      <c r="E1256" t="str">
        <f>IF(ISBLANK(Record!E1257),"",Record!E1257)</f>
        <v/>
      </c>
      <c r="M1256" t="str">
        <f t="shared" si="133"/>
        <v xml:space="preserve">          </v>
      </c>
      <c r="N1256" s="227" t="str">
        <f t="shared" si="134"/>
        <v/>
      </c>
      <c r="X1256" t="str">
        <f t="shared" si="135"/>
        <v xml:space="preserve">          </v>
      </c>
      <c r="Y1256" s="227" t="str">
        <f t="shared" si="136"/>
        <v/>
      </c>
      <c r="Z1256" t="str">
        <f t="shared" si="137"/>
        <v/>
      </c>
      <c r="AL1256" t="str">
        <f t="shared" si="138"/>
        <v/>
      </c>
      <c r="AM1256" t="str">
        <f t="shared" si="139"/>
        <v/>
      </c>
    </row>
    <row r="1257" spans="1:39">
      <c r="A1257" t="str">
        <f>IF(ISBLANK(Record!A1258),"",Record!A1258)</f>
        <v/>
      </c>
      <c r="B1257" t="str">
        <f>IF(ISBLANK(Record!B1258),"",Record!B1258)</f>
        <v/>
      </c>
      <c r="C1257" s="227" t="str">
        <f>IF(ISBLANK(Record!C1258),"",Record!C1258)</f>
        <v/>
      </c>
      <c r="D1257" t="str">
        <f>IF(ISBLANK(Record!D1258),"",Record!D1258)</f>
        <v/>
      </c>
      <c r="E1257" t="str">
        <f>IF(ISBLANK(Record!E1258),"",Record!E1258)</f>
        <v/>
      </c>
      <c r="M1257" t="str">
        <f t="shared" si="133"/>
        <v xml:space="preserve">          </v>
      </c>
      <c r="N1257" s="227" t="str">
        <f t="shared" si="134"/>
        <v/>
      </c>
      <c r="X1257" t="str">
        <f t="shared" si="135"/>
        <v xml:space="preserve">          </v>
      </c>
      <c r="Y1257" s="227" t="str">
        <f t="shared" si="136"/>
        <v/>
      </c>
      <c r="Z1257" t="str">
        <f t="shared" si="137"/>
        <v/>
      </c>
      <c r="AL1257" t="str">
        <f t="shared" si="138"/>
        <v/>
      </c>
      <c r="AM1257" t="str">
        <f t="shared" si="139"/>
        <v/>
      </c>
    </row>
    <row r="1258" spans="1:39">
      <c r="A1258" t="str">
        <f>IF(ISBLANK(Record!A1259),"",Record!A1259)</f>
        <v/>
      </c>
      <c r="B1258" t="str">
        <f>IF(ISBLANK(Record!B1259),"",Record!B1259)</f>
        <v/>
      </c>
      <c r="C1258" s="227" t="str">
        <f>IF(ISBLANK(Record!C1259),"",Record!C1259)</f>
        <v/>
      </c>
      <c r="D1258" t="str">
        <f>IF(ISBLANK(Record!D1259),"",Record!D1259)</f>
        <v/>
      </c>
      <c r="E1258" t="str">
        <f>IF(ISBLANK(Record!E1259),"",Record!E1259)</f>
        <v/>
      </c>
      <c r="M1258" t="str">
        <f t="shared" si="133"/>
        <v xml:space="preserve">          </v>
      </c>
      <c r="N1258" s="227" t="str">
        <f t="shared" si="134"/>
        <v/>
      </c>
      <c r="X1258" t="str">
        <f t="shared" si="135"/>
        <v xml:space="preserve">          </v>
      </c>
      <c r="Y1258" s="227" t="str">
        <f t="shared" si="136"/>
        <v/>
      </c>
      <c r="Z1258" t="str">
        <f t="shared" si="137"/>
        <v/>
      </c>
      <c r="AL1258" t="str">
        <f t="shared" si="138"/>
        <v/>
      </c>
      <c r="AM1258" t="str">
        <f t="shared" si="139"/>
        <v/>
      </c>
    </row>
    <row r="1259" spans="1:39">
      <c r="A1259" t="str">
        <f>IF(ISBLANK(Record!A1260),"",Record!A1260)</f>
        <v/>
      </c>
      <c r="B1259" t="str">
        <f>IF(ISBLANK(Record!B1260),"",Record!B1260)</f>
        <v/>
      </c>
      <c r="C1259" s="227" t="str">
        <f>IF(ISBLANK(Record!C1260),"",Record!C1260)</f>
        <v/>
      </c>
      <c r="D1259" t="str">
        <f>IF(ISBLANK(Record!D1260),"",Record!D1260)</f>
        <v/>
      </c>
      <c r="E1259" t="str">
        <f>IF(ISBLANK(Record!E1260),"",Record!E1260)</f>
        <v/>
      </c>
      <c r="M1259" t="str">
        <f t="shared" si="133"/>
        <v xml:space="preserve">          </v>
      </c>
      <c r="N1259" s="227" t="str">
        <f t="shared" si="134"/>
        <v/>
      </c>
      <c r="X1259" t="str">
        <f t="shared" si="135"/>
        <v xml:space="preserve">          </v>
      </c>
      <c r="Y1259" s="227" t="str">
        <f t="shared" si="136"/>
        <v/>
      </c>
      <c r="Z1259" t="str">
        <f t="shared" si="137"/>
        <v/>
      </c>
      <c r="AL1259" t="str">
        <f t="shared" si="138"/>
        <v/>
      </c>
      <c r="AM1259" t="str">
        <f t="shared" si="139"/>
        <v/>
      </c>
    </row>
    <row r="1260" spans="1:39">
      <c r="A1260" t="str">
        <f>IF(ISBLANK(Record!A1261),"",Record!A1261)</f>
        <v/>
      </c>
      <c r="B1260" t="str">
        <f>IF(ISBLANK(Record!B1261),"",Record!B1261)</f>
        <v/>
      </c>
      <c r="C1260" s="227" t="str">
        <f>IF(ISBLANK(Record!C1261),"",Record!C1261)</f>
        <v/>
      </c>
      <c r="D1260" t="str">
        <f>IF(ISBLANK(Record!D1261),"",Record!D1261)</f>
        <v/>
      </c>
      <c r="E1260" t="str">
        <f>IF(ISBLANK(Record!E1261),"",Record!E1261)</f>
        <v/>
      </c>
      <c r="M1260" t="str">
        <f t="shared" si="133"/>
        <v xml:space="preserve">          </v>
      </c>
      <c r="N1260" s="227" t="str">
        <f t="shared" si="134"/>
        <v/>
      </c>
      <c r="X1260" t="str">
        <f t="shared" si="135"/>
        <v xml:space="preserve">          </v>
      </c>
      <c r="Y1260" s="227" t="str">
        <f t="shared" si="136"/>
        <v/>
      </c>
      <c r="Z1260" t="str">
        <f t="shared" si="137"/>
        <v/>
      </c>
      <c r="AL1260" t="str">
        <f t="shared" si="138"/>
        <v/>
      </c>
      <c r="AM1260" t="str">
        <f t="shared" si="139"/>
        <v/>
      </c>
    </row>
    <row r="1261" spans="1:39">
      <c r="A1261" t="str">
        <f>IF(ISBLANK(Record!A1262),"",Record!A1262)</f>
        <v/>
      </c>
      <c r="B1261" t="str">
        <f>IF(ISBLANK(Record!B1262),"",Record!B1262)</f>
        <v/>
      </c>
      <c r="C1261" s="227" t="str">
        <f>IF(ISBLANK(Record!C1262),"",Record!C1262)</f>
        <v/>
      </c>
      <c r="D1261" t="str">
        <f>IF(ISBLANK(Record!D1262),"",Record!D1262)</f>
        <v/>
      </c>
      <c r="E1261" t="str">
        <f>IF(ISBLANK(Record!E1262),"",Record!E1262)</f>
        <v/>
      </c>
      <c r="M1261" t="str">
        <f t="shared" si="133"/>
        <v xml:space="preserve">          </v>
      </c>
      <c r="N1261" s="227" t="str">
        <f t="shared" si="134"/>
        <v/>
      </c>
      <c r="X1261" t="str">
        <f t="shared" si="135"/>
        <v xml:space="preserve">          </v>
      </c>
      <c r="Y1261" s="227" t="str">
        <f t="shared" si="136"/>
        <v/>
      </c>
      <c r="Z1261" t="str">
        <f t="shared" si="137"/>
        <v/>
      </c>
      <c r="AL1261" t="str">
        <f t="shared" si="138"/>
        <v/>
      </c>
      <c r="AM1261" t="str">
        <f t="shared" si="139"/>
        <v/>
      </c>
    </row>
    <row r="1262" spans="1:39">
      <c r="A1262" t="str">
        <f>IF(ISBLANK(Record!A1263),"",Record!A1263)</f>
        <v/>
      </c>
      <c r="B1262" t="str">
        <f>IF(ISBLANK(Record!B1263),"",Record!B1263)</f>
        <v/>
      </c>
      <c r="C1262" s="227" t="str">
        <f>IF(ISBLANK(Record!C1263),"",Record!C1263)</f>
        <v/>
      </c>
      <c r="D1262" t="str">
        <f>IF(ISBLANK(Record!D1263),"",Record!D1263)</f>
        <v/>
      </c>
      <c r="E1262" t="str">
        <f>IF(ISBLANK(Record!E1263),"",Record!E1263)</f>
        <v/>
      </c>
      <c r="M1262" t="str">
        <f t="shared" si="133"/>
        <v xml:space="preserve">          </v>
      </c>
      <c r="N1262" s="227" t="str">
        <f t="shared" si="134"/>
        <v/>
      </c>
      <c r="X1262" t="str">
        <f t="shared" si="135"/>
        <v xml:space="preserve">          </v>
      </c>
      <c r="Y1262" s="227" t="str">
        <f t="shared" si="136"/>
        <v/>
      </c>
      <c r="Z1262" t="str">
        <f t="shared" si="137"/>
        <v/>
      </c>
      <c r="AL1262" t="str">
        <f t="shared" si="138"/>
        <v/>
      </c>
      <c r="AM1262" t="str">
        <f t="shared" si="139"/>
        <v/>
      </c>
    </row>
    <row r="1263" spans="1:39">
      <c r="A1263" t="str">
        <f>IF(ISBLANK(Record!A1264),"",Record!A1264)</f>
        <v/>
      </c>
      <c r="B1263" t="str">
        <f>IF(ISBLANK(Record!B1264),"",Record!B1264)</f>
        <v/>
      </c>
      <c r="C1263" s="227" t="str">
        <f>IF(ISBLANK(Record!C1264),"",Record!C1264)</f>
        <v/>
      </c>
      <c r="D1263" t="str">
        <f>IF(ISBLANK(Record!D1264),"",Record!D1264)</f>
        <v/>
      </c>
      <c r="E1263" t="str">
        <f>IF(ISBLANK(Record!E1264),"",Record!E1264)</f>
        <v/>
      </c>
      <c r="M1263" t="str">
        <f t="shared" si="133"/>
        <v xml:space="preserve">          </v>
      </c>
      <c r="N1263" s="227" t="str">
        <f t="shared" si="134"/>
        <v/>
      </c>
      <c r="X1263" t="str">
        <f t="shared" si="135"/>
        <v xml:space="preserve">          </v>
      </c>
      <c r="Y1263" s="227" t="str">
        <f t="shared" si="136"/>
        <v/>
      </c>
      <c r="Z1263" t="str">
        <f t="shared" si="137"/>
        <v/>
      </c>
      <c r="AL1263" t="str">
        <f t="shared" si="138"/>
        <v/>
      </c>
      <c r="AM1263" t="str">
        <f t="shared" si="139"/>
        <v/>
      </c>
    </row>
    <row r="1264" spans="1:39">
      <c r="A1264" t="str">
        <f>IF(ISBLANK(Record!A1265),"",Record!A1265)</f>
        <v/>
      </c>
      <c r="B1264" t="str">
        <f>IF(ISBLANK(Record!B1265),"",Record!B1265)</f>
        <v/>
      </c>
      <c r="C1264" s="227" t="str">
        <f>IF(ISBLANK(Record!C1265),"",Record!C1265)</f>
        <v/>
      </c>
      <c r="D1264" t="str">
        <f>IF(ISBLANK(Record!D1265),"",Record!D1265)</f>
        <v/>
      </c>
      <c r="E1264" t="str">
        <f>IF(ISBLANK(Record!E1265),"",Record!E1265)</f>
        <v/>
      </c>
      <c r="M1264" t="str">
        <f t="shared" si="133"/>
        <v xml:space="preserve">          </v>
      </c>
      <c r="N1264" s="227" t="str">
        <f t="shared" si="134"/>
        <v/>
      </c>
      <c r="X1264" t="str">
        <f t="shared" si="135"/>
        <v xml:space="preserve">          </v>
      </c>
      <c r="Y1264" s="227" t="str">
        <f t="shared" si="136"/>
        <v/>
      </c>
      <c r="Z1264" t="str">
        <f t="shared" si="137"/>
        <v/>
      </c>
      <c r="AL1264" t="str">
        <f t="shared" si="138"/>
        <v/>
      </c>
      <c r="AM1264" t="str">
        <f t="shared" si="139"/>
        <v/>
      </c>
    </row>
    <row r="1265" spans="1:39">
      <c r="A1265" t="str">
        <f>IF(ISBLANK(Record!A1266),"",Record!A1266)</f>
        <v/>
      </c>
      <c r="B1265" t="str">
        <f>IF(ISBLANK(Record!B1266),"",Record!B1266)</f>
        <v/>
      </c>
      <c r="C1265" s="227" t="str">
        <f>IF(ISBLANK(Record!C1266),"",Record!C1266)</f>
        <v/>
      </c>
      <c r="D1265" t="str">
        <f>IF(ISBLANK(Record!D1266),"",Record!D1266)</f>
        <v/>
      </c>
      <c r="E1265" t="str">
        <f>IF(ISBLANK(Record!E1266),"",Record!E1266)</f>
        <v/>
      </c>
      <c r="M1265" t="str">
        <f t="shared" si="133"/>
        <v xml:space="preserve">          </v>
      </c>
      <c r="N1265" s="227" t="str">
        <f t="shared" si="134"/>
        <v/>
      </c>
      <c r="X1265" t="str">
        <f t="shared" si="135"/>
        <v xml:space="preserve">          </v>
      </c>
      <c r="Y1265" s="227" t="str">
        <f t="shared" si="136"/>
        <v/>
      </c>
      <c r="Z1265" t="str">
        <f t="shared" si="137"/>
        <v/>
      </c>
      <c r="AL1265" t="str">
        <f t="shared" si="138"/>
        <v/>
      </c>
      <c r="AM1265" t="str">
        <f t="shared" si="139"/>
        <v/>
      </c>
    </row>
    <row r="1266" spans="1:39">
      <c r="A1266" t="str">
        <f>IF(ISBLANK(Record!A1267),"",Record!A1267)</f>
        <v/>
      </c>
      <c r="B1266" t="str">
        <f>IF(ISBLANK(Record!B1267),"",Record!B1267)</f>
        <v/>
      </c>
      <c r="C1266" s="227" t="str">
        <f>IF(ISBLANK(Record!C1267),"",Record!C1267)</f>
        <v/>
      </c>
      <c r="D1266" t="str">
        <f>IF(ISBLANK(Record!D1267),"",Record!D1267)</f>
        <v/>
      </c>
      <c r="E1266" t="str">
        <f>IF(ISBLANK(Record!E1267),"",Record!E1267)</f>
        <v/>
      </c>
      <c r="M1266" t="str">
        <f t="shared" si="133"/>
        <v xml:space="preserve">          </v>
      </c>
      <c r="N1266" s="227" t="str">
        <f t="shared" si="134"/>
        <v/>
      </c>
      <c r="X1266" t="str">
        <f t="shared" si="135"/>
        <v xml:space="preserve">          </v>
      </c>
      <c r="Y1266" s="227" t="str">
        <f t="shared" si="136"/>
        <v/>
      </c>
      <c r="Z1266" t="str">
        <f t="shared" si="137"/>
        <v/>
      </c>
      <c r="AL1266" t="str">
        <f t="shared" si="138"/>
        <v/>
      </c>
      <c r="AM1266" t="str">
        <f t="shared" si="139"/>
        <v/>
      </c>
    </row>
    <row r="1267" spans="1:39">
      <c r="A1267" t="str">
        <f>IF(ISBLANK(Record!A1268),"",Record!A1268)</f>
        <v/>
      </c>
      <c r="B1267" t="str">
        <f>IF(ISBLANK(Record!B1268),"",Record!B1268)</f>
        <v/>
      </c>
      <c r="C1267" s="227" t="str">
        <f>IF(ISBLANK(Record!C1268),"",Record!C1268)</f>
        <v/>
      </c>
      <c r="D1267" t="str">
        <f>IF(ISBLANK(Record!D1268),"",Record!D1268)</f>
        <v/>
      </c>
      <c r="E1267" t="str">
        <f>IF(ISBLANK(Record!E1268),"",Record!E1268)</f>
        <v/>
      </c>
      <c r="M1267" t="str">
        <f t="shared" si="133"/>
        <v xml:space="preserve">          </v>
      </c>
      <c r="N1267" s="227" t="str">
        <f t="shared" si="134"/>
        <v/>
      </c>
      <c r="X1267" t="str">
        <f t="shared" si="135"/>
        <v xml:space="preserve">          </v>
      </c>
      <c r="Y1267" s="227" t="str">
        <f t="shared" si="136"/>
        <v/>
      </c>
      <c r="Z1267" t="str">
        <f t="shared" si="137"/>
        <v/>
      </c>
      <c r="AL1267" t="str">
        <f t="shared" si="138"/>
        <v/>
      </c>
      <c r="AM1267" t="str">
        <f t="shared" si="139"/>
        <v/>
      </c>
    </row>
    <row r="1268" spans="1:39">
      <c r="A1268" t="str">
        <f>IF(ISBLANK(Record!A1269),"",Record!A1269)</f>
        <v/>
      </c>
      <c r="B1268" t="str">
        <f>IF(ISBLANK(Record!B1269),"",Record!B1269)</f>
        <v/>
      </c>
      <c r="C1268" s="227" t="str">
        <f>IF(ISBLANK(Record!C1269),"",Record!C1269)</f>
        <v/>
      </c>
      <c r="D1268" t="str">
        <f>IF(ISBLANK(Record!D1269),"",Record!D1269)</f>
        <v/>
      </c>
      <c r="E1268" t="str">
        <f>IF(ISBLANK(Record!E1269),"",Record!E1269)</f>
        <v/>
      </c>
      <c r="M1268" t="str">
        <f t="shared" si="133"/>
        <v xml:space="preserve">          </v>
      </c>
      <c r="N1268" s="227" t="str">
        <f t="shared" si="134"/>
        <v/>
      </c>
      <c r="X1268" t="str">
        <f t="shared" si="135"/>
        <v xml:space="preserve">          </v>
      </c>
      <c r="Y1268" s="227" t="str">
        <f t="shared" si="136"/>
        <v/>
      </c>
      <c r="Z1268" t="str">
        <f t="shared" si="137"/>
        <v/>
      </c>
      <c r="AL1268" t="str">
        <f t="shared" si="138"/>
        <v/>
      </c>
      <c r="AM1268" t="str">
        <f t="shared" si="139"/>
        <v/>
      </c>
    </row>
    <row r="1269" spans="1:39">
      <c r="A1269" t="str">
        <f>IF(ISBLANK(Record!A1270),"",Record!A1270)</f>
        <v/>
      </c>
      <c r="B1269" t="str">
        <f>IF(ISBLANK(Record!B1270),"",Record!B1270)</f>
        <v/>
      </c>
      <c r="C1269" s="227" t="str">
        <f>IF(ISBLANK(Record!C1270),"",Record!C1270)</f>
        <v/>
      </c>
      <c r="D1269" t="str">
        <f>IF(ISBLANK(Record!D1270),"",Record!D1270)</f>
        <v/>
      </c>
      <c r="E1269" t="str">
        <f>IF(ISBLANK(Record!E1270),"",Record!E1270)</f>
        <v/>
      </c>
      <c r="M1269" t="str">
        <f t="shared" si="133"/>
        <v xml:space="preserve">          </v>
      </c>
      <c r="N1269" s="227" t="str">
        <f t="shared" si="134"/>
        <v/>
      </c>
      <c r="X1269" t="str">
        <f t="shared" si="135"/>
        <v xml:space="preserve">          </v>
      </c>
      <c r="Y1269" s="227" t="str">
        <f t="shared" si="136"/>
        <v/>
      </c>
      <c r="Z1269" t="str">
        <f t="shared" si="137"/>
        <v/>
      </c>
      <c r="AL1269" t="str">
        <f t="shared" si="138"/>
        <v/>
      </c>
      <c r="AM1269" t="str">
        <f t="shared" si="139"/>
        <v/>
      </c>
    </row>
    <row r="1270" spans="1:39">
      <c r="A1270" t="str">
        <f>IF(ISBLANK(Record!A1271),"",Record!A1271)</f>
        <v/>
      </c>
      <c r="B1270" t="str">
        <f>IF(ISBLANK(Record!B1271),"",Record!B1271)</f>
        <v/>
      </c>
      <c r="C1270" s="227" t="str">
        <f>IF(ISBLANK(Record!C1271),"",Record!C1271)</f>
        <v/>
      </c>
      <c r="D1270" t="str">
        <f>IF(ISBLANK(Record!D1271),"",Record!D1271)</f>
        <v/>
      </c>
      <c r="E1270" t="str">
        <f>IF(ISBLANK(Record!E1271),"",Record!E1271)</f>
        <v/>
      </c>
      <c r="M1270" t="str">
        <f t="shared" si="133"/>
        <v xml:space="preserve">          </v>
      </c>
      <c r="N1270" s="227" t="str">
        <f t="shared" si="134"/>
        <v/>
      </c>
      <c r="X1270" t="str">
        <f t="shared" si="135"/>
        <v xml:space="preserve">          </v>
      </c>
      <c r="Y1270" s="227" t="str">
        <f t="shared" si="136"/>
        <v/>
      </c>
      <c r="Z1270" t="str">
        <f t="shared" si="137"/>
        <v/>
      </c>
      <c r="AL1270" t="str">
        <f t="shared" si="138"/>
        <v/>
      </c>
      <c r="AM1270" t="str">
        <f t="shared" si="139"/>
        <v/>
      </c>
    </row>
    <row r="1271" spans="1:39">
      <c r="A1271" t="str">
        <f>IF(ISBLANK(Record!A1272),"",Record!A1272)</f>
        <v/>
      </c>
      <c r="B1271" t="str">
        <f>IF(ISBLANK(Record!B1272),"",Record!B1272)</f>
        <v/>
      </c>
      <c r="C1271" s="227" t="str">
        <f>IF(ISBLANK(Record!C1272),"",Record!C1272)</f>
        <v/>
      </c>
      <c r="D1271" t="str">
        <f>IF(ISBLANK(Record!D1272),"",Record!D1272)</f>
        <v/>
      </c>
      <c r="E1271" t="str">
        <f>IF(ISBLANK(Record!E1272),"",Record!E1272)</f>
        <v/>
      </c>
      <c r="M1271" t="str">
        <f t="shared" si="133"/>
        <v xml:space="preserve">          </v>
      </c>
      <c r="N1271" s="227" t="str">
        <f t="shared" si="134"/>
        <v/>
      </c>
      <c r="X1271" t="str">
        <f t="shared" si="135"/>
        <v xml:space="preserve">          </v>
      </c>
      <c r="Y1271" s="227" t="str">
        <f t="shared" si="136"/>
        <v/>
      </c>
      <c r="Z1271" t="str">
        <f t="shared" si="137"/>
        <v/>
      </c>
      <c r="AL1271" t="str">
        <f t="shared" si="138"/>
        <v/>
      </c>
      <c r="AM1271" t="str">
        <f t="shared" si="139"/>
        <v/>
      </c>
    </row>
    <row r="1272" spans="1:39">
      <c r="A1272" t="str">
        <f>IF(ISBLANK(Record!A1273),"",Record!A1273)</f>
        <v/>
      </c>
      <c r="B1272" t="str">
        <f>IF(ISBLANK(Record!B1273),"",Record!B1273)</f>
        <v/>
      </c>
      <c r="C1272" s="227" t="str">
        <f>IF(ISBLANK(Record!C1273),"",Record!C1273)</f>
        <v/>
      </c>
      <c r="D1272" t="str">
        <f>IF(ISBLANK(Record!D1273),"",Record!D1273)</f>
        <v/>
      </c>
      <c r="E1272" t="str">
        <f>IF(ISBLANK(Record!E1273),"",Record!E1273)</f>
        <v/>
      </c>
      <c r="M1272" t="str">
        <f t="shared" si="133"/>
        <v xml:space="preserve">          </v>
      </c>
      <c r="N1272" s="227" t="str">
        <f t="shared" si="134"/>
        <v/>
      </c>
      <c r="X1272" t="str">
        <f t="shared" si="135"/>
        <v xml:space="preserve">          </v>
      </c>
      <c r="Y1272" s="227" t="str">
        <f t="shared" si="136"/>
        <v/>
      </c>
      <c r="Z1272" t="str">
        <f t="shared" si="137"/>
        <v/>
      </c>
      <c r="AL1272" t="str">
        <f t="shared" si="138"/>
        <v/>
      </c>
      <c r="AM1272" t="str">
        <f t="shared" si="139"/>
        <v/>
      </c>
    </row>
    <row r="1273" spans="1:39">
      <c r="A1273" t="str">
        <f>IF(ISBLANK(Record!A1274),"",Record!A1274)</f>
        <v/>
      </c>
      <c r="B1273" t="str">
        <f>IF(ISBLANK(Record!B1274),"",Record!B1274)</f>
        <v/>
      </c>
      <c r="C1273" s="227" t="str">
        <f>IF(ISBLANK(Record!C1274),"",Record!C1274)</f>
        <v/>
      </c>
      <c r="D1273" t="str">
        <f>IF(ISBLANK(Record!D1274),"",Record!D1274)</f>
        <v/>
      </c>
      <c r="E1273" t="str">
        <f>IF(ISBLANK(Record!E1274),"",Record!E1274)</f>
        <v/>
      </c>
      <c r="M1273" t="str">
        <f t="shared" si="133"/>
        <v xml:space="preserve">          </v>
      </c>
      <c r="N1273" s="227" t="str">
        <f t="shared" si="134"/>
        <v/>
      </c>
      <c r="X1273" t="str">
        <f t="shared" si="135"/>
        <v xml:space="preserve">          </v>
      </c>
      <c r="Y1273" s="227" t="str">
        <f t="shared" si="136"/>
        <v/>
      </c>
      <c r="Z1273" t="str">
        <f t="shared" si="137"/>
        <v/>
      </c>
      <c r="AL1273" t="str">
        <f t="shared" si="138"/>
        <v/>
      </c>
      <c r="AM1273" t="str">
        <f t="shared" si="139"/>
        <v/>
      </c>
    </row>
    <row r="1274" spans="1:39">
      <c r="A1274" t="str">
        <f>IF(ISBLANK(Record!A1275),"",Record!A1275)</f>
        <v/>
      </c>
      <c r="B1274" t="str">
        <f>IF(ISBLANK(Record!B1275),"",Record!B1275)</f>
        <v/>
      </c>
      <c r="C1274" s="227" t="str">
        <f>IF(ISBLANK(Record!C1275),"",Record!C1275)</f>
        <v/>
      </c>
      <c r="D1274" t="str">
        <f>IF(ISBLANK(Record!D1275),"",Record!D1275)</f>
        <v/>
      </c>
      <c r="E1274" t="str">
        <f>IF(ISBLANK(Record!E1275),"",Record!E1275)</f>
        <v/>
      </c>
      <c r="M1274" t="str">
        <f t="shared" si="133"/>
        <v xml:space="preserve">          </v>
      </c>
      <c r="N1274" s="227" t="str">
        <f t="shared" si="134"/>
        <v/>
      </c>
      <c r="X1274" t="str">
        <f t="shared" si="135"/>
        <v xml:space="preserve">          </v>
      </c>
      <c r="Y1274" s="227" t="str">
        <f t="shared" si="136"/>
        <v/>
      </c>
      <c r="Z1274" t="str">
        <f t="shared" si="137"/>
        <v/>
      </c>
      <c r="AL1274" t="str">
        <f t="shared" si="138"/>
        <v/>
      </c>
      <c r="AM1274" t="str">
        <f t="shared" si="139"/>
        <v/>
      </c>
    </row>
    <row r="1275" spans="1:39">
      <c r="A1275" t="str">
        <f>IF(ISBLANK(Record!A1276),"",Record!A1276)</f>
        <v/>
      </c>
      <c r="B1275" t="str">
        <f>IF(ISBLANK(Record!B1276),"",Record!B1276)</f>
        <v/>
      </c>
      <c r="C1275" s="227" t="str">
        <f>IF(ISBLANK(Record!C1276),"",Record!C1276)</f>
        <v/>
      </c>
      <c r="D1275" t="str">
        <f>IF(ISBLANK(Record!D1276),"",Record!D1276)</f>
        <v/>
      </c>
      <c r="E1275" t="str">
        <f>IF(ISBLANK(Record!E1276),"",Record!E1276)</f>
        <v/>
      </c>
      <c r="M1275" t="str">
        <f t="shared" si="133"/>
        <v xml:space="preserve">          </v>
      </c>
      <c r="N1275" s="227" t="str">
        <f t="shared" si="134"/>
        <v/>
      </c>
      <c r="X1275" t="str">
        <f t="shared" si="135"/>
        <v xml:space="preserve">          </v>
      </c>
      <c r="Y1275" s="227" t="str">
        <f t="shared" si="136"/>
        <v/>
      </c>
      <c r="Z1275" t="str">
        <f t="shared" si="137"/>
        <v/>
      </c>
      <c r="AL1275" t="str">
        <f t="shared" si="138"/>
        <v/>
      </c>
      <c r="AM1275" t="str">
        <f t="shared" si="139"/>
        <v/>
      </c>
    </row>
    <row r="1276" spans="1:39">
      <c r="A1276" t="str">
        <f>IF(ISBLANK(Record!A1277),"",Record!A1277)</f>
        <v/>
      </c>
      <c r="B1276" t="str">
        <f>IF(ISBLANK(Record!B1277),"",Record!B1277)</f>
        <v/>
      </c>
      <c r="C1276" s="227" t="str">
        <f>IF(ISBLANK(Record!C1277),"",Record!C1277)</f>
        <v/>
      </c>
      <c r="D1276" t="str">
        <f>IF(ISBLANK(Record!D1277),"",Record!D1277)</f>
        <v/>
      </c>
      <c r="E1276" t="str">
        <f>IF(ISBLANK(Record!E1277),"",Record!E1277)</f>
        <v/>
      </c>
      <c r="M1276" t="str">
        <f t="shared" si="133"/>
        <v xml:space="preserve">          </v>
      </c>
      <c r="N1276" s="227" t="str">
        <f t="shared" si="134"/>
        <v/>
      </c>
      <c r="X1276" t="str">
        <f t="shared" si="135"/>
        <v xml:space="preserve">          </v>
      </c>
      <c r="Y1276" s="227" t="str">
        <f t="shared" si="136"/>
        <v/>
      </c>
      <c r="Z1276" t="str">
        <f t="shared" si="137"/>
        <v/>
      </c>
      <c r="AL1276" t="str">
        <f t="shared" si="138"/>
        <v/>
      </c>
      <c r="AM1276" t="str">
        <f t="shared" si="139"/>
        <v/>
      </c>
    </row>
    <row r="1277" spans="1:39">
      <c r="A1277" t="str">
        <f>IF(ISBLANK(Record!A1278),"",Record!A1278)</f>
        <v/>
      </c>
      <c r="B1277" t="str">
        <f>IF(ISBLANK(Record!B1278),"",Record!B1278)</f>
        <v/>
      </c>
      <c r="C1277" s="227" t="str">
        <f>IF(ISBLANK(Record!C1278),"",Record!C1278)</f>
        <v/>
      </c>
      <c r="D1277" t="str">
        <f>IF(ISBLANK(Record!D1278),"",Record!D1278)</f>
        <v/>
      </c>
      <c r="E1277" t="str">
        <f>IF(ISBLANK(Record!E1278),"",Record!E1278)</f>
        <v/>
      </c>
      <c r="M1277" t="str">
        <f t="shared" si="133"/>
        <v xml:space="preserve">          </v>
      </c>
      <c r="N1277" s="227" t="str">
        <f t="shared" si="134"/>
        <v/>
      </c>
      <c r="X1277" t="str">
        <f t="shared" si="135"/>
        <v xml:space="preserve">          </v>
      </c>
      <c r="Y1277" s="227" t="str">
        <f t="shared" si="136"/>
        <v/>
      </c>
      <c r="Z1277" t="str">
        <f t="shared" si="137"/>
        <v/>
      </c>
      <c r="AL1277" t="str">
        <f t="shared" si="138"/>
        <v/>
      </c>
      <c r="AM1277" t="str">
        <f t="shared" si="139"/>
        <v/>
      </c>
    </row>
    <row r="1278" spans="1:39">
      <c r="A1278" t="str">
        <f>IF(ISBLANK(Record!A1279),"",Record!A1279)</f>
        <v/>
      </c>
      <c r="B1278" t="str">
        <f>IF(ISBLANK(Record!B1279),"",Record!B1279)</f>
        <v/>
      </c>
      <c r="C1278" s="227" t="str">
        <f>IF(ISBLANK(Record!C1279),"",Record!C1279)</f>
        <v/>
      </c>
      <c r="D1278" t="str">
        <f>IF(ISBLANK(Record!D1279),"",Record!D1279)</f>
        <v/>
      </c>
      <c r="E1278" t="str">
        <f>IF(ISBLANK(Record!E1279),"",Record!E1279)</f>
        <v/>
      </c>
      <c r="M1278" t="str">
        <f t="shared" si="133"/>
        <v xml:space="preserve">          </v>
      </c>
      <c r="N1278" s="227" t="str">
        <f t="shared" si="134"/>
        <v/>
      </c>
      <c r="X1278" t="str">
        <f t="shared" si="135"/>
        <v xml:space="preserve">          </v>
      </c>
      <c r="Y1278" s="227" t="str">
        <f t="shared" si="136"/>
        <v/>
      </c>
      <c r="Z1278" t="str">
        <f t="shared" si="137"/>
        <v/>
      </c>
      <c r="AL1278" t="str">
        <f t="shared" si="138"/>
        <v/>
      </c>
      <c r="AM1278" t="str">
        <f t="shared" si="139"/>
        <v/>
      </c>
    </row>
    <row r="1279" spans="1:39">
      <c r="A1279" t="str">
        <f>IF(ISBLANK(Record!A1280),"",Record!A1280)</f>
        <v/>
      </c>
      <c r="B1279" t="str">
        <f>IF(ISBLANK(Record!B1280),"",Record!B1280)</f>
        <v/>
      </c>
      <c r="C1279" s="227" t="str">
        <f>IF(ISBLANK(Record!C1280),"",Record!C1280)</f>
        <v/>
      </c>
      <c r="D1279" t="str">
        <f>IF(ISBLANK(Record!D1280),"",Record!D1280)</f>
        <v/>
      </c>
      <c r="E1279" t="str">
        <f>IF(ISBLANK(Record!E1280),"",Record!E1280)</f>
        <v/>
      </c>
      <c r="M1279" t="str">
        <f t="shared" si="133"/>
        <v xml:space="preserve">          </v>
      </c>
      <c r="N1279" s="227" t="str">
        <f t="shared" si="134"/>
        <v/>
      </c>
      <c r="X1279" t="str">
        <f t="shared" si="135"/>
        <v xml:space="preserve">          </v>
      </c>
      <c r="Y1279" s="227" t="str">
        <f t="shared" si="136"/>
        <v/>
      </c>
      <c r="Z1279" t="str">
        <f t="shared" si="137"/>
        <v/>
      </c>
      <c r="AL1279" t="str">
        <f t="shared" si="138"/>
        <v/>
      </c>
      <c r="AM1279" t="str">
        <f t="shared" si="139"/>
        <v/>
      </c>
    </row>
    <row r="1280" spans="1:39">
      <c r="A1280" t="str">
        <f>IF(ISBLANK(Record!A1281),"",Record!A1281)</f>
        <v/>
      </c>
      <c r="B1280" t="str">
        <f>IF(ISBLANK(Record!B1281),"",Record!B1281)</f>
        <v/>
      </c>
      <c r="C1280" s="227" t="str">
        <f>IF(ISBLANK(Record!C1281),"",Record!C1281)</f>
        <v/>
      </c>
      <c r="D1280" t="str">
        <f>IF(ISBLANK(Record!D1281),"",Record!D1281)</f>
        <v/>
      </c>
      <c r="E1280" t="str">
        <f>IF(ISBLANK(Record!E1281),"",Record!E1281)</f>
        <v/>
      </c>
      <c r="M1280" t="str">
        <f t="shared" si="133"/>
        <v xml:space="preserve">          </v>
      </c>
      <c r="N1280" s="227" t="str">
        <f t="shared" si="134"/>
        <v/>
      </c>
      <c r="X1280" t="str">
        <f t="shared" si="135"/>
        <v xml:space="preserve">          </v>
      </c>
      <c r="Y1280" s="227" t="str">
        <f t="shared" si="136"/>
        <v/>
      </c>
      <c r="Z1280" t="str">
        <f t="shared" si="137"/>
        <v/>
      </c>
      <c r="AL1280" t="str">
        <f t="shared" si="138"/>
        <v/>
      </c>
      <c r="AM1280" t="str">
        <f t="shared" si="139"/>
        <v/>
      </c>
    </row>
    <row r="1281" spans="1:39">
      <c r="A1281" t="str">
        <f>IF(ISBLANK(Record!A1282),"",Record!A1282)</f>
        <v/>
      </c>
      <c r="B1281" t="str">
        <f>IF(ISBLANK(Record!B1282),"",Record!B1282)</f>
        <v/>
      </c>
      <c r="C1281" s="227" t="str">
        <f>IF(ISBLANK(Record!C1282),"",Record!C1282)</f>
        <v/>
      </c>
      <c r="D1281" t="str">
        <f>IF(ISBLANK(Record!D1282),"",Record!D1282)</f>
        <v/>
      </c>
      <c r="E1281" t="str">
        <f>IF(ISBLANK(Record!E1282),"",Record!E1282)</f>
        <v/>
      </c>
      <c r="M1281" t="str">
        <f t="shared" si="133"/>
        <v xml:space="preserve">          </v>
      </c>
      <c r="N1281" s="227" t="str">
        <f t="shared" si="134"/>
        <v/>
      </c>
      <c r="X1281" t="str">
        <f t="shared" si="135"/>
        <v xml:space="preserve">          </v>
      </c>
      <c r="Y1281" s="227" t="str">
        <f t="shared" si="136"/>
        <v/>
      </c>
      <c r="Z1281" t="str">
        <f t="shared" si="137"/>
        <v/>
      </c>
      <c r="AL1281" t="str">
        <f t="shared" si="138"/>
        <v/>
      </c>
      <c r="AM1281" t="str">
        <f t="shared" si="139"/>
        <v/>
      </c>
    </row>
    <row r="1282" spans="1:39">
      <c r="A1282" t="str">
        <f>IF(ISBLANK(Record!A1283),"",Record!A1283)</f>
        <v/>
      </c>
      <c r="B1282" t="str">
        <f>IF(ISBLANK(Record!B1283),"",Record!B1283)</f>
        <v/>
      </c>
      <c r="C1282" s="227" t="str">
        <f>IF(ISBLANK(Record!C1283),"",Record!C1283)</f>
        <v/>
      </c>
      <c r="D1282" t="str">
        <f>IF(ISBLANK(Record!D1283),"",Record!D1283)</f>
        <v/>
      </c>
      <c r="E1282" t="str">
        <f>IF(ISBLANK(Record!E1283),"",Record!E1283)</f>
        <v/>
      </c>
      <c r="M1282" t="str">
        <f t="shared" si="133"/>
        <v xml:space="preserve">          </v>
      </c>
      <c r="N1282" s="227" t="str">
        <f t="shared" si="134"/>
        <v/>
      </c>
      <c r="X1282" t="str">
        <f t="shared" si="135"/>
        <v xml:space="preserve">          </v>
      </c>
      <c r="Y1282" s="227" t="str">
        <f t="shared" si="136"/>
        <v/>
      </c>
      <c r="Z1282" t="str">
        <f t="shared" si="137"/>
        <v/>
      </c>
      <c r="AL1282" t="str">
        <f t="shared" si="138"/>
        <v/>
      </c>
      <c r="AM1282" t="str">
        <f t="shared" si="139"/>
        <v/>
      </c>
    </row>
    <row r="1283" spans="1:39">
      <c r="A1283" t="str">
        <f>IF(ISBLANK(Record!A1284),"",Record!A1284)</f>
        <v/>
      </c>
      <c r="B1283" t="str">
        <f>IF(ISBLANK(Record!B1284),"",Record!B1284)</f>
        <v/>
      </c>
      <c r="C1283" s="227" t="str">
        <f>IF(ISBLANK(Record!C1284),"",Record!C1284)</f>
        <v/>
      </c>
      <c r="D1283" t="str">
        <f>IF(ISBLANK(Record!D1284),"",Record!D1284)</f>
        <v/>
      </c>
      <c r="E1283" t="str">
        <f>IF(ISBLANK(Record!E1284),"",Record!E1284)</f>
        <v/>
      </c>
      <c r="M1283" t="str">
        <f t="shared" ref="M1283:M1346" si="140">RIGHT("                                   " &amp; A1283,10)</f>
        <v xml:space="preserve">          </v>
      </c>
      <c r="N1283" s="227" t="str">
        <f t="shared" ref="N1283:N1346" si="141">RIGHT(C1283,16)</f>
        <v/>
      </c>
      <c r="X1283" t="str">
        <f t="shared" ref="X1283:X1346" si="142">RIGHT("                                   " &amp; A1283,10)</f>
        <v xml:space="preserve">          </v>
      </c>
      <c r="Y1283" s="227" t="str">
        <f t="shared" ref="Y1283:Y1346" si="143">RIGHT(C1283,16)</f>
        <v/>
      </c>
      <c r="Z1283" t="str">
        <f t="shared" ref="Z1283:Z1346" si="144">RIGHT(D1283,8)</f>
        <v/>
      </c>
      <c r="AL1283" t="str">
        <f t="shared" ref="AL1283:AL1346" si="145">D1283</f>
        <v/>
      </c>
      <c r="AM1283" t="str">
        <f t="shared" ref="AM1283:AM1346" si="146">IF(E1283&lt;&gt;AL1283,E1283,E1283)</f>
        <v/>
      </c>
    </row>
    <row r="1284" spans="1:39">
      <c r="A1284" t="str">
        <f>IF(ISBLANK(Record!A1285),"",Record!A1285)</f>
        <v/>
      </c>
      <c r="B1284" t="str">
        <f>IF(ISBLANK(Record!B1285),"",Record!B1285)</f>
        <v/>
      </c>
      <c r="C1284" s="227" t="str">
        <f>IF(ISBLANK(Record!C1285),"",Record!C1285)</f>
        <v/>
      </c>
      <c r="D1284" t="str">
        <f>IF(ISBLANK(Record!D1285),"",Record!D1285)</f>
        <v/>
      </c>
      <c r="E1284" t="str">
        <f>IF(ISBLANK(Record!E1285),"",Record!E1285)</f>
        <v/>
      </c>
      <c r="M1284" t="str">
        <f t="shared" si="140"/>
        <v xml:space="preserve">          </v>
      </c>
      <c r="N1284" s="227" t="str">
        <f t="shared" si="141"/>
        <v/>
      </c>
      <c r="X1284" t="str">
        <f t="shared" si="142"/>
        <v xml:space="preserve">          </v>
      </c>
      <c r="Y1284" s="227" t="str">
        <f t="shared" si="143"/>
        <v/>
      </c>
      <c r="Z1284" t="str">
        <f t="shared" si="144"/>
        <v/>
      </c>
      <c r="AL1284" t="str">
        <f t="shared" si="145"/>
        <v/>
      </c>
      <c r="AM1284" t="str">
        <f t="shared" si="146"/>
        <v/>
      </c>
    </row>
    <row r="1285" spans="1:39">
      <c r="A1285" t="str">
        <f>IF(ISBLANK(Record!A1286),"",Record!A1286)</f>
        <v/>
      </c>
      <c r="B1285" t="str">
        <f>IF(ISBLANK(Record!B1286),"",Record!B1286)</f>
        <v/>
      </c>
      <c r="C1285" s="227" t="str">
        <f>IF(ISBLANK(Record!C1286),"",Record!C1286)</f>
        <v/>
      </c>
      <c r="D1285" t="str">
        <f>IF(ISBLANK(Record!D1286),"",Record!D1286)</f>
        <v/>
      </c>
      <c r="E1285" t="str">
        <f>IF(ISBLANK(Record!E1286),"",Record!E1286)</f>
        <v/>
      </c>
      <c r="M1285" t="str">
        <f t="shared" si="140"/>
        <v xml:space="preserve">          </v>
      </c>
      <c r="N1285" s="227" t="str">
        <f t="shared" si="141"/>
        <v/>
      </c>
      <c r="X1285" t="str">
        <f t="shared" si="142"/>
        <v xml:space="preserve">          </v>
      </c>
      <c r="Y1285" s="227" t="str">
        <f t="shared" si="143"/>
        <v/>
      </c>
      <c r="Z1285" t="str">
        <f t="shared" si="144"/>
        <v/>
      </c>
      <c r="AL1285" t="str">
        <f t="shared" si="145"/>
        <v/>
      </c>
      <c r="AM1285" t="str">
        <f t="shared" si="146"/>
        <v/>
      </c>
    </row>
    <row r="1286" spans="1:39">
      <c r="A1286" t="str">
        <f>IF(ISBLANK(Record!A1287),"",Record!A1287)</f>
        <v/>
      </c>
      <c r="B1286" t="str">
        <f>IF(ISBLANK(Record!B1287),"",Record!B1287)</f>
        <v/>
      </c>
      <c r="C1286" s="227" t="str">
        <f>IF(ISBLANK(Record!C1287),"",Record!C1287)</f>
        <v/>
      </c>
      <c r="D1286" t="str">
        <f>IF(ISBLANK(Record!D1287),"",Record!D1287)</f>
        <v/>
      </c>
      <c r="E1286" t="str">
        <f>IF(ISBLANK(Record!E1287),"",Record!E1287)</f>
        <v/>
      </c>
      <c r="M1286" t="str">
        <f t="shared" si="140"/>
        <v xml:space="preserve">          </v>
      </c>
      <c r="N1286" s="227" t="str">
        <f t="shared" si="141"/>
        <v/>
      </c>
      <c r="X1286" t="str">
        <f t="shared" si="142"/>
        <v xml:space="preserve">          </v>
      </c>
      <c r="Y1286" s="227" t="str">
        <f t="shared" si="143"/>
        <v/>
      </c>
      <c r="Z1286" t="str">
        <f t="shared" si="144"/>
        <v/>
      </c>
      <c r="AL1286" t="str">
        <f t="shared" si="145"/>
        <v/>
      </c>
      <c r="AM1286" t="str">
        <f t="shared" si="146"/>
        <v/>
      </c>
    </row>
    <row r="1287" spans="1:39">
      <c r="A1287" t="str">
        <f>IF(ISBLANK(Record!A1288),"",Record!A1288)</f>
        <v/>
      </c>
      <c r="B1287" t="str">
        <f>IF(ISBLANK(Record!B1288),"",Record!B1288)</f>
        <v/>
      </c>
      <c r="C1287" s="227" t="str">
        <f>IF(ISBLANK(Record!C1288),"",Record!C1288)</f>
        <v/>
      </c>
      <c r="D1287" t="str">
        <f>IF(ISBLANK(Record!D1288),"",Record!D1288)</f>
        <v/>
      </c>
      <c r="E1287" t="str">
        <f>IF(ISBLANK(Record!E1288),"",Record!E1288)</f>
        <v/>
      </c>
      <c r="M1287" t="str">
        <f t="shared" si="140"/>
        <v xml:space="preserve">          </v>
      </c>
      <c r="N1287" s="227" t="str">
        <f t="shared" si="141"/>
        <v/>
      </c>
      <c r="X1287" t="str">
        <f t="shared" si="142"/>
        <v xml:space="preserve">          </v>
      </c>
      <c r="Y1287" s="227" t="str">
        <f t="shared" si="143"/>
        <v/>
      </c>
      <c r="Z1287" t="str">
        <f t="shared" si="144"/>
        <v/>
      </c>
      <c r="AL1287" t="str">
        <f t="shared" si="145"/>
        <v/>
      </c>
      <c r="AM1287" t="str">
        <f t="shared" si="146"/>
        <v/>
      </c>
    </row>
    <row r="1288" spans="1:39">
      <c r="A1288" t="str">
        <f>IF(ISBLANK(Record!A1289),"",Record!A1289)</f>
        <v/>
      </c>
      <c r="B1288" t="str">
        <f>IF(ISBLANK(Record!B1289),"",Record!B1289)</f>
        <v/>
      </c>
      <c r="C1288" s="227" t="str">
        <f>IF(ISBLANK(Record!C1289),"",Record!C1289)</f>
        <v/>
      </c>
      <c r="D1288" t="str">
        <f>IF(ISBLANK(Record!D1289),"",Record!D1289)</f>
        <v/>
      </c>
      <c r="E1288" t="str">
        <f>IF(ISBLANK(Record!E1289),"",Record!E1289)</f>
        <v/>
      </c>
      <c r="M1288" t="str">
        <f t="shared" si="140"/>
        <v xml:space="preserve">          </v>
      </c>
      <c r="N1288" s="227" t="str">
        <f t="shared" si="141"/>
        <v/>
      </c>
      <c r="X1288" t="str">
        <f t="shared" si="142"/>
        <v xml:space="preserve">          </v>
      </c>
      <c r="Y1288" s="227" t="str">
        <f t="shared" si="143"/>
        <v/>
      </c>
      <c r="Z1288" t="str">
        <f t="shared" si="144"/>
        <v/>
      </c>
      <c r="AL1288" t="str">
        <f t="shared" si="145"/>
        <v/>
      </c>
      <c r="AM1288" t="str">
        <f t="shared" si="146"/>
        <v/>
      </c>
    </row>
    <row r="1289" spans="1:39">
      <c r="A1289" t="str">
        <f>IF(ISBLANK(Record!A1290),"",Record!A1290)</f>
        <v/>
      </c>
      <c r="B1289" t="str">
        <f>IF(ISBLANK(Record!B1290),"",Record!B1290)</f>
        <v/>
      </c>
      <c r="C1289" s="227" t="str">
        <f>IF(ISBLANK(Record!C1290),"",Record!C1290)</f>
        <v/>
      </c>
      <c r="D1289" t="str">
        <f>IF(ISBLANK(Record!D1290),"",Record!D1290)</f>
        <v/>
      </c>
      <c r="E1289" t="str">
        <f>IF(ISBLANK(Record!E1290),"",Record!E1290)</f>
        <v/>
      </c>
      <c r="M1289" t="str">
        <f t="shared" si="140"/>
        <v xml:space="preserve">          </v>
      </c>
      <c r="N1289" s="227" t="str">
        <f t="shared" si="141"/>
        <v/>
      </c>
      <c r="X1289" t="str">
        <f t="shared" si="142"/>
        <v xml:space="preserve">          </v>
      </c>
      <c r="Y1289" s="227" t="str">
        <f t="shared" si="143"/>
        <v/>
      </c>
      <c r="Z1289" t="str">
        <f t="shared" si="144"/>
        <v/>
      </c>
      <c r="AL1289" t="str">
        <f t="shared" si="145"/>
        <v/>
      </c>
      <c r="AM1289" t="str">
        <f t="shared" si="146"/>
        <v/>
      </c>
    </row>
    <row r="1290" spans="1:39">
      <c r="A1290" t="str">
        <f>IF(ISBLANK(Record!A1291),"",Record!A1291)</f>
        <v/>
      </c>
      <c r="B1290" t="str">
        <f>IF(ISBLANK(Record!B1291),"",Record!B1291)</f>
        <v/>
      </c>
      <c r="C1290" s="227" t="str">
        <f>IF(ISBLANK(Record!C1291),"",Record!C1291)</f>
        <v/>
      </c>
      <c r="D1290" t="str">
        <f>IF(ISBLANK(Record!D1291),"",Record!D1291)</f>
        <v/>
      </c>
      <c r="E1290" t="str">
        <f>IF(ISBLANK(Record!E1291),"",Record!E1291)</f>
        <v/>
      </c>
      <c r="M1290" t="str">
        <f t="shared" si="140"/>
        <v xml:space="preserve">          </v>
      </c>
      <c r="N1290" s="227" t="str">
        <f t="shared" si="141"/>
        <v/>
      </c>
      <c r="X1290" t="str">
        <f t="shared" si="142"/>
        <v xml:space="preserve">          </v>
      </c>
      <c r="Y1290" s="227" t="str">
        <f t="shared" si="143"/>
        <v/>
      </c>
      <c r="Z1290" t="str">
        <f t="shared" si="144"/>
        <v/>
      </c>
      <c r="AL1290" t="str">
        <f t="shared" si="145"/>
        <v/>
      </c>
      <c r="AM1290" t="str">
        <f t="shared" si="146"/>
        <v/>
      </c>
    </row>
    <row r="1291" spans="1:39">
      <c r="A1291" t="str">
        <f>IF(ISBLANK(Record!A1292),"",Record!A1292)</f>
        <v/>
      </c>
      <c r="B1291" t="str">
        <f>IF(ISBLANK(Record!B1292),"",Record!B1292)</f>
        <v/>
      </c>
      <c r="C1291" s="227" t="str">
        <f>IF(ISBLANK(Record!C1292),"",Record!C1292)</f>
        <v/>
      </c>
      <c r="D1291" t="str">
        <f>IF(ISBLANK(Record!D1292),"",Record!D1292)</f>
        <v/>
      </c>
      <c r="E1291" t="str">
        <f>IF(ISBLANK(Record!E1292),"",Record!E1292)</f>
        <v/>
      </c>
      <c r="M1291" t="str">
        <f t="shared" si="140"/>
        <v xml:space="preserve">          </v>
      </c>
      <c r="N1291" s="227" t="str">
        <f t="shared" si="141"/>
        <v/>
      </c>
      <c r="X1291" t="str">
        <f t="shared" si="142"/>
        <v xml:space="preserve">          </v>
      </c>
      <c r="Y1291" s="227" t="str">
        <f t="shared" si="143"/>
        <v/>
      </c>
      <c r="Z1291" t="str">
        <f t="shared" si="144"/>
        <v/>
      </c>
      <c r="AL1291" t="str">
        <f t="shared" si="145"/>
        <v/>
      </c>
      <c r="AM1291" t="str">
        <f t="shared" si="146"/>
        <v/>
      </c>
    </row>
    <row r="1292" spans="1:39">
      <c r="A1292" t="str">
        <f>IF(ISBLANK(Record!A1293),"",Record!A1293)</f>
        <v/>
      </c>
      <c r="B1292" t="str">
        <f>IF(ISBLANK(Record!B1293),"",Record!B1293)</f>
        <v/>
      </c>
      <c r="C1292" s="227" t="str">
        <f>IF(ISBLANK(Record!C1293),"",Record!C1293)</f>
        <v/>
      </c>
      <c r="D1292" t="str">
        <f>IF(ISBLANK(Record!D1293),"",Record!D1293)</f>
        <v/>
      </c>
      <c r="E1292" t="str">
        <f>IF(ISBLANK(Record!E1293),"",Record!E1293)</f>
        <v/>
      </c>
      <c r="M1292" t="str">
        <f t="shared" si="140"/>
        <v xml:space="preserve">          </v>
      </c>
      <c r="N1292" s="227" t="str">
        <f t="shared" si="141"/>
        <v/>
      </c>
      <c r="X1292" t="str">
        <f t="shared" si="142"/>
        <v xml:space="preserve">          </v>
      </c>
      <c r="Y1292" s="227" t="str">
        <f t="shared" si="143"/>
        <v/>
      </c>
      <c r="Z1292" t="str">
        <f t="shared" si="144"/>
        <v/>
      </c>
      <c r="AL1292" t="str">
        <f t="shared" si="145"/>
        <v/>
      </c>
      <c r="AM1292" t="str">
        <f t="shared" si="146"/>
        <v/>
      </c>
    </row>
    <row r="1293" spans="1:39">
      <c r="A1293" t="str">
        <f>IF(ISBLANK(Record!A1294),"",Record!A1294)</f>
        <v/>
      </c>
      <c r="B1293" t="str">
        <f>IF(ISBLANK(Record!B1294),"",Record!B1294)</f>
        <v/>
      </c>
      <c r="C1293" s="227" t="str">
        <f>IF(ISBLANK(Record!C1294),"",Record!C1294)</f>
        <v/>
      </c>
      <c r="D1293" t="str">
        <f>IF(ISBLANK(Record!D1294),"",Record!D1294)</f>
        <v/>
      </c>
      <c r="E1293" t="str">
        <f>IF(ISBLANK(Record!E1294),"",Record!E1294)</f>
        <v/>
      </c>
      <c r="M1293" t="str">
        <f t="shared" si="140"/>
        <v xml:space="preserve">          </v>
      </c>
      <c r="N1293" s="227" t="str">
        <f t="shared" si="141"/>
        <v/>
      </c>
      <c r="X1293" t="str">
        <f t="shared" si="142"/>
        <v xml:space="preserve">          </v>
      </c>
      <c r="Y1293" s="227" t="str">
        <f t="shared" si="143"/>
        <v/>
      </c>
      <c r="Z1293" t="str">
        <f t="shared" si="144"/>
        <v/>
      </c>
      <c r="AL1293" t="str">
        <f t="shared" si="145"/>
        <v/>
      </c>
      <c r="AM1293" t="str">
        <f t="shared" si="146"/>
        <v/>
      </c>
    </row>
    <row r="1294" spans="1:39">
      <c r="A1294" t="str">
        <f>IF(ISBLANK(Record!A1295),"",Record!A1295)</f>
        <v/>
      </c>
      <c r="B1294" t="str">
        <f>IF(ISBLANK(Record!B1295),"",Record!B1295)</f>
        <v/>
      </c>
      <c r="C1294" s="227" t="str">
        <f>IF(ISBLANK(Record!C1295),"",Record!C1295)</f>
        <v/>
      </c>
      <c r="D1294" t="str">
        <f>IF(ISBLANK(Record!D1295),"",Record!D1295)</f>
        <v/>
      </c>
      <c r="E1294" t="str">
        <f>IF(ISBLANK(Record!E1295),"",Record!E1295)</f>
        <v/>
      </c>
      <c r="M1294" t="str">
        <f t="shared" si="140"/>
        <v xml:space="preserve">          </v>
      </c>
      <c r="N1294" s="227" t="str">
        <f t="shared" si="141"/>
        <v/>
      </c>
      <c r="X1294" t="str">
        <f t="shared" si="142"/>
        <v xml:space="preserve">          </v>
      </c>
      <c r="Y1294" s="227" t="str">
        <f t="shared" si="143"/>
        <v/>
      </c>
      <c r="Z1294" t="str">
        <f t="shared" si="144"/>
        <v/>
      </c>
      <c r="AL1294" t="str">
        <f t="shared" si="145"/>
        <v/>
      </c>
      <c r="AM1294" t="str">
        <f t="shared" si="146"/>
        <v/>
      </c>
    </row>
    <row r="1295" spans="1:39">
      <c r="A1295" t="str">
        <f>IF(ISBLANK(Record!A1296),"",Record!A1296)</f>
        <v/>
      </c>
      <c r="B1295" t="str">
        <f>IF(ISBLANK(Record!B1296),"",Record!B1296)</f>
        <v/>
      </c>
      <c r="C1295" s="227" t="str">
        <f>IF(ISBLANK(Record!C1296),"",Record!C1296)</f>
        <v/>
      </c>
      <c r="D1295" t="str">
        <f>IF(ISBLANK(Record!D1296),"",Record!D1296)</f>
        <v/>
      </c>
      <c r="E1295" t="str">
        <f>IF(ISBLANK(Record!E1296),"",Record!E1296)</f>
        <v/>
      </c>
      <c r="M1295" t="str">
        <f t="shared" si="140"/>
        <v xml:space="preserve">          </v>
      </c>
      <c r="N1295" s="227" t="str">
        <f t="shared" si="141"/>
        <v/>
      </c>
      <c r="X1295" t="str">
        <f t="shared" si="142"/>
        <v xml:space="preserve">          </v>
      </c>
      <c r="Y1295" s="227" t="str">
        <f t="shared" si="143"/>
        <v/>
      </c>
      <c r="Z1295" t="str">
        <f t="shared" si="144"/>
        <v/>
      </c>
      <c r="AL1295" t="str">
        <f t="shared" si="145"/>
        <v/>
      </c>
      <c r="AM1295" t="str">
        <f t="shared" si="146"/>
        <v/>
      </c>
    </row>
    <row r="1296" spans="1:39">
      <c r="A1296" t="str">
        <f>IF(ISBLANK(Record!A1297),"",Record!A1297)</f>
        <v/>
      </c>
      <c r="B1296" t="str">
        <f>IF(ISBLANK(Record!B1297),"",Record!B1297)</f>
        <v/>
      </c>
      <c r="C1296" s="227" t="str">
        <f>IF(ISBLANK(Record!C1297),"",Record!C1297)</f>
        <v/>
      </c>
      <c r="D1296" t="str">
        <f>IF(ISBLANK(Record!D1297),"",Record!D1297)</f>
        <v/>
      </c>
      <c r="E1296" t="str">
        <f>IF(ISBLANK(Record!E1297),"",Record!E1297)</f>
        <v/>
      </c>
      <c r="M1296" t="str">
        <f t="shared" si="140"/>
        <v xml:space="preserve">          </v>
      </c>
      <c r="N1296" s="227" t="str">
        <f t="shared" si="141"/>
        <v/>
      </c>
      <c r="X1296" t="str">
        <f t="shared" si="142"/>
        <v xml:space="preserve">          </v>
      </c>
      <c r="Y1296" s="227" t="str">
        <f t="shared" si="143"/>
        <v/>
      </c>
      <c r="Z1296" t="str">
        <f t="shared" si="144"/>
        <v/>
      </c>
      <c r="AL1296" t="str">
        <f t="shared" si="145"/>
        <v/>
      </c>
      <c r="AM1296" t="str">
        <f t="shared" si="146"/>
        <v/>
      </c>
    </row>
    <row r="1297" spans="1:39">
      <c r="A1297" t="str">
        <f>IF(ISBLANK(Record!A1298),"",Record!A1298)</f>
        <v/>
      </c>
      <c r="B1297" t="str">
        <f>IF(ISBLANK(Record!B1298),"",Record!B1298)</f>
        <v/>
      </c>
      <c r="C1297" s="227" t="str">
        <f>IF(ISBLANK(Record!C1298),"",Record!C1298)</f>
        <v/>
      </c>
      <c r="D1297" t="str">
        <f>IF(ISBLANK(Record!D1298),"",Record!D1298)</f>
        <v/>
      </c>
      <c r="E1297" t="str">
        <f>IF(ISBLANK(Record!E1298),"",Record!E1298)</f>
        <v/>
      </c>
      <c r="M1297" t="str">
        <f t="shared" si="140"/>
        <v xml:space="preserve">          </v>
      </c>
      <c r="N1297" s="227" t="str">
        <f t="shared" si="141"/>
        <v/>
      </c>
      <c r="X1297" t="str">
        <f t="shared" si="142"/>
        <v xml:space="preserve">          </v>
      </c>
      <c r="Y1297" s="227" t="str">
        <f t="shared" si="143"/>
        <v/>
      </c>
      <c r="Z1297" t="str">
        <f t="shared" si="144"/>
        <v/>
      </c>
      <c r="AL1297" t="str">
        <f t="shared" si="145"/>
        <v/>
      </c>
      <c r="AM1297" t="str">
        <f t="shared" si="146"/>
        <v/>
      </c>
    </row>
    <row r="1298" spans="1:39">
      <c r="A1298" t="str">
        <f>IF(ISBLANK(Record!A1299),"",Record!A1299)</f>
        <v/>
      </c>
      <c r="B1298" t="str">
        <f>IF(ISBLANK(Record!B1299),"",Record!B1299)</f>
        <v/>
      </c>
      <c r="C1298" s="227" t="str">
        <f>IF(ISBLANK(Record!C1299),"",Record!C1299)</f>
        <v/>
      </c>
      <c r="D1298" t="str">
        <f>IF(ISBLANK(Record!D1299),"",Record!D1299)</f>
        <v/>
      </c>
      <c r="E1298" t="str">
        <f>IF(ISBLANK(Record!E1299),"",Record!E1299)</f>
        <v/>
      </c>
      <c r="M1298" t="str">
        <f t="shared" si="140"/>
        <v xml:space="preserve">          </v>
      </c>
      <c r="N1298" s="227" t="str">
        <f t="shared" si="141"/>
        <v/>
      </c>
      <c r="X1298" t="str">
        <f t="shared" si="142"/>
        <v xml:space="preserve">          </v>
      </c>
      <c r="Y1298" s="227" t="str">
        <f t="shared" si="143"/>
        <v/>
      </c>
      <c r="Z1298" t="str">
        <f t="shared" si="144"/>
        <v/>
      </c>
      <c r="AL1298" t="str">
        <f t="shared" si="145"/>
        <v/>
      </c>
      <c r="AM1298" t="str">
        <f t="shared" si="146"/>
        <v/>
      </c>
    </row>
    <row r="1299" spans="1:39">
      <c r="A1299" t="str">
        <f>IF(ISBLANK(Record!A1300),"",Record!A1300)</f>
        <v/>
      </c>
      <c r="B1299" t="str">
        <f>IF(ISBLANK(Record!B1300),"",Record!B1300)</f>
        <v/>
      </c>
      <c r="C1299" s="227" t="str">
        <f>IF(ISBLANK(Record!C1300),"",Record!C1300)</f>
        <v/>
      </c>
      <c r="D1299" t="str">
        <f>IF(ISBLANK(Record!D1300),"",Record!D1300)</f>
        <v/>
      </c>
      <c r="E1299" t="str">
        <f>IF(ISBLANK(Record!E1300),"",Record!E1300)</f>
        <v/>
      </c>
      <c r="M1299" t="str">
        <f t="shared" si="140"/>
        <v xml:space="preserve">          </v>
      </c>
      <c r="N1299" s="227" t="str">
        <f t="shared" si="141"/>
        <v/>
      </c>
      <c r="X1299" t="str">
        <f t="shared" si="142"/>
        <v xml:space="preserve">          </v>
      </c>
      <c r="Y1299" s="227" t="str">
        <f t="shared" si="143"/>
        <v/>
      </c>
      <c r="Z1299" t="str">
        <f t="shared" si="144"/>
        <v/>
      </c>
      <c r="AL1299" t="str">
        <f t="shared" si="145"/>
        <v/>
      </c>
      <c r="AM1299" t="str">
        <f t="shared" si="146"/>
        <v/>
      </c>
    </row>
    <row r="1300" spans="1:39">
      <c r="A1300" t="str">
        <f>IF(ISBLANK(Record!A1301),"",Record!A1301)</f>
        <v/>
      </c>
      <c r="B1300" t="str">
        <f>IF(ISBLANK(Record!B1301),"",Record!B1301)</f>
        <v/>
      </c>
      <c r="C1300" s="227" t="str">
        <f>IF(ISBLANK(Record!C1301),"",Record!C1301)</f>
        <v/>
      </c>
      <c r="D1300" t="str">
        <f>IF(ISBLANK(Record!D1301),"",Record!D1301)</f>
        <v/>
      </c>
      <c r="E1300" t="str">
        <f>IF(ISBLANK(Record!E1301),"",Record!E1301)</f>
        <v/>
      </c>
      <c r="M1300" t="str">
        <f t="shared" si="140"/>
        <v xml:space="preserve">          </v>
      </c>
      <c r="N1300" s="227" t="str">
        <f t="shared" si="141"/>
        <v/>
      </c>
      <c r="X1300" t="str">
        <f t="shared" si="142"/>
        <v xml:space="preserve">          </v>
      </c>
      <c r="Y1300" s="227" t="str">
        <f t="shared" si="143"/>
        <v/>
      </c>
      <c r="Z1300" t="str">
        <f t="shared" si="144"/>
        <v/>
      </c>
      <c r="AL1300" t="str">
        <f t="shared" si="145"/>
        <v/>
      </c>
      <c r="AM1300" t="str">
        <f t="shared" si="146"/>
        <v/>
      </c>
    </row>
    <row r="1301" spans="1:39">
      <c r="A1301" t="str">
        <f>IF(ISBLANK(Record!A1302),"",Record!A1302)</f>
        <v/>
      </c>
      <c r="B1301" t="str">
        <f>IF(ISBLANK(Record!B1302),"",Record!B1302)</f>
        <v/>
      </c>
      <c r="C1301" s="227" t="str">
        <f>IF(ISBLANK(Record!C1302),"",Record!C1302)</f>
        <v/>
      </c>
      <c r="D1301" t="str">
        <f>IF(ISBLANK(Record!D1302),"",Record!D1302)</f>
        <v/>
      </c>
      <c r="E1301" t="str">
        <f>IF(ISBLANK(Record!E1302),"",Record!E1302)</f>
        <v/>
      </c>
      <c r="M1301" t="str">
        <f t="shared" si="140"/>
        <v xml:space="preserve">          </v>
      </c>
      <c r="N1301" s="227" t="str">
        <f t="shared" si="141"/>
        <v/>
      </c>
      <c r="X1301" t="str">
        <f t="shared" si="142"/>
        <v xml:space="preserve">          </v>
      </c>
      <c r="Y1301" s="227" t="str">
        <f t="shared" si="143"/>
        <v/>
      </c>
      <c r="Z1301" t="str">
        <f t="shared" si="144"/>
        <v/>
      </c>
      <c r="AL1301" t="str">
        <f t="shared" si="145"/>
        <v/>
      </c>
      <c r="AM1301" t="str">
        <f t="shared" si="146"/>
        <v/>
      </c>
    </row>
    <row r="1302" spans="1:39">
      <c r="A1302" t="str">
        <f>IF(ISBLANK(Record!A1303),"",Record!A1303)</f>
        <v/>
      </c>
      <c r="B1302" t="str">
        <f>IF(ISBLANK(Record!B1303),"",Record!B1303)</f>
        <v/>
      </c>
      <c r="C1302" s="227" t="str">
        <f>IF(ISBLANK(Record!C1303),"",Record!C1303)</f>
        <v/>
      </c>
      <c r="D1302" t="str">
        <f>IF(ISBLANK(Record!D1303),"",Record!D1303)</f>
        <v/>
      </c>
      <c r="E1302" t="str">
        <f>IF(ISBLANK(Record!E1303),"",Record!E1303)</f>
        <v/>
      </c>
      <c r="M1302" t="str">
        <f t="shared" si="140"/>
        <v xml:space="preserve">          </v>
      </c>
      <c r="N1302" s="227" t="str">
        <f t="shared" si="141"/>
        <v/>
      </c>
      <c r="X1302" t="str">
        <f t="shared" si="142"/>
        <v xml:space="preserve">          </v>
      </c>
      <c r="Y1302" s="227" t="str">
        <f t="shared" si="143"/>
        <v/>
      </c>
      <c r="Z1302" t="str">
        <f t="shared" si="144"/>
        <v/>
      </c>
      <c r="AL1302" t="str">
        <f t="shared" si="145"/>
        <v/>
      </c>
      <c r="AM1302" t="str">
        <f t="shared" si="146"/>
        <v/>
      </c>
    </row>
    <row r="1303" spans="1:39">
      <c r="A1303" t="str">
        <f>IF(ISBLANK(Record!A1304),"",Record!A1304)</f>
        <v/>
      </c>
      <c r="B1303" t="str">
        <f>IF(ISBLANK(Record!B1304),"",Record!B1304)</f>
        <v/>
      </c>
      <c r="C1303" s="227" t="str">
        <f>IF(ISBLANK(Record!C1304),"",Record!C1304)</f>
        <v/>
      </c>
      <c r="D1303" t="str">
        <f>IF(ISBLANK(Record!D1304),"",Record!D1304)</f>
        <v/>
      </c>
      <c r="E1303" t="str">
        <f>IF(ISBLANK(Record!E1304),"",Record!E1304)</f>
        <v/>
      </c>
      <c r="M1303" t="str">
        <f t="shared" si="140"/>
        <v xml:space="preserve">          </v>
      </c>
      <c r="N1303" s="227" t="str">
        <f t="shared" si="141"/>
        <v/>
      </c>
      <c r="X1303" t="str">
        <f t="shared" si="142"/>
        <v xml:space="preserve">          </v>
      </c>
      <c r="Y1303" s="227" t="str">
        <f t="shared" si="143"/>
        <v/>
      </c>
      <c r="Z1303" t="str">
        <f t="shared" si="144"/>
        <v/>
      </c>
      <c r="AL1303" t="str">
        <f t="shared" si="145"/>
        <v/>
      </c>
      <c r="AM1303" t="str">
        <f t="shared" si="146"/>
        <v/>
      </c>
    </row>
    <row r="1304" spans="1:39">
      <c r="A1304" t="str">
        <f>IF(ISBLANK(Record!A1305),"",Record!A1305)</f>
        <v/>
      </c>
      <c r="B1304" t="str">
        <f>IF(ISBLANK(Record!B1305),"",Record!B1305)</f>
        <v/>
      </c>
      <c r="C1304" s="227" t="str">
        <f>IF(ISBLANK(Record!C1305),"",Record!C1305)</f>
        <v/>
      </c>
      <c r="D1304" t="str">
        <f>IF(ISBLANK(Record!D1305),"",Record!D1305)</f>
        <v/>
      </c>
      <c r="E1304" t="str">
        <f>IF(ISBLANK(Record!E1305),"",Record!E1305)</f>
        <v/>
      </c>
      <c r="M1304" t="str">
        <f t="shared" si="140"/>
        <v xml:space="preserve">          </v>
      </c>
      <c r="N1304" s="227" t="str">
        <f t="shared" si="141"/>
        <v/>
      </c>
      <c r="X1304" t="str">
        <f t="shared" si="142"/>
        <v xml:space="preserve">          </v>
      </c>
      <c r="Y1304" s="227" t="str">
        <f t="shared" si="143"/>
        <v/>
      </c>
      <c r="Z1304" t="str">
        <f t="shared" si="144"/>
        <v/>
      </c>
      <c r="AL1304" t="str">
        <f t="shared" si="145"/>
        <v/>
      </c>
      <c r="AM1304" t="str">
        <f t="shared" si="146"/>
        <v/>
      </c>
    </row>
    <row r="1305" spans="1:39">
      <c r="A1305" t="str">
        <f>IF(ISBLANK(Record!A1306),"",Record!A1306)</f>
        <v/>
      </c>
      <c r="B1305" t="str">
        <f>IF(ISBLANK(Record!B1306),"",Record!B1306)</f>
        <v/>
      </c>
      <c r="C1305" s="227" t="str">
        <f>IF(ISBLANK(Record!C1306),"",Record!C1306)</f>
        <v/>
      </c>
      <c r="D1305" t="str">
        <f>IF(ISBLANK(Record!D1306),"",Record!D1306)</f>
        <v/>
      </c>
      <c r="E1305" t="str">
        <f>IF(ISBLANK(Record!E1306),"",Record!E1306)</f>
        <v/>
      </c>
      <c r="M1305" t="str">
        <f t="shared" si="140"/>
        <v xml:space="preserve">          </v>
      </c>
      <c r="N1305" s="227" t="str">
        <f t="shared" si="141"/>
        <v/>
      </c>
      <c r="X1305" t="str">
        <f t="shared" si="142"/>
        <v xml:space="preserve">          </v>
      </c>
      <c r="Y1305" s="227" t="str">
        <f t="shared" si="143"/>
        <v/>
      </c>
      <c r="Z1305" t="str">
        <f t="shared" si="144"/>
        <v/>
      </c>
      <c r="AL1305" t="str">
        <f t="shared" si="145"/>
        <v/>
      </c>
      <c r="AM1305" t="str">
        <f t="shared" si="146"/>
        <v/>
      </c>
    </row>
    <row r="1306" spans="1:39">
      <c r="A1306" t="str">
        <f>IF(ISBLANK(Record!A1307),"",Record!A1307)</f>
        <v/>
      </c>
      <c r="B1306" t="str">
        <f>IF(ISBLANK(Record!B1307),"",Record!B1307)</f>
        <v/>
      </c>
      <c r="C1306" s="227" t="str">
        <f>IF(ISBLANK(Record!C1307),"",Record!C1307)</f>
        <v/>
      </c>
      <c r="D1306" t="str">
        <f>IF(ISBLANK(Record!D1307),"",Record!D1307)</f>
        <v/>
      </c>
      <c r="E1306" t="str">
        <f>IF(ISBLANK(Record!E1307),"",Record!E1307)</f>
        <v/>
      </c>
      <c r="M1306" t="str">
        <f t="shared" si="140"/>
        <v xml:space="preserve">          </v>
      </c>
      <c r="N1306" s="227" t="str">
        <f t="shared" si="141"/>
        <v/>
      </c>
      <c r="X1306" t="str">
        <f t="shared" si="142"/>
        <v xml:space="preserve">          </v>
      </c>
      <c r="Y1306" s="227" t="str">
        <f t="shared" si="143"/>
        <v/>
      </c>
      <c r="Z1306" t="str">
        <f t="shared" si="144"/>
        <v/>
      </c>
      <c r="AL1306" t="str">
        <f t="shared" si="145"/>
        <v/>
      </c>
      <c r="AM1306" t="str">
        <f t="shared" si="146"/>
        <v/>
      </c>
    </row>
    <row r="1307" spans="1:39">
      <c r="A1307" t="str">
        <f>IF(ISBLANK(Record!A1308),"",Record!A1308)</f>
        <v/>
      </c>
      <c r="B1307" t="str">
        <f>IF(ISBLANK(Record!B1308),"",Record!B1308)</f>
        <v/>
      </c>
      <c r="C1307" s="227" t="str">
        <f>IF(ISBLANK(Record!C1308),"",Record!C1308)</f>
        <v/>
      </c>
      <c r="D1307" t="str">
        <f>IF(ISBLANK(Record!D1308),"",Record!D1308)</f>
        <v/>
      </c>
      <c r="E1307" t="str">
        <f>IF(ISBLANK(Record!E1308),"",Record!E1308)</f>
        <v/>
      </c>
      <c r="M1307" t="str">
        <f t="shared" si="140"/>
        <v xml:space="preserve">          </v>
      </c>
      <c r="N1307" s="227" t="str">
        <f t="shared" si="141"/>
        <v/>
      </c>
      <c r="X1307" t="str">
        <f t="shared" si="142"/>
        <v xml:space="preserve">          </v>
      </c>
      <c r="Y1307" s="227" t="str">
        <f t="shared" si="143"/>
        <v/>
      </c>
      <c r="Z1307" t="str">
        <f t="shared" si="144"/>
        <v/>
      </c>
      <c r="AL1307" t="str">
        <f t="shared" si="145"/>
        <v/>
      </c>
      <c r="AM1307" t="str">
        <f t="shared" si="146"/>
        <v/>
      </c>
    </row>
    <row r="1308" spans="1:39">
      <c r="A1308" t="str">
        <f>IF(ISBLANK(Record!A1309),"",Record!A1309)</f>
        <v/>
      </c>
      <c r="B1308" t="str">
        <f>IF(ISBLANK(Record!B1309),"",Record!B1309)</f>
        <v/>
      </c>
      <c r="C1308" s="227" t="str">
        <f>IF(ISBLANK(Record!C1309),"",Record!C1309)</f>
        <v/>
      </c>
      <c r="D1308" t="str">
        <f>IF(ISBLANK(Record!D1309),"",Record!D1309)</f>
        <v/>
      </c>
      <c r="E1308" t="str">
        <f>IF(ISBLANK(Record!E1309),"",Record!E1309)</f>
        <v/>
      </c>
      <c r="M1308" t="str">
        <f t="shared" si="140"/>
        <v xml:space="preserve">          </v>
      </c>
      <c r="N1308" s="227" t="str">
        <f t="shared" si="141"/>
        <v/>
      </c>
      <c r="X1308" t="str">
        <f t="shared" si="142"/>
        <v xml:space="preserve">          </v>
      </c>
      <c r="Y1308" s="227" t="str">
        <f t="shared" si="143"/>
        <v/>
      </c>
      <c r="Z1308" t="str">
        <f t="shared" si="144"/>
        <v/>
      </c>
      <c r="AL1308" t="str">
        <f t="shared" si="145"/>
        <v/>
      </c>
      <c r="AM1308" t="str">
        <f t="shared" si="146"/>
        <v/>
      </c>
    </row>
    <row r="1309" spans="1:39">
      <c r="A1309" t="str">
        <f>IF(ISBLANK(Record!A1310),"",Record!A1310)</f>
        <v/>
      </c>
      <c r="B1309" t="str">
        <f>IF(ISBLANK(Record!B1310),"",Record!B1310)</f>
        <v/>
      </c>
      <c r="C1309" s="227" t="str">
        <f>IF(ISBLANK(Record!C1310),"",Record!C1310)</f>
        <v/>
      </c>
      <c r="D1309" t="str">
        <f>IF(ISBLANK(Record!D1310),"",Record!D1310)</f>
        <v/>
      </c>
      <c r="E1309" t="str">
        <f>IF(ISBLANK(Record!E1310),"",Record!E1310)</f>
        <v/>
      </c>
      <c r="M1309" t="str">
        <f t="shared" si="140"/>
        <v xml:space="preserve">          </v>
      </c>
      <c r="N1309" s="227" t="str">
        <f t="shared" si="141"/>
        <v/>
      </c>
      <c r="X1309" t="str">
        <f t="shared" si="142"/>
        <v xml:space="preserve">          </v>
      </c>
      <c r="Y1309" s="227" t="str">
        <f t="shared" si="143"/>
        <v/>
      </c>
      <c r="Z1309" t="str">
        <f t="shared" si="144"/>
        <v/>
      </c>
      <c r="AL1309" t="str">
        <f t="shared" si="145"/>
        <v/>
      </c>
      <c r="AM1309" t="str">
        <f t="shared" si="146"/>
        <v/>
      </c>
    </row>
    <row r="1310" spans="1:39">
      <c r="A1310" t="str">
        <f>IF(ISBLANK(Record!A1311),"",Record!A1311)</f>
        <v/>
      </c>
      <c r="B1310" t="str">
        <f>IF(ISBLANK(Record!B1311),"",Record!B1311)</f>
        <v/>
      </c>
      <c r="C1310" s="227" t="str">
        <f>IF(ISBLANK(Record!C1311),"",Record!C1311)</f>
        <v/>
      </c>
      <c r="D1310" t="str">
        <f>IF(ISBLANK(Record!D1311),"",Record!D1311)</f>
        <v/>
      </c>
      <c r="E1310" t="str">
        <f>IF(ISBLANK(Record!E1311),"",Record!E1311)</f>
        <v/>
      </c>
      <c r="M1310" t="str">
        <f t="shared" si="140"/>
        <v xml:space="preserve">          </v>
      </c>
      <c r="N1310" s="227" t="str">
        <f t="shared" si="141"/>
        <v/>
      </c>
      <c r="X1310" t="str">
        <f t="shared" si="142"/>
        <v xml:space="preserve">          </v>
      </c>
      <c r="Y1310" s="227" t="str">
        <f t="shared" si="143"/>
        <v/>
      </c>
      <c r="Z1310" t="str">
        <f t="shared" si="144"/>
        <v/>
      </c>
      <c r="AL1310" t="str">
        <f t="shared" si="145"/>
        <v/>
      </c>
      <c r="AM1310" t="str">
        <f t="shared" si="146"/>
        <v/>
      </c>
    </row>
    <row r="1311" spans="1:39">
      <c r="A1311" t="str">
        <f>IF(ISBLANK(Record!A1312),"",Record!A1312)</f>
        <v/>
      </c>
      <c r="B1311" t="str">
        <f>IF(ISBLANK(Record!B1312),"",Record!B1312)</f>
        <v/>
      </c>
      <c r="C1311" s="227" t="str">
        <f>IF(ISBLANK(Record!C1312),"",Record!C1312)</f>
        <v/>
      </c>
      <c r="D1311" t="str">
        <f>IF(ISBLANK(Record!D1312),"",Record!D1312)</f>
        <v/>
      </c>
      <c r="E1311" t="str">
        <f>IF(ISBLANK(Record!E1312),"",Record!E1312)</f>
        <v/>
      </c>
      <c r="M1311" t="str">
        <f t="shared" si="140"/>
        <v xml:space="preserve">          </v>
      </c>
      <c r="N1311" s="227" t="str">
        <f t="shared" si="141"/>
        <v/>
      </c>
      <c r="X1311" t="str">
        <f t="shared" si="142"/>
        <v xml:space="preserve">          </v>
      </c>
      <c r="Y1311" s="227" t="str">
        <f t="shared" si="143"/>
        <v/>
      </c>
      <c r="Z1311" t="str">
        <f t="shared" si="144"/>
        <v/>
      </c>
      <c r="AL1311" t="str">
        <f t="shared" si="145"/>
        <v/>
      </c>
      <c r="AM1311" t="str">
        <f t="shared" si="146"/>
        <v/>
      </c>
    </row>
    <row r="1312" spans="1:39">
      <c r="A1312" t="str">
        <f>IF(ISBLANK(Record!A1313),"",Record!A1313)</f>
        <v/>
      </c>
      <c r="B1312" t="str">
        <f>IF(ISBLANK(Record!B1313),"",Record!B1313)</f>
        <v/>
      </c>
      <c r="C1312" s="227" t="str">
        <f>IF(ISBLANK(Record!C1313),"",Record!C1313)</f>
        <v/>
      </c>
      <c r="D1312" t="str">
        <f>IF(ISBLANK(Record!D1313),"",Record!D1313)</f>
        <v/>
      </c>
      <c r="E1312" t="str">
        <f>IF(ISBLANK(Record!E1313),"",Record!E1313)</f>
        <v/>
      </c>
      <c r="M1312" t="str">
        <f t="shared" si="140"/>
        <v xml:space="preserve">          </v>
      </c>
      <c r="N1312" s="227" t="str">
        <f t="shared" si="141"/>
        <v/>
      </c>
      <c r="X1312" t="str">
        <f t="shared" si="142"/>
        <v xml:space="preserve">          </v>
      </c>
      <c r="Y1312" s="227" t="str">
        <f t="shared" si="143"/>
        <v/>
      </c>
      <c r="Z1312" t="str">
        <f t="shared" si="144"/>
        <v/>
      </c>
      <c r="AL1312" t="str">
        <f t="shared" si="145"/>
        <v/>
      </c>
      <c r="AM1312" t="str">
        <f t="shared" si="146"/>
        <v/>
      </c>
    </row>
    <row r="1313" spans="1:39">
      <c r="A1313" t="str">
        <f>IF(ISBLANK(Record!A1314),"",Record!A1314)</f>
        <v/>
      </c>
      <c r="B1313" t="str">
        <f>IF(ISBLANK(Record!B1314),"",Record!B1314)</f>
        <v/>
      </c>
      <c r="C1313" s="227" t="str">
        <f>IF(ISBLANK(Record!C1314),"",Record!C1314)</f>
        <v/>
      </c>
      <c r="D1313" t="str">
        <f>IF(ISBLANK(Record!D1314),"",Record!D1314)</f>
        <v/>
      </c>
      <c r="E1313" t="str">
        <f>IF(ISBLANK(Record!E1314),"",Record!E1314)</f>
        <v/>
      </c>
      <c r="M1313" t="str">
        <f t="shared" si="140"/>
        <v xml:space="preserve">          </v>
      </c>
      <c r="N1313" s="227" t="str">
        <f t="shared" si="141"/>
        <v/>
      </c>
      <c r="X1313" t="str">
        <f t="shared" si="142"/>
        <v xml:space="preserve">          </v>
      </c>
      <c r="Y1313" s="227" t="str">
        <f t="shared" si="143"/>
        <v/>
      </c>
      <c r="Z1313" t="str">
        <f t="shared" si="144"/>
        <v/>
      </c>
      <c r="AL1313" t="str">
        <f t="shared" si="145"/>
        <v/>
      </c>
      <c r="AM1313" t="str">
        <f t="shared" si="146"/>
        <v/>
      </c>
    </row>
    <row r="1314" spans="1:39">
      <c r="A1314" t="str">
        <f>IF(ISBLANK(Record!A1315),"",Record!A1315)</f>
        <v/>
      </c>
      <c r="B1314" t="str">
        <f>IF(ISBLANK(Record!B1315),"",Record!B1315)</f>
        <v/>
      </c>
      <c r="C1314" s="227" t="str">
        <f>IF(ISBLANK(Record!C1315),"",Record!C1315)</f>
        <v/>
      </c>
      <c r="D1314" t="str">
        <f>IF(ISBLANK(Record!D1315),"",Record!D1315)</f>
        <v/>
      </c>
      <c r="E1314" t="str">
        <f>IF(ISBLANK(Record!E1315),"",Record!E1315)</f>
        <v/>
      </c>
      <c r="M1314" t="str">
        <f t="shared" si="140"/>
        <v xml:space="preserve">          </v>
      </c>
      <c r="N1314" s="227" t="str">
        <f t="shared" si="141"/>
        <v/>
      </c>
      <c r="X1314" t="str">
        <f t="shared" si="142"/>
        <v xml:space="preserve">          </v>
      </c>
      <c r="Y1314" s="227" t="str">
        <f t="shared" si="143"/>
        <v/>
      </c>
      <c r="Z1314" t="str">
        <f t="shared" si="144"/>
        <v/>
      </c>
      <c r="AL1314" t="str">
        <f t="shared" si="145"/>
        <v/>
      </c>
      <c r="AM1314" t="str">
        <f t="shared" si="146"/>
        <v/>
      </c>
    </row>
    <row r="1315" spans="1:39">
      <c r="A1315" t="str">
        <f>IF(ISBLANK(Record!A1316),"",Record!A1316)</f>
        <v/>
      </c>
      <c r="B1315" t="str">
        <f>IF(ISBLANK(Record!B1316),"",Record!B1316)</f>
        <v/>
      </c>
      <c r="C1315" s="227" t="str">
        <f>IF(ISBLANK(Record!C1316),"",Record!C1316)</f>
        <v/>
      </c>
      <c r="D1315" t="str">
        <f>IF(ISBLANK(Record!D1316),"",Record!D1316)</f>
        <v/>
      </c>
      <c r="E1315" t="str">
        <f>IF(ISBLANK(Record!E1316),"",Record!E1316)</f>
        <v/>
      </c>
      <c r="M1315" t="str">
        <f t="shared" si="140"/>
        <v xml:space="preserve">          </v>
      </c>
      <c r="N1315" s="227" t="str">
        <f t="shared" si="141"/>
        <v/>
      </c>
      <c r="X1315" t="str">
        <f t="shared" si="142"/>
        <v xml:space="preserve">          </v>
      </c>
      <c r="Y1315" s="227" t="str">
        <f t="shared" si="143"/>
        <v/>
      </c>
      <c r="Z1315" t="str">
        <f t="shared" si="144"/>
        <v/>
      </c>
      <c r="AL1315" t="str">
        <f t="shared" si="145"/>
        <v/>
      </c>
      <c r="AM1315" t="str">
        <f t="shared" si="146"/>
        <v/>
      </c>
    </row>
    <row r="1316" spans="1:39">
      <c r="A1316" t="str">
        <f>IF(ISBLANK(Record!A1317),"",Record!A1317)</f>
        <v/>
      </c>
      <c r="B1316" t="str">
        <f>IF(ISBLANK(Record!B1317),"",Record!B1317)</f>
        <v/>
      </c>
      <c r="C1316" s="227" t="str">
        <f>IF(ISBLANK(Record!C1317),"",Record!C1317)</f>
        <v/>
      </c>
      <c r="D1316" t="str">
        <f>IF(ISBLANK(Record!D1317),"",Record!D1317)</f>
        <v/>
      </c>
      <c r="E1316" t="str">
        <f>IF(ISBLANK(Record!E1317),"",Record!E1317)</f>
        <v/>
      </c>
      <c r="M1316" t="str">
        <f t="shared" si="140"/>
        <v xml:space="preserve">          </v>
      </c>
      <c r="N1316" s="227" t="str">
        <f t="shared" si="141"/>
        <v/>
      </c>
      <c r="X1316" t="str">
        <f t="shared" si="142"/>
        <v xml:space="preserve">          </v>
      </c>
      <c r="Y1316" s="227" t="str">
        <f t="shared" si="143"/>
        <v/>
      </c>
      <c r="Z1316" t="str">
        <f t="shared" si="144"/>
        <v/>
      </c>
      <c r="AL1316" t="str">
        <f t="shared" si="145"/>
        <v/>
      </c>
      <c r="AM1316" t="str">
        <f t="shared" si="146"/>
        <v/>
      </c>
    </row>
    <row r="1317" spans="1:39">
      <c r="A1317" t="str">
        <f>IF(ISBLANK(Record!A1318),"",Record!A1318)</f>
        <v/>
      </c>
      <c r="B1317" t="str">
        <f>IF(ISBLANK(Record!B1318),"",Record!B1318)</f>
        <v/>
      </c>
      <c r="C1317" s="227" t="str">
        <f>IF(ISBLANK(Record!C1318),"",Record!C1318)</f>
        <v/>
      </c>
      <c r="D1317" t="str">
        <f>IF(ISBLANK(Record!D1318),"",Record!D1318)</f>
        <v/>
      </c>
      <c r="E1317" t="str">
        <f>IF(ISBLANK(Record!E1318),"",Record!E1318)</f>
        <v/>
      </c>
      <c r="M1317" t="str">
        <f t="shared" si="140"/>
        <v xml:space="preserve">          </v>
      </c>
      <c r="N1317" s="227" t="str">
        <f t="shared" si="141"/>
        <v/>
      </c>
      <c r="X1317" t="str">
        <f t="shared" si="142"/>
        <v xml:space="preserve">          </v>
      </c>
      <c r="Y1317" s="227" t="str">
        <f t="shared" si="143"/>
        <v/>
      </c>
      <c r="Z1317" t="str">
        <f t="shared" si="144"/>
        <v/>
      </c>
      <c r="AL1317" t="str">
        <f t="shared" si="145"/>
        <v/>
      </c>
      <c r="AM1317" t="str">
        <f t="shared" si="146"/>
        <v/>
      </c>
    </row>
    <row r="1318" spans="1:39">
      <c r="A1318" t="str">
        <f>IF(ISBLANK(Record!A1319),"",Record!A1319)</f>
        <v/>
      </c>
      <c r="B1318" t="str">
        <f>IF(ISBLANK(Record!B1319),"",Record!B1319)</f>
        <v/>
      </c>
      <c r="C1318" s="227" t="str">
        <f>IF(ISBLANK(Record!C1319),"",Record!C1319)</f>
        <v/>
      </c>
      <c r="D1318" t="str">
        <f>IF(ISBLANK(Record!D1319),"",Record!D1319)</f>
        <v/>
      </c>
      <c r="E1318" t="str">
        <f>IF(ISBLANK(Record!E1319),"",Record!E1319)</f>
        <v/>
      </c>
      <c r="M1318" t="str">
        <f t="shared" si="140"/>
        <v xml:space="preserve">          </v>
      </c>
      <c r="N1318" s="227" t="str">
        <f t="shared" si="141"/>
        <v/>
      </c>
      <c r="X1318" t="str">
        <f t="shared" si="142"/>
        <v xml:space="preserve">          </v>
      </c>
      <c r="Y1318" s="227" t="str">
        <f t="shared" si="143"/>
        <v/>
      </c>
      <c r="Z1318" t="str">
        <f t="shared" si="144"/>
        <v/>
      </c>
      <c r="AL1318" t="str">
        <f t="shared" si="145"/>
        <v/>
      </c>
      <c r="AM1318" t="str">
        <f t="shared" si="146"/>
        <v/>
      </c>
    </row>
    <row r="1319" spans="1:39">
      <c r="A1319" t="str">
        <f>IF(ISBLANK(Record!A1320),"",Record!A1320)</f>
        <v/>
      </c>
      <c r="B1319" t="str">
        <f>IF(ISBLANK(Record!B1320),"",Record!B1320)</f>
        <v/>
      </c>
      <c r="C1319" s="227" t="str">
        <f>IF(ISBLANK(Record!C1320),"",Record!C1320)</f>
        <v/>
      </c>
      <c r="D1319" t="str">
        <f>IF(ISBLANK(Record!D1320),"",Record!D1320)</f>
        <v/>
      </c>
      <c r="E1319" t="str">
        <f>IF(ISBLANK(Record!E1320),"",Record!E1320)</f>
        <v/>
      </c>
      <c r="M1319" t="str">
        <f t="shared" si="140"/>
        <v xml:space="preserve">          </v>
      </c>
      <c r="N1319" s="227" t="str">
        <f t="shared" si="141"/>
        <v/>
      </c>
      <c r="X1319" t="str">
        <f t="shared" si="142"/>
        <v xml:space="preserve">          </v>
      </c>
      <c r="Y1319" s="227" t="str">
        <f t="shared" si="143"/>
        <v/>
      </c>
      <c r="Z1319" t="str">
        <f t="shared" si="144"/>
        <v/>
      </c>
      <c r="AL1319" t="str">
        <f t="shared" si="145"/>
        <v/>
      </c>
      <c r="AM1319" t="str">
        <f t="shared" si="146"/>
        <v/>
      </c>
    </row>
    <row r="1320" spans="1:39">
      <c r="A1320" t="str">
        <f>IF(ISBLANK(Record!A1321),"",Record!A1321)</f>
        <v/>
      </c>
      <c r="B1320" t="str">
        <f>IF(ISBLANK(Record!B1321),"",Record!B1321)</f>
        <v/>
      </c>
      <c r="C1320" s="227" t="str">
        <f>IF(ISBLANK(Record!C1321),"",Record!C1321)</f>
        <v/>
      </c>
      <c r="D1320" t="str">
        <f>IF(ISBLANK(Record!D1321),"",Record!D1321)</f>
        <v/>
      </c>
      <c r="E1320" t="str">
        <f>IF(ISBLANK(Record!E1321),"",Record!E1321)</f>
        <v/>
      </c>
      <c r="M1320" t="str">
        <f t="shared" si="140"/>
        <v xml:space="preserve">          </v>
      </c>
      <c r="N1320" s="227" t="str">
        <f t="shared" si="141"/>
        <v/>
      </c>
      <c r="X1320" t="str">
        <f t="shared" si="142"/>
        <v xml:space="preserve">          </v>
      </c>
      <c r="Y1320" s="227" t="str">
        <f t="shared" si="143"/>
        <v/>
      </c>
      <c r="Z1320" t="str">
        <f t="shared" si="144"/>
        <v/>
      </c>
      <c r="AL1320" t="str">
        <f t="shared" si="145"/>
        <v/>
      </c>
      <c r="AM1320" t="str">
        <f t="shared" si="146"/>
        <v/>
      </c>
    </row>
    <row r="1321" spans="1:39">
      <c r="A1321" t="str">
        <f>IF(ISBLANK(Record!A1322),"",Record!A1322)</f>
        <v/>
      </c>
      <c r="B1321" t="str">
        <f>IF(ISBLANK(Record!B1322),"",Record!B1322)</f>
        <v/>
      </c>
      <c r="C1321" s="227" t="str">
        <f>IF(ISBLANK(Record!C1322),"",Record!C1322)</f>
        <v/>
      </c>
      <c r="D1321" t="str">
        <f>IF(ISBLANK(Record!D1322),"",Record!D1322)</f>
        <v/>
      </c>
      <c r="E1321" t="str">
        <f>IF(ISBLANK(Record!E1322),"",Record!E1322)</f>
        <v/>
      </c>
      <c r="M1321" t="str">
        <f t="shared" si="140"/>
        <v xml:space="preserve">          </v>
      </c>
      <c r="N1321" s="227" t="str">
        <f t="shared" si="141"/>
        <v/>
      </c>
      <c r="X1321" t="str">
        <f t="shared" si="142"/>
        <v xml:space="preserve">          </v>
      </c>
      <c r="Y1321" s="227" t="str">
        <f t="shared" si="143"/>
        <v/>
      </c>
      <c r="Z1321" t="str">
        <f t="shared" si="144"/>
        <v/>
      </c>
      <c r="AL1321" t="str">
        <f t="shared" si="145"/>
        <v/>
      </c>
      <c r="AM1321" t="str">
        <f t="shared" si="146"/>
        <v/>
      </c>
    </row>
    <row r="1322" spans="1:39">
      <c r="A1322" t="str">
        <f>IF(ISBLANK(Record!A1323),"",Record!A1323)</f>
        <v/>
      </c>
      <c r="B1322" t="str">
        <f>IF(ISBLANK(Record!B1323),"",Record!B1323)</f>
        <v/>
      </c>
      <c r="C1322" s="227" t="str">
        <f>IF(ISBLANK(Record!C1323),"",Record!C1323)</f>
        <v/>
      </c>
      <c r="D1322" t="str">
        <f>IF(ISBLANK(Record!D1323),"",Record!D1323)</f>
        <v/>
      </c>
      <c r="E1322" t="str">
        <f>IF(ISBLANK(Record!E1323),"",Record!E1323)</f>
        <v/>
      </c>
      <c r="M1322" t="str">
        <f t="shared" si="140"/>
        <v xml:space="preserve">          </v>
      </c>
      <c r="N1322" s="227" t="str">
        <f t="shared" si="141"/>
        <v/>
      </c>
      <c r="X1322" t="str">
        <f t="shared" si="142"/>
        <v xml:space="preserve">          </v>
      </c>
      <c r="Y1322" s="227" t="str">
        <f t="shared" si="143"/>
        <v/>
      </c>
      <c r="Z1322" t="str">
        <f t="shared" si="144"/>
        <v/>
      </c>
      <c r="AL1322" t="str">
        <f t="shared" si="145"/>
        <v/>
      </c>
      <c r="AM1322" t="str">
        <f t="shared" si="146"/>
        <v/>
      </c>
    </row>
    <row r="1323" spans="1:39">
      <c r="A1323" t="str">
        <f>IF(ISBLANK(Record!A1324),"",Record!A1324)</f>
        <v/>
      </c>
      <c r="B1323" t="str">
        <f>IF(ISBLANK(Record!B1324),"",Record!B1324)</f>
        <v/>
      </c>
      <c r="C1323" s="227" t="str">
        <f>IF(ISBLANK(Record!C1324),"",Record!C1324)</f>
        <v/>
      </c>
      <c r="D1323" t="str">
        <f>IF(ISBLANK(Record!D1324),"",Record!D1324)</f>
        <v/>
      </c>
      <c r="E1323" t="str">
        <f>IF(ISBLANK(Record!E1324),"",Record!E1324)</f>
        <v/>
      </c>
      <c r="M1323" t="str">
        <f t="shared" si="140"/>
        <v xml:space="preserve">          </v>
      </c>
      <c r="N1323" s="227" t="str">
        <f t="shared" si="141"/>
        <v/>
      </c>
      <c r="X1323" t="str">
        <f t="shared" si="142"/>
        <v xml:space="preserve">          </v>
      </c>
      <c r="Y1323" s="227" t="str">
        <f t="shared" si="143"/>
        <v/>
      </c>
      <c r="Z1323" t="str">
        <f t="shared" si="144"/>
        <v/>
      </c>
      <c r="AL1323" t="str">
        <f t="shared" si="145"/>
        <v/>
      </c>
      <c r="AM1323" t="str">
        <f t="shared" si="146"/>
        <v/>
      </c>
    </row>
    <row r="1324" spans="1:39">
      <c r="A1324" t="str">
        <f>IF(ISBLANK(Record!A1325),"",Record!A1325)</f>
        <v/>
      </c>
      <c r="B1324" t="str">
        <f>IF(ISBLANK(Record!B1325),"",Record!B1325)</f>
        <v/>
      </c>
      <c r="C1324" s="227" t="str">
        <f>IF(ISBLANK(Record!C1325),"",Record!C1325)</f>
        <v/>
      </c>
      <c r="D1324" t="str">
        <f>IF(ISBLANK(Record!D1325),"",Record!D1325)</f>
        <v/>
      </c>
      <c r="E1324" t="str">
        <f>IF(ISBLANK(Record!E1325),"",Record!E1325)</f>
        <v/>
      </c>
      <c r="M1324" t="str">
        <f t="shared" si="140"/>
        <v xml:space="preserve">          </v>
      </c>
      <c r="N1324" s="227" t="str">
        <f t="shared" si="141"/>
        <v/>
      </c>
      <c r="X1324" t="str">
        <f t="shared" si="142"/>
        <v xml:space="preserve">          </v>
      </c>
      <c r="Y1324" s="227" t="str">
        <f t="shared" si="143"/>
        <v/>
      </c>
      <c r="Z1324" t="str">
        <f t="shared" si="144"/>
        <v/>
      </c>
      <c r="AL1324" t="str">
        <f t="shared" si="145"/>
        <v/>
      </c>
      <c r="AM1324" t="str">
        <f t="shared" si="146"/>
        <v/>
      </c>
    </row>
    <row r="1325" spans="1:39">
      <c r="A1325" t="str">
        <f>IF(ISBLANK(Record!A1326),"",Record!A1326)</f>
        <v/>
      </c>
      <c r="B1325" t="str">
        <f>IF(ISBLANK(Record!B1326),"",Record!B1326)</f>
        <v/>
      </c>
      <c r="C1325" s="227" t="str">
        <f>IF(ISBLANK(Record!C1326),"",Record!C1326)</f>
        <v/>
      </c>
      <c r="D1325" t="str">
        <f>IF(ISBLANK(Record!D1326),"",Record!D1326)</f>
        <v/>
      </c>
      <c r="E1325" t="str">
        <f>IF(ISBLANK(Record!E1326),"",Record!E1326)</f>
        <v/>
      </c>
      <c r="M1325" t="str">
        <f t="shared" si="140"/>
        <v xml:space="preserve">          </v>
      </c>
      <c r="N1325" s="227" t="str">
        <f t="shared" si="141"/>
        <v/>
      </c>
      <c r="X1325" t="str">
        <f t="shared" si="142"/>
        <v xml:space="preserve">          </v>
      </c>
      <c r="Y1325" s="227" t="str">
        <f t="shared" si="143"/>
        <v/>
      </c>
      <c r="Z1325" t="str">
        <f t="shared" si="144"/>
        <v/>
      </c>
      <c r="AL1325" t="str">
        <f t="shared" si="145"/>
        <v/>
      </c>
      <c r="AM1325" t="str">
        <f t="shared" si="146"/>
        <v/>
      </c>
    </row>
    <row r="1326" spans="1:39">
      <c r="A1326" t="str">
        <f>IF(ISBLANK(Record!A1327),"",Record!A1327)</f>
        <v/>
      </c>
      <c r="B1326" t="str">
        <f>IF(ISBLANK(Record!B1327),"",Record!B1327)</f>
        <v/>
      </c>
      <c r="C1326" s="227" t="str">
        <f>IF(ISBLANK(Record!C1327),"",Record!C1327)</f>
        <v/>
      </c>
      <c r="D1326" t="str">
        <f>IF(ISBLANK(Record!D1327),"",Record!D1327)</f>
        <v/>
      </c>
      <c r="E1326" t="str">
        <f>IF(ISBLANK(Record!E1327),"",Record!E1327)</f>
        <v/>
      </c>
      <c r="M1326" t="str">
        <f t="shared" si="140"/>
        <v xml:space="preserve">          </v>
      </c>
      <c r="N1326" s="227" t="str">
        <f t="shared" si="141"/>
        <v/>
      </c>
      <c r="X1326" t="str">
        <f t="shared" si="142"/>
        <v xml:space="preserve">          </v>
      </c>
      <c r="Y1326" s="227" t="str">
        <f t="shared" si="143"/>
        <v/>
      </c>
      <c r="Z1326" t="str">
        <f t="shared" si="144"/>
        <v/>
      </c>
      <c r="AL1326" t="str">
        <f t="shared" si="145"/>
        <v/>
      </c>
      <c r="AM1326" t="str">
        <f t="shared" si="146"/>
        <v/>
      </c>
    </row>
    <row r="1327" spans="1:39">
      <c r="A1327" t="str">
        <f>IF(ISBLANK(Record!A1328),"",Record!A1328)</f>
        <v/>
      </c>
      <c r="B1327" t="str">
        <f>IF(ISBLANK(Record!B1328),"",Record!B1328)</f>
        <v/>
      </c>
      <c r="C1327" s="227" t="str">
        <f>IF(ISBLANK(Record!C1328),"",Record!C1328)</f>
        <v/>
      </c>
      <c r="D1327" t="str">
        <f>IF(ISBLANK(Record!D1328),"",Record!D1328)</f>
        <v/>
      </c>
      <c r="E1327" t="str">
        <f>IF(ISBLANK(Record!E1328),"",Record!E1328)</f>
        <v/>
      </c>
      <c r="M1327" t="str">
        <f t="shared" si="140"/>
        <v xml:space="preserve">          </v>
      </c>
      <c r="N1327" s="227" t="str">
        <f t="shared" si="141"/>
        <v/>
      </c>
      <c r="X1327" t="str">
        <f t="shared" si="142"/>
        <v xml:space="preserve">          </v>
      </c>
      <c r="Y1327" s="227" t="str">
        <f t="shared" si="143"/>
        <v/>
      </c>
      <c r="Z1327" t="str">
        <f t="shared" si="144"/>
        <v/>
      </c>
      <c r="AL1327" t="str">
        <f t="shared" si="145"/>
        <v/>
      </c>
      <c r="AM1327" t="str">
        <f t="shared" si="146"/>
        <v/>
      </c>
    </row>
    <row r="1328" spans="1:39">
      <c r="A1328" t="str">
        <f>IF(ISBLANK(Record!A1329),"",Record!A1329)</f>
        <v/>
      </c>
      <c r="B1328" t="str">
        <f>IF(ISBLANK(Record!B1329),"",Record!B1329)</f>
        <v/>
      </c>
      <c r="C1328" s="227" t="str">
        <f>IF(ISBLANK(Record!C1329),"",Record!C1329)</f>
        <v/>
      </c>
      <c r="D1328" t="str">
        <f>IF(ISBLANK(Record!D1329),"",Record!D1329)</f>
        <v/>
      </c>
      <c r="E1328" t="str">
        <f>IF(ISBLANK(Record!E1329),"",Record!E1329)</f>
        <v/>
      </c>
      <c r="M1328" t="str">
        <f t="shared" si="140"/>
        <v xml:space="preserve">          </v>
      </c>
      <c r="N1328" s="227" t="str">
        <f t="shared" si="141"/>
        <v/>
      </c>
      <c r="X1328" t="str">
        <f t="shared" si="142"/>
        <v xml:space="preserve">          </v>
      </c>
      <c r="Y1328" s="227" t="str">
        <f t="shared" si="143"/>
        <v/>
      </c>
      <c r="Z1328" t="str">
        <f t="shared" si="144"/>
        <v/>
      </c>
      <c r="AL1328" t="str">
        <f t="shared" si="145"/>
        <v/>
      </c>
      <c r="AM1328" t="str">
        <f t="shared" si="146"/>
        <v/>
      </c>
    </row>
    <row r="1329" spans="1:39">
      <c r="A1329" t="str">
        <f>IF(ISBLANK(Record!A1330),"",Record!A1330)</f>
        <v/>
      </c>
      <c r="B1329" t="str">
        <f>IF(ISBLANK(Record!B1330),"",Record!B1330)</f>
        <v/>
      </c>
      <c r="C1329" s="227" t="str">
        <f>IF(ISBLANK(Record!C1330),"",Record!C1330)</f>
        <v/>
      </c>
      <c r="D1329" t="str">
        <f>IF(ISBLANK(Record!D1330),"",Record!D1330)</f>
        <v/>
      </c>
      <c r="E1329" t="str">
        <f>IF(ISBLANK(Record!E1330),"",Record!E1330)</f>
        <v/>
      </c>
      <c r="M1329" t="str">
        <f t="shared" si="140"/>
        <v xml:space="preserve">          </v>
      </c>
      <c r="N1329" s="227" t="str">
        <f t="shared" si="141"/>
        <v/>
      </c>
      <c r="X1329" t="str">
        <f t="shared" si="142"/>
        <v xml:space="preserve">          </v>
      </c>
      <c r="Y1329" s="227" t="str">
        <f t="shared" si="143"/>
        <v/>
      </c>
      <c r="Z1329" t="str">
        <f t="shared" si="144"/>
        <v/>
      </c>
      <c r="AL1329" t="str">
        <f t="shared" si="145"/>
        <v/>
      </c>
      <c r="AM1329" t="str">
        <f t="shared" si="146"/>
        <v/>
      </c>
    </row>
    <row r="1330" spans="1:39">
      <c r="A1330" t="str">
        <f>IF(ISBLANK(Record!A1331),"",Record!A1331)</f>
        <v/>
      </c>
      <c r="B1330" t="str">
        <f>IF(ISBLANK(Record!B1331),"",Record!B1331)</f>
        <v/>
      </c>
      <c r="C1330" s="227" t="str">
        <f>IF(ISBLANK(Record!C1331),"",Record!C1331)</f>
        <v/>
      </c>
      <c r="D1330" t="str">
        <f>IF(ISBLANK(Record!D1331),"",Record!D1331)</f>
        <v/>
      </c>
      <c r="E1330" t="str">
        <f>IF(ISBLANK(Record!E1331),"",Record!E1331)</f>
        <v/>
      </c>
      <c r="M1330" t="str">
        <f t="shared" si="140"/>
        <v xml:space="preserve">          </v>
      </c>
      <c r="N1330" s="227" t="str">
        <f t="shared" si="141"/>
        <v/>
      </c>
      <c r="X1330" t="str">
        <f t="shared" si="142"/>
        <v xml:space="preserve">          </v>
      </c>
      <c r="Y1330" s="227" t="str">
        <f t="shared" si="143"/>
        <v/>
      </c>
      <c r="Z1330" t="str">
        <f t="shared" si="144"/>
        <v/>
      </c>
      <c r="AL1330" t="str">
        <f t="shared" si="145"/>
        <v/>
      </c>
      <c r="AM1330" t="str">
        <f t="shared" si="146"/>
        <v/>
      </c>
    </row>
    <row r="1331" spans="1:39">
      <c r="A1331" t="str">
        <f>IF(ISBLANK(Record!A1332),"",Record!A1332)</f>
        <v/>
      </c>
      <c r="B1331" t="str">
        <f>IF(ISBLANK(Record!B1332),"",Record!B1332)</f>
        <v/>
      </c>
      <c r="C1331" s="227" t="str">
        <f>IF(ISBLANK(Record!C1332),"",Record!C1332)</f>
        <v/>
      </c>
      <c r="D1331" t="str">
        <f>IF(ISBLANK(Record!D1332),"",Record!D1332)</f>
        <v/>
      </c>
      <c r="E1331" t="str">
        <f>IF(ISBLANK(Record!E1332),"",Record!E1332)</f>
        <v/>
      </c>
      <c r="M1331" t="str">
        <f t="shared" si="140"/>
        <v xml:space="preserve">          </v>
      </c>
      <c r="N1331" s="227" t="str">
        <f t="shared" si="141"/>
        <v/>
      </c>
      <c r="X1331" t="str">
        <f t="shared" si="142"/>
        <v xml:space="preserve">          </v>
      </c>
      <c r="Y1331" s="227" t="str">
        <f t="shared" si="143"/>
        <v/>
      </c>
      <c r="Z1331" t="str">
        <f t="shared" si="144"/>
        <v/>
      </c>
      <c r="AL1331" t="str">
        <f t="shared" si="145"/>
        <v/>
      </c>
      <c r="AM1331" t="str">
        <f t="shared" si="146"/>
        <v/>
      </c>
    </row>
    <row r="1332" spans="1:39">
      <c r="A1332" t="str">
        <f>IF(ISBLANK(Record!A1333),"",Record!A1333)</f>
        <v/>
      </c>
      <c r="B1332" t="str">
        <f>IF(ISBLANK(Record!B1333),"",Record!B1333)</f>
        <v/>
      </c>
      <c r="C1332" s="227" t="str">
        <f>IF(ISBLANK(Record!C1333),"",Record!C1333)</f>
        <v/>
      </c>
      <c r="D1332" t="str">
        <f>IF(ISBLANK(Record!D1333),"",Record!D1333)</f>
        <v/>
      </c>
      <c r="E1332" t="str">
        <f>IF(ISBLANK(Record!E1333),"",Record!E1333)</f>
        <v/>
      </c>
      <c r="M1332" t="str">
        <f t="shared" si="140"/>
        <v xml:space="preserve">          </v>
      </c>
      <c r="N1332" s="227" t="str">
        <f t="shared" si="141"/>
        <v/>
      </c>
      <c r="X1332" t="str">
        <f t="shared" si="142"/>
        <v xml:space="preserve">          </v>
      </c>
      <c r="Y1332" s="227" t="str">
        <f t="shared" si="143"/>
        <v/>
      </c>
      <c r="Z1332" t="str">
        <f t="shared" si="144"/>
        <v/>
      </c>
      <c r="AL1332" t="str">
        <f t="shared" si="145"/>
        <v/>
      </c>
      <c r="AM1332" t="str">
        <f t="shared" si="146"/>
        <v/>
      </c>
    </row>
    <row r="1333" spans="1:39">
      <c r="A1333" t="str">
        <f>IF(ISBLANK(Record!A1334),"",Record!A1334)</f>
        <v/>
      </c>
      <c r="B1333" t="str">
        <f>IF(ISBLANK(Record!B1334),"",Record!B1334)</f>
        <v/>
      </c>
      <c r="C1333" s="227" t="str">
        <f>IF(ISBLANK(Record!C1334),"",Record!C1334)</f>
        <v/>
      </c>
      <c r="D1333" t="str">
        <f>IF(ISBLANK(Record!D1334),"",Record!D1334)</f>
        <v/>
      </c>
      <c r="E1333" t="str">
        <f>IF(ISBLANK(Record!E1334),"",Record!E1334)</f>
        <v/>
      </c>
      <c r="M1333" t="str">
        <f t="shared" si="140"/>
        <v xml:space="preserve">          </v>
      </c>
      <c r="N1333" s="227" t="str">
        <f t="shared" si="141"/>
        <v/>
      </c>
      <c r="X1333" t="str">
        <f t="shared" si="142"/>
        <v xml:space="preserve">          </v>
      </c>
      <c r="Y1333" s="227" t="str">
        <f t="shared" si="143"/>
        <v/>
      </c>
      <c r="Z1333" t="str">
        <f t="shared" si="144"/>
        <v/>
      </c>
      <c r="AL1333" t="str">
        <f t="shared" si="145"/>
        <v/>
      </c>
      <c r="AM1333" t="str">
        <f t="shared" si="146"/>
        <v/>
      </c>
    </row>
    <row r="1334" spans="1:39">
      <c r="A1334" t="str">
        <f>IF(ISBLANK(Record!A1335),"",Record!A1335)</f>
        <v/>
      </c>
      <c r="B1334" t="str">
        <f>IF(ISBLANK(Record!B1335),"",Record!B1335)</f>
        <v/>
      </c>
      <c r="C1334" s="227" t="str">
        <f>IF(ISBLANK(Record!C1335),"",Record!C1335)</f>
        <v/>
      </c>
      <c r="D1334" t="str">
        <f>IF(ISBLANK(Record!D1335),"",Record!D1335)</f>
        <v/>
      </c>
      <c r="E1334" t="str">
        <f>IF(ISBLANK(Record!E1335),"",Record!E1335)</f>
        <v/>
      </c>
      <c r="M1334" t="str">
        <f t="shared" si="140"/>
        <v xml:space="preserve">          </v>
      </c>
      <c r="N1334" s="227" t="str">
        <f t="shared" si="141"/>
        <v/>
      </c>
      <c r="X1334" t="str">
        <f t="shared" si="142"/>
        <v xml:space="preserve">          </v>
      </c>
      <c r="Y1334" s="227" t="str">
        <f t="shared" si="143"/>
        <v/>
      </c>
      <c r="Z1334" t="str">
        <f t="shared" si="144"/>
        <v/>
      </c>
      <c r="AL1334" t="str">
        <f t="shared" si="145"/>
        <v/>
      </c>
      <c r="AM1334" t="str">
        <f t="shared" si="146"/>
        <v/>
      </c>
    </row>
    <row r="1335" spans="1:39">
      <c r="A1335" t="str">
        <f>IF(ISBLANK(Record!A1336),"",Record!A1336)</f>
        <v/>
      </c>
      <c r="B1335" t="str">
        <f>IF(ISBLANK(Record!B1336),"",Record!B1336)</f>
        <v/>
      </c>
      <c r="C1335" s="227" t="str">
        <f>IF(ISBLANK(Record!C1336),"",Record!C1336)</f>
        <v/>
      </c>
      <c r="D1335" t="str">
        <f>IF(ISBLANK(Record!D1336),"",Record!D1336)</f>
        <v/>
      </c>
      <c r="E1335" t="str">
        <f>IF(ISBLANK(Record!E1336),"",Record!E1336)</f>
        <v/>
      </c>
      <c r="M1335" t="str">
        <f t="shared" si="140"/>
        <v xml:space="preserve">          </v>
      </c>
      <c r="N1335" s="227" t="str">
        <f t="shared" si="141"/>
        <v/>
      </c>
      <c r="X1335" t="str">
        <f t="shared" si="142"/>
        <v xml:space="preserve">          </v>
      </c>
      <c r="Y1335" s="227" t="str">
        <f t="shared" si="143"/>
        <v/>
      </c>
      <c r="Z1335" t="str">
        <f t="shared" si="144"/>
        <v/>
      </c>
      <c r="AL1335" t="str">
        <f t="shared" si="145"/>
        <v/>
      </c>
      <c r="AM1335" t="str">
        <f t="shared" si="146"/>
        <v/>
      </c>
    </row>
    <row r="1336" spans="1:39">
      <c r="A1336" t="str">
        <f>IF(ISBLANK(Record!A1337),"",Record!A1337)</f>
        <v/>
      </c>
      <c r="B1336" t="str">
        <f>IF(ISBLANK(Record!B1337),"",Record!B1337)</f>
        <v/>
      </c>
      <c r="C1336" s="227" t="str">
        <f>IF(ISBLANK(Record!C1337),"",Record!C1337)</f>
        <v/>
      </c>
      <c r="D1336" t="str">
        <f>IF(ISBLANK(Record!D1337),"",Record!D1337)</f>
        <v/>
      </c>
      <c r="E1336" t="str">
        <f>IF(ISBLANK(Record!E1337),"",Record!E1337)</f>
        <v/>
      </c>
      <c r="M1336" t="str">
        <f t="shared" si="140"/>
        <v xml:space="preserve">          </v>
      </c>
      <c r="N1336" s="227" t="str">
        <f t="shared" si="141"/>
        <v/>
      </c>
      <c r="X1336" t="str">
        <f t="shared" si="142"/>
        <v xml:space="preserve">          </v>
      </c>
      <c r="Y1336" s="227" t="str">
        <f t="shared" si="143"/>
        <v/>
      </c>
      <c r="Z1336" t="str">
        <f t="shared" si="144"/>
        <v/>
      </c>
      <c r="AL1336" t="str">
        <f t="shared" si="145"/>
        <v/>
      </c>
      <c r="AM1336" t="str">
        <f t="shared" si="146"/>
        <v/>
      </c>
    </row>
    <row r="1337" spans="1:39">
      <c r="A1337" t="str">
        <f>IF(ISBLANK(Record!A1338),"",Record!A1338)</f>
        <v/>
      </c>
      <c r="B1337" t="str">
        <f>IF(ISBLANK(Record!B1338),"",Record!B1338)</f>
        <v/>
      </c>
      <c r="C1337" s="227" t="str">
        <f>IF(ISBLANK(Record!C1338),"",Record!C1338)</f>
        <v/>
      </c>
      <c r="D1337" t="str">
        <f>IF(ISBLANK(Record!D1338),"",Record!D1338)</f>
        <v/>
      </c>
      <c r="E1337" t="str">
        <f>IF(ISBLANK(Record!E1338),"",Record!E1338)</f>
        <v/>
      </c>
      <c r="M1337" t="str">
        <f t="shared" si="140"/>
        <v xml:space="preserve">          </v>
      </c>
      <c r="N1337" s="227" t="str">
        <f t="shared" si="141"/>
        <v/>
      </c>
      <c r="X1337" t="str">
        <f t="shared" si="142"/>
        <v xml:space="preserve">          </v>
      </c>
      <c r="Y1337" s="227" t="str">
        <f t="shared" si="143"/>
        <v/>
      </c>
      <c r="Z1337" t="str">
        <f t="shared" si="144"/>
        <v/>
      </c>
      <c r="AL1337" t="str">
        <f t="shared" si="145"/>
        <v/>
      </c>
      <c r="AM1337" t="str">
        <f t="shared" si="146"/>
        <v/>
      </c>
    </row>
    <row r="1338" spans="1:39">
      <c r="A1338" t="str">
        <f>IF(ISBLANK(Record!A1339),"",Record!A1339)</f>
        <v/>
      </c>
      <c r="B1338" t="str">
        <f>IF(ISBLANK(Record!B1339),"",Record!B1339)</f>
        <v/>
      </c>
      <c r="C1338" s="227" t="str">
        <f>IF(ISBLANK(Record!C1339),"",Record!C1339)</f>
        <v/>
      </c>
      <c r="D1338" t="str">
        <f>IF(ISBLANK(Record!D1339),"",Record!D1339)</f>
        <v/>
      </c>
      <c r="E1338" t="str">
        <f>IF(ISBLANK(Record!E1339),"",Record!E1339)</f>
        <v/>
      </c>
      <c r="M1338" t="str">
        <f t="shared" si="140"/>
        <v xml:space="preserve">          </v>
      </c>
      <c r="N1338" s="227" t="str">
        <f t="shared" si="141"/>
        <v/>
      </c>
      <c r="X1338" t="str">
        <f t="shared" si="142"/>
        <v xml:space="preserve">          </v>
      </c>
      <c r="Y1338" s="227" t="str">
        <f t="shared" si="143"/>
        <v/>
      </c>
      <c r="Z1338" t="str">
        <f t="shared" si="144"/>
        <v/>
      </c>
      <c r="AL1338" t="str">
        <f t="shared" si="145"/>
        <v/>
      </c>
      <c r="AM1338" t="str">
        <f t="shared" si="146"/>
        <v/>
      </c>
    </row>
    <row r="1339" spans="1:39">
      <c r="A1339" t="str">
        <f>IF(ISBLANK(Record!A1340),"",Record!A1340)</f>
        <v/>
      </c>
      <c r="B1339" t="str">
        <f>IF(ISBLANK(Record!B1340),"",Record!B1340)</f>
        <v/>
      </c>
      <c r="C1339" s="227" t="str">
        <f>IF(ISBLANK(Record!C1340),"",Record!C1340)</f>
        <v/>
      </c>
      <c r="D1339" t="str">
        <f>IF(ISBLANK(Record!D1340),"",Record!D1340)</f>
        <v/>
      </c>
      <c r="E1339" t="str">
        <f>IF(ISBLANK(Record!E1340),"",Record!E1340)</f>
        <v/>
      </c>
      <c r="M1339" t="str">
        <f t="shared" si="140"/>
        <v xml:space="preserve">          </v>
      </c>
      <c r="N1339" s="227" t="str">
        <f t="shared" si="141"/>
        <v/>
      </c>
      <c r="X1339" t="str">
        <f t="shared" si="142"/>
        <v xml:space="preserve">          </v>
      </c>
      <c r="Y1339" s="227" t="str">
        <f t="shared" si="143"/>
        <v/>
      </c>
      <c r="Z1339" t="str">
        <f t="shared" si="144"/>
        <v/>
      </c>
      <c r="AL1339" t="str">
        <f t="shared" si="145"/>
        <v/>
      </c>
      <c r="AM1339" t="str">
        <f t="shared" si="146"/>
        <v/>
      </c>
    </row>
    <row r="1340" spans="1:39">
      <c r="A1340" t="str">
        <f>IF(ISBLANK(Record!A1341),"",Record!A1341)</f>
        <v/>
      </c>
      <c r="B1340" t="str">
        <f>IF(ISBLANK(Record!B1341),"",Record!B1341)</f>
        <v/>
      </c>
      <c r="C1340" s="227" t="str">
        <f>IF(ISBLANK(Record!C1341),"",Record!C1341)</f>
        <v/>
      </c>
      <c r="D1340" t="str">
        <f>IF(ISBLANK(Record!D1341),"",Record!D1341)</f>
        <v/>
      </c>
      <c r="E1340" t="str">
        <f>IF(ISBLANK(Record!E1341),"",Record!E1341)</f>
        <v/>
      </c>
      <c r="M1340" t="str">
        <f t="shared" si="140"/>
        <v xml:space="preserve">          </v>
      </c>
      <c r="N1340" s="227" t="str">
        <f t="shared" si="141"/>
        <v/>
      </c>
      <c r="X1340" t="str">
        <f t="shared" si="142"/>
        <v xml:space="preserve">          </v>
      </c>
      <c r="Y1340" s="227" t="str">
        <f t="shared" si="143"/>
        <v/>
      </c>
      <c r="Z1340" t="str">
        <f t="shared" si="144"/>
        <v/>
      </c>
      <c r="AL1340" t="str">
        <f t="shared" si="145"/>
        <v/>
      </c>
      <c r="AM1340" t="str">
        <f t="shared" si="146"/>
        <v/>
      </c>
    </row>
    <row r="1341" spans="1:39">
      <c r="A1341" t="str">
        <f>IF(ISBLANK(Record!A1342),"",Record!A1342)</f>
        <v/>
      </c>
      <c r="B1341" t="str">
        <f>IF(ISBLANK(Record!B1342),"",Record!B1342)</f>
        <v/>
      </c>
      <c r="C1341" s="227" t="str">
        <f>IF(ISBLANK(Record!C1342),"",Record!C1342)</f>
        <v/>
      </c>
      <c r="D1341" t="str">
        <f>IF(ISBLANK(Record!D1342),"",Record!D1342)</f>
        <v/>
      </c>
      <c r="E1341" t="str">
        <f>IF(ISBLANK(Record!E1342),"",Record!E1342)</f>
        <v/>
      </c>
      <c r="M1341" t="str">
        <f t="shared" si="140"/>
        <v xml:space="preserve">          </v>
      </c>
      <c r="N1341" s="227" t="str">
        <f t="shared" si="141"/>
        <v/>
      </c>
      <c r="X1341" t="str">
        <f t="shared" si="142"/>
        <v xml:space="preserve">          </v>
      </c>
      <c r="Y1341" s="227" t="str">
        <f t="shared" si="143"/>
        <v/>
      </c>
      <c r="Z1341" t="str">
        <f t="shared" si="144"/>
        <v/>
      </c>
      <c r="AL1341" t="str">
        <f t="shared" si="145"/>
        <v/>
      </c>
      <c r="AM1341" t="str">
        <f t="shared" si="146"/>
        <v/>
      </c>
    </row>
    <row r="1342" spans="1:39">
      <c r="A1342" t="str">
        <f>IF(ISBLANK(Record!A1343),"",Record!A1343)</f>
        <v/>
      </c>
      <c r="B1342" t="str">
        <f>IF(ISBLANK(Record!B1343),"",Record!B1343)</f>
        <v/>
      </c>
      <c r="C1342" s="227" t="str">
        <f>IF(ISBLANK(Record!C1343),"",Record!C1343)</f>
        <v/>
      </c>
      <c r="D1342" t="str">
        <f>IF(ISBLANK(Record!D1343),"",Record!D1343)</f>
        <v/>
      </c>
      <c r="E1342" t="str">
        <f>IF(ISBLANK(Record!E1343),"",Record!E1343)</f>
        <v/>
      </c>
      <c r="M1342" t="str">
        <f t="shared" si="140"/>
        <v xml:space="preserve">          </v>
      </c>
      <c r="N1342" s="227" t="str">
        <f t="shared" si="141"/>
        <v/>
      </c>
      <c r="X1342" t="str">
        <f t="shared" si="142"/>
        <v xml:space="preserve">          </v>
      </c>
      <c r="Y1342" s="227" t="str">
        <f t="shared" si="143"/>
        <v/>
      </c>
      <c r="Z1342" t="str">
        <f t="shared" si="144"/>
        <v/>
      </c>
      <c r="AL1342" t="str">
        <f t="shared" si="145"/>
        <v/>
      </c>
      <c r="AM1342" t="str">
        <f t="shared" si="146"/>
        <v/>
      </c>
    </row>
    <row r="1343" spans="1:39">
      <c r="A1343" t="str">
        <f>IF(ISBLANK(Record!A1344),"",Record!A1344)</f>
        <v/>
      </c>
      <c r="B1343" t="str">
        <f>IF(ISBLANK(Record!B1344),"",Record!B1344)</f>
        <v/>
      </c>
      <c r="C1343" s="227" t="str">
        <f>IF(ISBLANK(Record!C1344),"",Record!C1344)</f>
        <v/>
      </c>
      <c r="D1343" t="str">
        <f>IF(ISBLANK(Record!D1344),"",Record!D1344)</f>
        <v/>
      </c>
      <c r="E1343" t="str">
        <f>IF(ISBLANK(Record!E1344),"",Record!E1344)</f>
        <v/>
      </c>
      <c r="M1343" t="str">
        <f t="shared" si="140"/>
        <v xml:space="preserve">          </v>
      </c>
      <c r="N1343" s="227" t="str">
        <f t="shared" si="141"/>
        <v/>
      </c>
      <c r="X1343" t="str">
        <f t="shared" si="142"/>
        <v xml:space="preserve">          </v>
      </c>
      <c r="Y1343" s="227" t="str">
        <f t="shared" si="143"/>
        <v/>
      </c>
      <c r="Z1343" t="str">
        <f t="shared" si="144"/>
        <v/>
      </c>
      <c r="AL1343" t="str">
        <f t="shared" si="145"/>
        <v/>
      </c>
      <c r="AM1343" t="str">
        <f t="shared" si="146"/>
        <v/>
      </c>
    </row>
    <row r="1344" spans="1:39">
      <c r="A1344" t="str">
        <f>IF(ISBLANK(Record!A1345),"",Record!A1345)</f>
        <v/>
      </c>
      <c r="B1344" t="str">
        <f>IF(ISBLANK(Record!B1345),"",Record!B1345)</f>
        <v/>
      </c>
      <c r="C1344" s="227" t="str">
        <f>IF(ISBLANK(Record!C1345),"",Record!C1345)</f>
        <v/>
      </c>
      <c r="D1344" t="str">
        <f>IF(ISBLANK(Record!D1345),"",Record!D1345)</f>
        <v/>
      </c>
      <c r="E1344" t="str">
        <f>IF(ISBLANK(Record!E1345),"",Record!E1345)</f>
        <v/>
      </c>
      <c r="M1344" t="str">
        <f t="shared" si="140"/>
        <v xml:space="preserve">          </v>
      </c>
      <c r="N1344" s="227" t="str">
        <f t="shared" si="141"/>
        <v/>
      </c>
      <c r="X1344" t="str">
        <f t="shared" si="142"/>
        <v xml:space="preserve">          </v>
      </c>
      <c r="Y1344" s="227" t="str">
        <f t="shared" si="143"/>
        <v/>
      </c>
      <c r="Z1344" t="str">
        <f t="shared" si="144"/>
        <v/>
      </c>
      <c r="AL1344" t="str">
        <f t="shared" si="145"/>
        <v/>
      </c>
      <c r="AM1344" t="str">
        <f t="shared" si="146"/>
        <v/>
      </c>
    </row>
    <row r="1345" spans="1:39">
      <c r="A1345" t="str">
        <f>IF(ISBLANK(Record!A1346),"",Record!A1346)</f>
        <v/>
      </c>
      <c r="B1345" t="str">
        <f>IF(ISBLANK(Record!B1346),"",Record!B1346)</f>
        <v/>
      </c>
      <c r="C1345" s="227" t="str">
        <f>IF(ISBLANK(Record!C1346),"",Record!C1346)</f>
        <v/>
      </c>
      <c r="D1345" t="str">
        <f>IF(ISBLANK(Record!D1346),"",Record!D1346)</f>
        <v/>
      </c>
      <c r="E1345" t="str">
        <f>IF(ISBLANK(Record!E1346),"",Record!E1346)</f>
        <v/>
      </c>
      <c r="M1345" t="str">
        <f t="shared" si="140"/>
        <v xml:space="preserve">          </v>
      </c>
      <c r="N1345" s="227" t="str">
        <f t="shared" si="141"/>
        <v/>
      </c>
      <c r="X1345" t="str">
        <f t="shared" si="142"/>
        <v xml:space="preserve">          </v>
      </c>
      <c r="Y1345" s="227" t="str">
        <f t="shared" si="143"/>
        <v/>
      </c>
      <c r="Z1345" t="str">
        <f t="shared" si="144"/>
        <v/>
      </c>
      <c r="AL1345" t="str">
        <f t="shared" si="145"/>
        <v/>
      </c>
      <c r="AM1345" t="str">
        <f t="shared" si="146"/>
        <v/>
      </c>
    </row>
    <row r="1346" spans="1:39">
      <c r="A1346" t="str">
        <f>IF(ISBLANK(Record!A1347),"",Record!A1347)</f>
        <v/>
      </c>
      <c r="B1346" t="str">
        <f>IF(ISBLANK(Record!B1347),"",Record!B1347)</f>
        <v/>
      </c>
      <c r="C1346" s="227" t="str">
        <f>IF(ISBLANK(Record!C1347),"",Record!C1347)</f>
        <v/>
      </c>
      <c r="D1346" t="str">
        <f>IF(ISBLANK(Record!D1347),"",Record!D1347)</f>
        <v/>
      </c>
      <c r="E1346" t="str">
        <f>IF(ISBLANK(Record!E1347),"",Record!E1347)</f>
        <v/>
      </c>
      <c r="M1346" t="str">
        <f t="shared" si="140"/>
        <v xml:space="preserve">          </v>
      </c>
      <c r="N1346" s="227" t="str">
        <f t="shared" si="141"/>
        <v/>
      </c>
      <c r="X1346" t="str">
        <f t="shared" si="142"/>
        <v xml:space="preserve">          </v>
      </c>
      <c r="Y1346" s="227" t="str">
        <f t="shared" si="143"/>
        <v/>
      </c>
      <c r="Z1346" t="str">
        <f t="shared" si="144"/>
        <v/>
      </c>
      <c r="AL1346" t="str">
        <f t="shared" si="145"/>
        <v/>
      </c>
      <c r="AM1346" t="str">
        <f t="shared" si="146"/>
        <v/>
      </c>
    </row>
    <row r="1347" spans="1:39">
      <c r="A1347" t="str">
        <f>IF(ISBLANK(Record!A1348),"",Record!A1348)</f>
        <v/>
      </c>
      <c r="B1347" t="str">
        <f>IF(ISBLANK(Record!B1348),"",Record!B1348)</f>
        <v/>
      </c>
      <c r="C1347" s="227" t="str">
        <f>IF(ISBLANK(Record!C1348),"",Record!C1348)</f>
        <v/>
      </c>
      <c r="D1347" t="str">
        <f>IF(ISBLANK(Record!D1348),"",Record!D1348)</f>
        <v/>
      </c>
      <c r="E1347" t="str">
        <f>IF(ISBLANK(Record!E1348),"",Record!E1348)</f>
        <v/>
      </c>
      <c r="M1347" t="str">
        <f t="shared" ref="M1347:M1410" si="147">RIGHT("                                   " &amp; A1347,10)</f>
        <v xml:space="preserve">          </v>
      </c>
      <c r="N1347" s="227" t="str">
        <f t="shared" ref="N1347:N1410" si="148">RIGHT(C1347,16)</f>
        <v/>
      </c>
      <c r="X1347" t="str">
        <f t="shared" ref="X1347:X1410" si="149">RIGHT("                                   " &amp; A1347,10)</f>
        <v xml:space="preserve">          </v>
      </c>
      <c r="Y1347" s="227" t="str">
        <f t="shared" ref="Y1347:Y1410" si="150">RIGHT(C1347,16)</f>
        <v/>
      </c>
      <c r="Z1347" t="str">
        <f t="shared" ref="Z1347:Z1410" si="151">RIGHT(D1347,8)</f>
        <v/>
      </c>
      <c r="AL1347" t="str">
        <f t="shared" ref="AL1347:AL1410" si="152">D1347</f>
        <v/>
      </c>
      <c r="AM1347" t="str">
        <f t="shared" ref="AM1347:AM1410" si="153">IF(E1347&lt;&gt;AL1347,E1347,E1347)</f>
        <v/>
      </c>
    </row>
    <row r="1348" spans="1:39">
      <c r="A1348" t="str">
        <f>IF(ISBLANK(Record!A1349),"",Record!A1349)</f>
        <v/>
      </c>
      <c r="B1348" t="str">
        <f>IF(ISBLANK(Record!B1349),"",Record!B1349)</f>
        <v/>
      </c>
      <c r="C1348" s="227" t="str">
        <f>IF(ISBLANK(Record!C1349),"",Record!C1349)</f>
        <v/>
      </c>
      <c r="D1348" t="str">
        <f>IF(ISBLANK(Record!D1349),"",Record!D1349)</f>
        <v/>
      </c>
      <c r="E1348" t="str">
        <f>IF(ISBLANK(Record!E1349),"",Record!E1349)</f>
        <v/>
      </c>
      <c r="M1348" t="str">
        <f t="shared" si="147"/>
        <v xml:space="preserve">          </v>
      </c>
      <c r="N1348" s="227" t="str">
        <f t="shared" si="148"/>
        <v/>
      </c>
      <c r="X1348" t="str">
        <f t="shared" si="149"/>
        <v xml:space="preserve">          </v>
      </c>
      <c r="Y1348" s="227" t="str">
        <f t="shared" si="150"/>
        <v/>
      </c>
      <c r="Z1348" t="str">
        <f t="shared" si="151"/>
        <v/>
      </c>
      <c r="AL1348" t="str">
        <f t="shared" si="152"/>
        <v/>
      </c>
      <c r="AM1348" t="str">
        <f t="shared" si="153"/>
        <v/>
      </c>
    </row>
    <row r="1349" spans="1:39">
      <c r="A1349" t="str">
        <f>IF(ISBLANK(Record!A1350),"",Record!A1350)</f>
        <v/>
      </c>
      <c r="B1349" t="str">
        <f>IF(ISBLANK(Record!B1350),"",Record!B1350)</f>
        <v/>
      </c>
      <c r="C1349" s="227" t="str">
        <f>IF(ISBLANK(Record!C1350),"",Record!C1350)</f>
        <v/>
      </c>
      <c r="D1349" t="str">
        <f>IF(ISBLANK(Record!D1350),"",Record!D1350)</f>
        <v/>
      </c>
      <c r="E1349" t="str">
        <f>IF(ISBLANK(Record!E1350),"",Record!E1350)</f>
        <v/>
      </c>
      <c r="M1349" t="str">
        <f t="shared" si="147"/>
        <v xml:space="preserve">          </v>
      </c>
      <c r="N1349" s="227" t="str">
        <f t="shared" si="148"/>
        <v/>
      </c>
      <c r="X1349" t="str">
        <f t="shared" si="149"/>
        <v xml:space="preserve">          </v>
      </c>
      <c r="Y1349" s="227" t="str">
        <f t="shared" si="150"/>
        <v/>
      </c>
      <c r="Z1349" t="str">
        <f t="shared" si="151"/>
        <v/>
      </c>
      <c r="AL1349" t="str">
        <f t="shared" si="152"/>
        <v/>
      </c>
      <c r="AM1349" t="str">
        <f t="shared" si="153"/>
        <v/>
      </c>
    </row>
    <row r="1350" spans="1:39">
      <c r="A1350" t="str">
        <f>IF(ISBLANK(Record!A1351),"",Record!A1351)</f>
        <v/>
      </c>
      <c r="B1350" t="str">
        <f>IF(ISBLANK(Record!B1351),"",Record!B1351)</f>
        <v/>
      </c>
      <c r="C1350" s="227" t="str">
        <f>IF(ISBLANK(Record!C1351),"",Record!C1351)</f>
        <v/>
      </c>
      <c r="D1350" t="str">
        <f>IF(ISBLANK(Record!D1351),"",Record!D1351)</f>
        <v/>
      </c>
      <c r="E1350" t="str">
        <f>IF(ISBLANK(Record!E1351),"",Record!E1351)</f>
        <v/>
      </c>
      <c r="M1350" t="str">
        <f t="shared" si="147"/>
        <v xml:space="preserve">          </v>
      </c>
      <c r="N1350" s="227" t="str">
        <f t="shared" si="148"/>
        <v/>
      </c>
      <c r="X1350" t="str">
        <f t="shared" si="149"/>
        <v xml:space="preserve">          </v>
      </c>
      <c r="Y1350" s="227" t="str">
        <f t="shared" si="150"/>
        <v/>
      </c>
      <c r="Z1350" t="str">
        <f t="shared" si="151"/>
        <v/>
      </c>
      <c r="AL1350" t="str">
        <f t="shared" si="152"/>
        <v/>
      </c>
      <c r="AM1350" t="str">
        <f t="shared" si="153"/>
        <v/>
      </c>
    </row>
    <row r="1351" spans="1:39">
      <c r="A1351" t="str">
        <f>IF(ISBLANK(Record!A1352),"",Record!A1352)</f>
        <v/>
      </c>
      <c r="B1351" t="str">
        <f>IF(ISBLANK(Record!B1352),"",Record!B1352)</f>
        <v/>
      </c>
      <c r="C1351" s="227" t="str">
        <f>IF(ISBLANK(Record!C1352),"",Record!C1352)</f>
        <v/>
      </c>
      <c r="D1351" t="str">
        <f>IF(ISBLANK(Record!D1352),"",Record!D1352)</f>
        <v/>
      </c>
      <c r="E1351" t="str">
        <f>IF(ISBLANK(Record!E1352),"",Record!E1352)</f>
        <v/>
      </c>
      <c r="M1351" t="str">
        <f t="shared" si="147"/>
        <v xml:space="preserve">          </v>
      </c>
      <c r="N1351" s="227" t="str">
        <f t="shared" si="148"/>
        <v/>
      </c>
      <c r="X1351" t="str">
        <f t="shared" si="149"/>
        <v xml:space="preserve">          </v>
      </c>
      <c r="Y1351" s="227" t="str">
        <f t="shared" si="150"/>
        <v/>
      </c>
      <c r="Z1351" t="str">
        <f t="shared" si="151"/>
        <v/>
      </c>
      <c r="AL1351" t="str">
        <f t="shared" si="152"/>
        <v/>
      </c>
      <c r="AM1351" t="str">
        <f t="shared" si="153"/>
        <v/>
      </c>
    </row>
    <row r="1352" spans="1:39">
      <c r="A1352" t="str">
        <f>IF(ISBLANK(Record!A1353),"",Record!A1353)</f>
        <v/>
      </c>
      <c r="B1352" t="str">
        <f>IF(ISBLANK(Record!B1353),"",Record!B1353)</f>
        <v/>
      </c>
      <c r="C1352" s="227" t="str">
        <f>IF(ISBLANK(Record!C1353),"",Record!C1353)</f>
        <v/>
      </c>
      <c r="D1352" t="str">
        <f>IF(ISBLANK(Record!D1353),"",Record!D1353)</f>
        <v/>
      </c>
      <c r="E1352" t="str">
        <f>IF(ISBLANK(Record!E1353),"",Record!E1353)</f>
        <v/>
      </c>
      <c r="M1352" t="str">
        <f t="shared" si="147"/>
        <v xml:space="preserve">          </v>
      </c>
      <c r="N1352" s="227" t="str">
        <f t="shared" si="148"/>
        <v/>
      </c>
      <c r="X1352" t="str">
        <f t="shared" si="149"/>
        <v xml:space="preserve">          </v>
      </c>
      <c r="Y1352" s="227" t="str">
        <f t="shared" si="150"/>
        <v/>
      </c>
      <c r="Z1352" t="str">
        <f t="shared" si="151"/>
        <v/>
      </c>
      <c r="AL1352" t="str">
        <f t="shared" si="152"/>
        <v/>
      </c>
      <c r="AM1352" t="str">
        <f t="shared" si="153"/>
        <v/>
      </c>
    </row>
    <row r="1353" spans="1:39">
      <c r="A1353" t="str">
        <f>IF(ISBLANK(Record!A1354),"",Record!A1354)</f>
        <v/>
      </c>
      <c r="B1353" t="str">
        <f>IF(ISBLANK(Record!B1354),"",Record!B1354)</f>
        <v/>
      </c>
      <c r="C1353" s="227" t="str">
        <f>IF(ISBLANK(Record!C1354),"",Record!C1354)</f>
        <v/>
      </c>
      <c r="D1353" t="str">
        <f>IF(ISBLANK(Record!D1354),"",Record!D1354)</f>
        <v/>
      </c>
      <c r="E1353" t="str">
        <f>IF(ISBLANK(Record!E1354),"",Record!E1354)</f>
        <v/>
      </c>
      <c r="M1353" t="str">
        <f t="shared" si="147"/>
        <v xml:space="preserve">          </v>
      </c>
      <c r="N1353" s="227" t="str">
        <f t="shared" si="148"/>
        <v/>
      </c>
      <c r="X1353" t="str">
        <f t="shared" si="149"/>
        <v xml:space="preserve">          </v>
      </c>
      <c r="Y1353" s="227" t="str">
        <f t="shared" si="150"/>
        <v/>
      </c>
      <c r="Z1353" t="str">
        <f t="shared" si="151"/>
        <v/>
      </c>
      <c r="AL1353" t="str">
        <f t="shared" si="152"/>
        <v/>
      </c>
      <c r="AM1353" t="str">
        <f t="shared" si="153"/>
        <v/>
      </c>
    </row>
    <row r="1354" spans="1:39">
      <c r="A1354" t="str">
        <f>IF(ISBLANK(Record!A1355),"",Record!A1355)</f>
        <v/>
      </c>
      <c r="B1354" t="str">
        <f>IF(ISBLANK(Record!B1355),"",Record!B1355)</f>
        <v/>
      </c>
      <c r="C1354" s="227" t="str">
        <f>IF(ISBLANK(Record!C1355),"",Record!C1355)</f>
        <v/>
      </c>
      <c r="D1354" t="str">
        <f>IF(ISBLANK(Record!D1355),"",Record!D1355)</f>
        <v/>
      </c>
      <c r="E1354" t="str">
        <f>IF(ISBLANK(Record!E1355),"",Record!E1355)</f>
        <v/>
      </c>
      <c r="M1354" t="str">
        <f t="shared" si="147"/>
        <v xml:space="preserve">          </v>
      </c>
      <c r="N1354" s="227" t="str">
        <f t="shared" si="148"/>
        <v/>
      </c>
      <c r="X1354" t="str">
        <f t="shared" si="149"/>
        <v xml:space="preserve">          </v>
      </c>
      <c r="Y1354" s="227" t="str">
        <f t="shared" si="150"/>
        <v/>
      </c>
      <c r="Z1354" t="str">
        <f t="shared" si="151"/>
        <v/>
      </c>
      <c r="AL1354" t="str">
        <f t="shared" si="152"/>
        <v/>
      </c>
      <c r="AM1354" t="str">
        <f t="shared" si="153"/>
        <v/>
      </c>
    </row>
    <row r="1355" spans="1:39">
      <c r="A1355" t="str">
        <f>IF(ISBLANK(Record!A1356),"",Record!A1356)</f>
        <v/>
      </c>
      <c r="B1355" t="str">
        <f>IF(ISBLANK(Record!B1356),"",Record!B1356)</f>
        <v/>
      </c>
      <c r="C1355" s="227" t="str">
        <f>IF(ISBLANK(Record!C1356),"",Record!C1356)</f>
        <v/>
      </c>
      <c r="D1355" t="str">
        <f>IF(ISBLANK(Record!D1356),"",Record!D1356)</f>
        <v/>
      </c>
      <c r="E1355" t="str">
        <f>IF(ISBLANK(Record!E1356),"",Record!E1356)</f>
        <v/>
      </c>
      <c r="M1355" t="str">
        <f t="shared" si="147"/>
        <v xml:space="preserve">          </v>
      </c>
      <c r="N1355" s="227" t="str">
        <f t="shared" si="148"/>
        <v/>
      </c>
      <c r="X1355" t="str">
        <f t="shared" si="149"/>
        <v xml:space="preserve">          </v>
      </c>
      <c r="Y1355" s="227" t="str">
        <f t="shared" si="150"/>
        <v/>
      </c>
      <c r="Z1355" t="str">
        <f t="shared" si="151"/>
        <v/>
      </c>
      <c r="AL1355" t="str">
        <f t="shared" si="152"/>
        <v/>
      </c>
      <c r="AM1355" t="str">
        <f t="shared" si="153"/>
        <v/>
      </c>
    </row>
    <row r="1356" spans="1:39">
      <c r="A1356" t="str">
        <f>IF(ISBLANK(Record!A1357),"",Record!A1357)</f>
        <v/>
      </c>
      <c r="B1356" t="str">
        <f>IF(ISBLANK(Record!B1357),"",Record!B1357)</f>
        <v/>
      </c>
      <c r="C1356" s="227" t="str">
        <f>IF(ISBLANK(Record!C1357),"",Record!C1357)</f>
        <v/>
      </c>
      <c r="D1356" t="str">
        <f>IF(ISBLANK(Record!D1357),"",Record!D1357)</f>
        <v/>
      </c>
      <c r="E1356" t="str">
        <f>IF(ISBLANK(Record!E1357),"",Record!E1357)</f>
        <v/>
      </c>
      <c r="M1356" t="str">
        <f t="shared" si="147"/>
        <v xml:space="preserve">          </v>
      </c>
      <c r="N1356" s="227" t="str">
        <f t="shared" si="148"/>
        <v/>
      </c>
      <c r="X1356" t="str">
        <f t="shared" si="149"/>
        <v xml:space="preserve">          </v>
      </c>
      <c r="Y1356" s="227" t="str">
        <f t="shared" si="150"/>
        <v/>
      </c>
      <c r="Z1356" t="str">
        <f t="shared" si="151"/>
        <v/>
      </c>
      <c r="AL1356" t="str">
        <f t="shared" si="152"/>
        <v/>
      </c>
      <c r="AM1356" t="str">
        <f t="shared" si="153"/>
        <v/>
      </c>
    </row>
    <row r="1357" spans="1:39">
      <c r="A1357" t="str">
        <f>IF(ISBLANK(Record!A1358),"",Record!A1358)</f>
        <v/>
      </c>
      <c r="B1357" t="str">
        <f>IF(ISBLANK(Record!B1358),"",Record!B1358)</f>
        <v/>
      </c>
      <c r="C1357" s="227" t="str">
        <f>IF(ISBLANK(Record!C1358),"",Record!C1358)</f>
        <v/>
      </c>
      <c r="D1357" t="str">
        <f>IF(ISBLANK(Record!D1358),"",Record!D1358)</f>
        <v/>
      </c>
      <c r="E1357" t="str">
        <f>IF(ISBLANK(Record!E1358),"",Record!E1358)</f>
        <v/>
      </c>
      <c r="M1357" t="str">
        <f t="shared" si="147"/>
        <v xml:space="preserve">          </v>
      </c>
      <c r="N1357" s="227" t="str">
        <f t="shared" si="148"/>
        <v/>
      </c>
      <c r="X1357" t="str">
        <f t="shared" si="149"/>
        <v xml:space="preserve">          </v>
      </c>
      <c r="Y1357" s="227" t="str">
        <f t="shared" si="150"/>
        <v/>
      </c>
      <c r="Z1357" t="str">
        <f t="shared" si="151"/>
        <v/>
      </c>
      <c r="AL1357" t="str">
        <f t="shared" si="152"/>
        <v/>
      </c>
      <c r="AM1357" t="str">
        <f t="shared" si="153"/>
        <v/>
      </c>
    </row>
    <row r="1358" spans="1:39">
      <c r="A1358" t="str">
        <f>IF(ISBLANK(Record!A1359),"",Record!A1359)</f>
        <v/>
      </c>
      <c r="B1358" t="str">
        <f>IF(ISBLANK(Record!B1359),"",Record!B1359)</f>
        <v/>
      </c>
      <c r="C1358" s="227" t="str">
        <f>IF(ISBLANK(Record!C1359),"",Record!C1359)</f>
        <v/>
      </c>
      <c r="D1358" t="str">
        <f>IF(ISBLANK(Record!D1359),"",Record!D1359)</f>
        <v/>
      </c>
      <c r="E1358" t="str">
        <f>IF(ISBLANK(Record!E1359),"",Record!E1359)</f>
        <v/>
      </c>
      <c r="M1358" t="str">
        <f t="shared" si="147"/>
        <v xml:space="preserve">          </v>
      </c>
      <c r="N1358" s="227" t="str">
        <f t="shared" si="148"/>
        <v/>
      </c>
      <c r="X1358" t="str">
        <f t="shared" si="149"/>
        <v xml:space="preserve">          </v>
      </c>
      <c r="Y1358" s="227" t="str">
        <f t="shared" si="150"/>
        <v/>
      </c>
      <c r="Z1358" t="str">
        <f t="shared" si="151"/>
        <v/>
      </c>
      <c r="AL1358" t="str">
        <f t="shared" si="152"/>
        <v/>
      </c>
      <c r="AM1358" t="str">
        <f t="shared" si="153"/>
        <v/>
      </c>
    </row>
    <row r="1359" spans="1:39">
      <c r="A1359" t="str">
        <f>IF(ISBLANK(Record!A1360),"",Record!A1360)</f>
        <v/>
      </c>
      <c r="B1359" t="str">
        <f>IF(ISBLANK(Record!B1360),"",Record!B1360)</f>
        <v/>
      </c>
      <c r="C1359" s="227" t="str">
        <f>IF(ISBLANK(Record!C1360),"",Record!C1360)</f>
        <v/>
      </c>
      <c r="D1359" t="str">
        <f>IF(ISBLANK(Record!D1360),"",Record!D1360)</f>
        <v/>
      </c>
      <c r="E1359" t="str">
        <f>IF(ISBLANK(Record!E1360),"",Record!E1360)</f>
        <v/>
      </c>
      <c r="M1359" t="str">
        <f t="shared" si="147"/>
        <v xml:space="preserve">          </v>
      </c>
      <c r="N1359" s="227" t="str">
        <f t="shared" si="148"/>
        <v/>
      </c>
      <c r="X1359" t="str">
        <f t="shared" si="149"/>
        <v xml:space="preserve">          </v>
      </c>
      <c r="Y1359" s="227" t="str">
        <f t="shared" si="150"/>
        <v/>
      </c>
      <c r="Z1359" t="str">
        <f t="shared" si="151"/>
        <v/>
      </c>
      <c r="AL1359" t="str">
        <f t="shared" si="152"/>
        <v/>
      </c>
      <c r="AM1359" t="str">
        <f t="shared" si="153"/>
        <v/>
      </c>
    </row>
    <row r="1360" spans="1:39">
      <c r="A1360" t="str">
        <f>IF(ISBLANK(Record!A1361),"",Record!A1361)</f>
        <v/>
      </c>
      <c r="B1360" t="str">
        <f>IF(ISBLANK(Record!B1361),"",Record!B1361)</f>
        <v/>
      </c>
      <c r="C1360" s="227" t="str">
        <f>IF(ISBLANK(Record!C1361),"",Record!C1361)</f>
        <v/>
      </c>
      <c r="D1360" t="str">
        <f>IF(ISBLANK(Record!D1361),"",Record!D1361)</f>
        <v/>
      </c>
      <c r="E1360" t="str">
        <f>IF(ISBLANK(Record!E1361),"",Record!E1361)</f>
        <v/>
      </c>
      <c r="M1360" t="str">
        <f t="shared" si="147"/>
        <v xml:space="preserve">          </v>
      </c>
      <c r="N1360" s="227" t="str">
        <f t="shared" si="148"/>
        <v/>
      </c>
      <c r="X1360" t="str">
        <f t="shared" si="149"/>
        <v xml:space="preserve">          </v>
      </c>
      <c r="Y1360" s="227" t="str">
        <f t="shared" si="150"/>
        <v/>
      </c>
      <c r="Z1360" t="str">
        <f t="shared" si="151"/>
        <v/>
      </c>
      <c r="AL1360" t="str">
        <f t="shared" si="152"/>
        <v/>
      </c>
      <c r="AM1360" t="str">
        <f t="shared" si="153"/>
        <v/>
      </c>
    </row>
    <row r="1361" spans="1:39">
      <c r="A1361" t="str">
        <f>IF(ISBLANK(Record!A1362),"",Record!A1362)</f>
        <v/>
      </c>
      <c r="B1361" t="str">
        <f>IF(ISBLANK(Record!B1362),"",Record!B1362)</f>
        <v/>
      </c>
      <c r="C1361" s="227" t="str">
        <f>IF(ISBLANK(Record!C1362),"",Record!C1362)</f>
        <v/>
      </c>
      <c r="D1361" t="str">
        <f>IF(ISBLANK(Record!D1362),"",Record!D1362)</f>
        <v/>
      </c>
      <c r="E1361" t="str">
        <f>IF(ISBLANK(Record!E1362),"",Record!E1362)</f>
        <v/>
      </c>
      <c r="M1361" t="str">
        <f t="shared" si="147"/>
        <v xml:space="preserve">          </v>
      </c>
      <c r="N1361" s="227" t="str">
        <f t="shared" si="148"/>
        <v/>
      </c>
      <c r="X1361" t="str">
        <f t="shared" si="149"/>
        <v xml:space="preserve">          </v>
      </c>
      <c r="Y1361" s="227" t="str">
        <f t="shared" si="150"/>
        <v/>
      </c>
      <c r="Z1361" t="str">
        <f t="shared" si="151"/>
        <v/>
      </c>
      <c r="AL1361" t="str">
        <f t="shared" si="152"/>
        <v/>
      </c>
      <c r="AM1361" t="str">
        <f t="shared" si="153"/>
        <v/>
      </c>
    </row>
    <row r="1362" spans="1:39">
      <c r="A1362" t="str">
        <f>IF(ISBLANK(Record!A1363),"",Record!A1363)</f>
        <v/>
      </c>
      <c r="B1362" t="str">
        <f>IF(ISBLANK(Record!B1363),"",Record!B1363)</f>
        <v/>
      </c>
      <c r="C1362" s="227" t="str">
        <f>IF(ISBLANK(Record!C1363),"",Record!C1363)</f>
        <v/>
      </c>
      <c r="D1362" t="str">
        <f>IF(ISBLANK(Record!D1363),"",Record!D1363)</f>
        <v/>
      </c>
      <c r="E1362" t="str">
        <f>IF(ISBLANK(Record!E1363),"",Record!E1363)</f>
        <v/>
      </c>
      <c r="M1362" t="str">
        <f t="shared" si="147"/>
        <v xml:space="preserve">          </v>
      </c>
      <c r="N1362" s="227" t="str">
        <f t="shared" si="148"/>
        <v/>
      </c>
      <c r="X1362" t="str">
        <f t="shared" si="149"/>
        <v xml:space="preserve">          </v>
      </c>
      <c r="Y1362" s="227" t="str">
        <f t="shared" si="150"/>
        <v/>
      </c>
      <c r="Z1362" t="str">
        <f t="shared" si="151"/>
        <v/>
      </c>
      <c r="AL1362" t="str">
        <f t="shared" si="152"/>
        <v/>
      </c>
      <c r="AM1362" t="str">
        <f t="shared" si="153"/>
        <v/>
      </c>
    </row>
    <row r="1363" spans="1:39">
      <c r="A1363" t="str">
        <f>IF(ISBLANK(Record!A1364),"",Record!A1364)</f>
        <v/>
      </c>
      <c r="B1363" t="str">
        <f>IF(ISBLANK(Record!B1364),"",Record!B1364)</f>
        <v/>
      </c>
      <c r="C1363" s="227" t="str">
        <f>IF(ISBLANK(Record!C1364),"",Record!C1364)</f>
        <v/>
      </c>
      <c r="D1363" t="str">
        <f>IF(ISBLANK(Record!D1364),"",Record!D1364)</f>
        <v/>
      </c>
      <c r="E1363" t="str">
        <f>IF(ISBLANK(Record!E1364),"",Record!E1364)</f>
        <v/>
      </c>
      <c r="M1363" t="str">
        <f t="shared" si="147"/>
        <v xml:space="preserve">          </v>
      </c>
      <c r="N1363" s="227" t="str">
        <f t="shared" si="148"/>
        <v/>
      </c>
      <c r="X1363" t="str">
        <f t="shared" si="149"/>
        <v xml:space="preserve">          </v>
      </c>
      <c r="Y1363" s="227" t="str">
        <f t="shared" si="150"/>
        <v/>
      </c>
      <c r="Z1363" t="str">
        <f t="shared" si="151"/>
        <v/>
      </c>
      <c r="AL1363" t="str">
        <f t="shared" si="152"/>
        <v/>
      </c>
      <c r="AM1363" t="str">
        <f t="shared" si="153"/>
        <v/>
      </c>
    </row>
    <row r="1364" spans="1:39">
      <c r="A1364" t="str">
        <f>IF(ISBLANK(Record!A1365),"",Record!A1365)</f>
        <v/>
      </c>
      <c r="B1364" t="str">
        <f>IF(ISBLANK(Record!B1365),"",Record!B1365)</f>
        <v/>
      </c>
      <c r="C1364" s="227" t="str">
        <f>IF(ISBLANK(Record!C1365),"",Record!C1365)</f>
        <v/>
      </c>
      <c r="D1364" t="str">
        <f>IF(ISBLANK(Record!D1365),"",Record!D1365)</f>
        <v/>
      </c>
      <c r="E1364" t="str">
        <f>IF(ISBLANK(Record!E1365),"",Record!E1365)</f>
        <v/>
      </c>
      <c r="M1364" t="str">
        <f t="shared" si="147"/>
        <v xml:space="preserve">          </v>
      </c>
      <c r="N1364" s="227" t="str">
        <f t="shared" si="148"/>
        <v/>
      </c>
      <c r="X1364" t="str">
        <f t="shared" si="149"/>
        <v xml:space="preserve">          </v>
      </c>
      <c r="Y1364" s="227" t="str">
        <f t="shared" si="150"/>
        <v/>
      </c>
      <c r="Z1364" t="str">
        <f t="shared" si="151"/>
        <v/>
      </c>
      <c r="AL1364" t="str">
        <f t="shared" si="152"/>
        <v/>
      </c>
      <c r="AM1364" t="str">
        <f t="shared" si="153"/>
        <v/>
      </c>
    </row>
    <row r="1365" spans="1:39">
      <c r="A1365" t="str">
        <f>IF(ISBLANK(Record!A1366),"",Record!A1366)</f>
        <v/>
      </c>
      <c r="B1365" t="str">
        <f>IF(ISBLANK(Record!B1366),"",Record!B1366)</f>
        <v/>
      </c>
      <c r="C1365" s="227" t="str">
        <f>IF(ISBLANK(Record!C1366),"",Record!C1366)</f>
        <v/>
      </c>
      <c r="D1365" t="str">
        <f>IF(ISBLANK(Record!D1366),"",Record!D1366)</f>
        <v/>
      </c>
      <c r="E1365" t="str">
        <f>IF(ISBLANK(Record!E1366),"",Record!E1366)</f>
        <v/>
      </c>
      <c r="M1365" t="str">
        <f t="shared" si="147"/>
        <v xml:space="preserve">          </v>
      </c>
      <c r="N1365" s="227" t="str">
        <f t="shared" si="148"/>
        <v/>
      </c>
      <c r="X1365" t="str">
        <f t="shared" si="149"/>
        <v xml:space="preserve">          </v>
      </c>
      <c r="Y1365" s="227" t="str">
        <f t="shared" si="150"/>
        <v/>
      </c>
      <c r="Z1365" t="str">
        <f t="shared" si="151"/>
        <v/>
      </c>
      <c r="AL1365" t="str">
        <f t="shared" si="152"/>
        <v/>
      </c>
      <c r="AM1365" t="str">
        <f t="shared" si="153"/>
        <v/>
      </c>
    </row>
    <row r="1366" spans="1:39">
      <c r="A1366" t="str">
        <f>IF(ISBLANK(Record!A1367),"",Record!A1367)</f>
        <v/>
      </c>
      <c r="B1366" t="str">
        <f>IF(ISBLANK(Record!B1367),"",Record!B1367)</f>
        <v/>
      </c>
      <c r="C1366" s="227" t="str">
        <f>IF(ISBLANK(Record!C1367),"",Record!C1367)</f>
        <v/>
      </c>
      <c r="D1366" t="str">
        <f>IF(ISBLANK(Record!D1367),"",Record!D1367)</f>
        <v/>
      </c>
      <c r="E1366" t="str">
        <f>IF(ISBLANK(Record!E1367),"",Record!E1367)</f>
        <v/>
      </c>
      <c r="M1366" t="str">
        <f t="shared" si="147"/>
        <v xml:space="preserve">          </v>
      </c>
      <c r="N1366" s="227" t="str">
        <f t="shared" si="148"/>
        <v/>
      </c>
      <c r="X1366" t="str">
        <f t="shared" si="149"/>
        <v xml:space="preserve">          </v>
      </c>
      <c r="Y1366" s="227" t="str">
        <f t="shared" si="150"/>
        <v/>
      </c>
      <c r="Z1366" t="str">
        <f t="shared" si="151"/>
        <v/>
      </c>
      <c r="AL1366" t="str">
        <f t="shared" si="152"/>
        <v/>
      </c>
      <c r="AM1366" t="str">
        <f t="shared" si="153"/>
        <v/>
      </c>
    </row>
    <row r="1367" spans="1:39">
      <c r="A1367" t="str">
        <f>IF(ISBLANK(Record!A1368),"",Record!A1368)</f>
        <v/>
      </c>
      <c r="B1367" t="str">
        <f>IF(ISBLANK(Record!B1368),"",Record!B1368)</f>
        <v/>
      </c>
      <c r="C1367" s="227" t="str">
        <f>IF(ISBLANK(Record!C1368),"",Record!C1368)</f>
        <v/>
      </c>
      <c r="D1367" t="str">
        <f>IF(ISBLANK(Record!D1368),"",Record!D1368)</f>
        <v/>
      </c>
      <c r="E1367" t="str">
        <f>IF(ISBLANK(Record!E1368),"",Record!E1368)</f>
        <v/>
      </c>
      <c r="M1367" t="str">
        <f t="shared" si="147"/>
        <v xml:space="preserve">          </v>
      </c>
      <c r="N1367" s="227" t="str">
        <f t="shared" si="148"/>
        <v/>
      </c>
      <c r="X1367" t="str">
        <f t="shared" si="149"/>
        <v xml:space="preserve">          </v>
      </c>
      <c r="Y1367" s="227" t="str">
        <f t="shared" si="150"/>
        <v/>
      </c>
      <c r="Z1367" t="str">
        <f t="shared" si="151"/>
        <v/>
      </c>
      <c r="AL1367" t="str">
        <f t="shared" si="152"/>
        <v/>
      </c>
      <c r="AM1367" t="str">
        <f t="shared" si="153"/>
        <v/>
      </c>
    </row>
    <row r="1368" spans="1:39">
      <c r="A1368" t="str">
        <f>IF(ISBLANK(Record!A1369),"",Record!A1369)</f>
        <v/>
      </c>
      <c r="B1368" t="str">
        <f>IF(ISBLANK(Record!B1369),"",Record!B1369)</f>
        <v/>
      </c>
      <c r="C1368" s="227" t="str">
        <f>IF(ISBLANK(Record!C1369),"",Record!C1369)</f>
        <v/>
      </c>
      <c r="D1368" t="str">
        <f>IF(ISBLANK(Record!D1369),"",Record!D1369)</f>
        <v/>
      </c>
      <c r="E1368" t="str">
        <f>IF(ISBLANK(Record!E1369),"",Record!E1369)</f>
        <v/>
      </c>
      <c r="M1368" t="str">
        <f t="shared" si="147"/>
        <v xml:space="preserve">          </v>
      </c>
      <c r="N1368" s="227" t="str">
        <f t="shared" si="148"/>
        <v/>
      </c>
      <c r="X1368" t="str">
        <f t="shared" si="149"/>
        <v xml:space="preserve">          </v>
      </c>
      <c r="Y1368" s="227" t="str">
        <f t="shared" si="150"/>
        <v/>
      </c>
      <c r="Z1368" t="str">
        <f t="shared" si="151"/>
        <v/>
      </c>
      <c r="AL1368" t="str">
        <f t="shared" si="152"/>
        <v/>
      </c>
      <c r="AM1368" t="str">
        <f t="shared" si="153"/>
        <v/>
      </c>
    </row>
    <row r="1369" spans="1:39">
      <c r="A1369" t="str">
        <f>IF(ISBLANK(Record!A1370),"",Record!A1370)</f>
        <v/>
      </c>
      <c r="B1369" t="str">
        <f>IF(ISBLANK(Record!B1370),"",Record!B1370)</f>
        <v/>
      </c>
      <c r="C1369" s="227" t="str">
        <f>IF(ISBLANK(Record!C1370),"",Record!C1370)</f>
        <v/>
      </c>
      <c r="D1369" t="str">
        <f>IF(ISBLANK(Record!D1370),"",Record!D1370)</f>
        <v/>
      </c>
      <c r="E1369" t="str">
        <f>IF(ISBLANK(Record!E1370),"",Record!E1370)</f>
        <v/>
      </c>
      <c r="M1369" t="str">
        <f t="shared" si="147"/>
        <v xml:space="preserve">          </v>
      </c>
      <c r="N1369" s="227" t="str">
        <f t="shared" si="148"/>
        <v/>
      </c>
      <c r="X1369" t="str">
        <f t="shared" si="149"/>
        <v xml:space="preserve">          </v>
      </c>
      <c r="Y1369" s="227" t="str">
        <f t="shared" si="150"/>
        <v/>
      </c>
      <c r="Z1369" t="str">
        <f t="shared" si="151"/>
        <v/>
      </c>
      <c r="AL1369" t="str">
        <f t="shared" si="152"/>
        <v/>
      </c>
      <c r="AM1369" t="str">
        <f t="shared" si="153"/>
        <v/>
      </c>
    </row>
    <row r="1370" spans="1:39">
      <c r="A1370" t="str">
        <f>IF(ISBLANK(Record!A1371),"",Record!A1371)</f>
        <v/>
      </c>
      <c r="B1370" t="str">
        <f>IF(ISBLANK(Record!B1371),"",Record!B1371)</f>
        <v/>
      </c>
      <c r="C1370" s="227" t="str">
        <f>IF(ISBLANK(Record!C1371),"",Record!C1371)</f>
        <v/>
      </c>
      <c r="D1370" t="str">
        <f>IF(ISBLANK(Record!D1371),"",Record!D1371)</f>
        <v/>
      </c>
      <c r="E1370" t="str">
        <f>IF(ISBLANK(Record!E1371),"",Record!E1371)</f>
        <v/>
      </c>
      <c r="M1370" t="str">
        <f t="shared" si="147"/>
        <v xml:space="preserve">          </v>
      </c>
      <c r="N1370" s="227" t="str">
        <f t="shared" si="148"/>
        <v/>
      </c>
      <c r="X1370" t="str">
        <f t="shared" si="149"/>
        <v xml:space="preserve">          </v>
      </c>
      <c r="Y1370" s="227" t="str">
        <f t="shared" si="150"/>
        <v/>
      </c>
      <c r="Z1370" t="str">
        <f t="shared" si="151"/>
        <v/>
      </c>
      <c r="AL1370" t="str">
        <f t="shared" si="152"/>
        <v/>
      </c>
      <c r="AM1370" t="str">
        <f t="shared" si="153"/>
        <v/>
      </c>
    </row>
    <row r="1371" spans="1:39">
      <c r="A1371" t="str">
        <f>IF(ISBLANK(Record!A1372),"",Record!A1372)</f>
        <v/>
      </c>
      <c r="B1371" t="str">
        <f>IF(ISBLANK(Record!B1372),"",Record!B1372)</f>
        <v/>
      </c>
      <c r="C1371" s="227" t="str">
        <f>IF(ISBLANK(Record!C1372),"",Record!C1372)</f>
        <v/>
      </c>
      <c r="D1371" t="str">
        <f>IF(ISBLANK(Record!D1372),"",Record!D1372)</f>
        <v/>
      </c>
      <c r="E1371" t="str">
        <f>IF(ISBLANK(Record!E1372),"",Record!E1372)</f>
        <v/>
      </c>
      <c r="M1371" t="str">
        <f t="shared" si="147"/>
        <v xml:space="preserve">          </v>
      </c>
      <c r="N1371" s="227" t="str">
        <f t="shared" si="148"/>
        <v/>
      </c>
      <c r="X1371" t="str">
        <f t="shared" si="149"/>
        <v xml:space="preserve">          </v>
      </c>
      <c r="Y1371" s="227" t="str">
        <f t="shared" si="150"/>
        <v/>
      </c>
      <c r="Z1371" t="str">
        <f t="shared" si="151"/>
        <v/>
      </c>
      <c r="AL1371" t="str">
        <f t="shared" si="152"/>
        <v/>
      </c>
      <c r="AM1371" t="str">
        <f t="shared" si="153"/>
        <v/>
      </c>
    </row>
    <row r="1372" spans="1:39">
      <c r="A1372" t="str">
        <f>IF(ISBLANK(Record!A1373),"",Record!A1373)</f>
        <v/>
      </c>
      <c r="B1372" t="str">
        <f>IF(ISBLANK(Record!B1373),"",Record!B1373)</f>
        <v/>
      </c>
      <c r="C1372" s="227" t="str">
        <f>IF(ISBLANK(Record!C1373),"",Record!C1373)</f>
        <v/>
      </c>
      <c r="D1372" t="str">
        <f>IF(ISBLANK(Record!D1373),"",Record!D1373)</f>
        <v/>
      </c>
      <c r="E1372" t="str">
        <f>IF(ISBLANK(Record!E1373),"",Record!E1373)</f>
        <v/>
      </c>
      <c r="M1372" t="str">
        <f t="shared" si="147"/>
        <v xml:space="preserve">          </v>
      </c>
      <c r="N1372" s="227" t="str">
        <f t="shared" si="148"/>
        <v/>
      </c>
      <c r="X1372" t="str">
        <f t="shared" si="149"/>
        <v xml:space="preserve">          </v>
      </c>
      <c r="Y1372" s="227" t="str">
        <f t="shared" si="150"/>
        <v/>
      </c>
      <c r="Z1372" t="str">
        <f t="shared" si="151"/>
        <v/>
      </c>
      <c r="AL1372" t="str">
        <f t="shared" si="152"/>
        <v/>
      </c>
      <c r="AM1372" t="str">
        <f t="shared" si="153"/>
        <v/>
      </c>
    </row>
    <row r="1373" spans="1:39">
      <c r="A1373" t="str">
        <f>IF(ISBLANK(Record!A1374),"",Record!A1374)</f>
        <v/>
      </c>
      <c r="B1373" t="str">
        <f>IF(ISBLANK(Record!B1374),"",Record!B1374)</f>
        <v/>
      </c>
      <c r="C1373" s="227" t="str">
        <f>IF(ISBLANK(Record!C1374),"",Record!C1374)</f>
        <v/>
      </c>
      <c r="D1373" t="str">
        <f>IF(ISBLANK(Record!D1374),"",Record!D1374)</f>
        <v/>
      </c>
      <c r="E1373" t="str">
        <f>IF(ISBLANK(Record!E1374),"",Record!E1374)</f>
        <v/>
      </c>
      <c r="M1373" t="str">
        <f t="shared" si="147"/>
        <v xml:space="preserve">          </v>
      </c>
      <c r="N1373" s="227" t="str">
        <f t="shared" si="148"/>
        <v/>
      </c>
      <c r="X1373" t="str">
        <f t="shared" si="149"/>
        <v xml:space="preserve">          </v>
      </c>
      <c r="Y1373" s="227" t="str">
        <f t="shared" si="150"/>
        <v/>
      </c>
      <c r="Z1373" t="str">
        <f t="shared" si="151"/>
        <v/>
      </c>
      <c r="AL1373" t="str">
        <f t="shared" si="152"/>
        <v/>
      </c>
      <c r="AM1373" t="str">
        <f t="shared" si="153"/>
        <v/>
      </c>
    </row>
    <row r="1374" spans="1:39">
      <c r="A1374" t="str">
        <f>IF(ISBLANK(Record!A1375),"",Record!A1375)</f>
        <v/>
      </c>
      <c r="B1374" t="str">
        <f>IF(ISBLANK(Record!B1375),"",Record!B1375)</f>
        <v/>
      </c>
      <c r="C1374" s="227" t="str">
        <f>IF(ISBLANK(Record!C1375),"",Record!C1375)</f>
        <v/>
      </c>
      <c r="D1374" t="str">
        <f>IF(ISBLANK(Record!D1375),"",Record!D1375)</f>
        <v/>
      </c>
      <c r="E1374" t="str">
        <f>IF(ISBLANK(Record!E1375),"",Record!E1375)</f>
        <v/>
      </c>
      <c r="M1374" t="str">
        <f t="shared" si="147"/>
        <v xml:space="preserve">          </v>
      </c>
      <c r="N1374" s="227" t="str">
        <f t="shared" si="148"/>
        <v/>
      </c>
      <c r="X1374" t="str">
        <f t="shared" si="149"/>
        <v xml:space="preserve">          </v>
      </c>
      <c r="Y1374" s="227" t="str">
        <f t="shared" si="150"/>
        <v/>
      </c>
      <c r="Z1374" t="str">
        <f t="shared" si="151"/>
        <v/>
      </c>
      <c r="AL1374" t="str">
        <f t="shared" si="152"/>
        <v/>
      </c>
      <c r="AM1374" t="str">
        <f t="shared" si="153"/>
        <v/>
      </c>
    </row>
    <row r="1375" spans="1:39">
      <c r="A1375" t="str">
        <f>IF(ISBLANK(Record!A1376),"",Record!A1376)</f>
        <v/>
      </c>
      <c r="B1375" t="str">
        <f>IF(ISBLANK(Record!B1376),"",Record!B1376)</f>
        <v/>
      </c>
      <c r="C1375" s="227" t="str">
        <f>IF(ISBLANK(Record!C1376),"",Record!C1376)</f>
        <v/>
      </c>
      <c r="D1375" t="str">
        <f>IF(ISBLANK(Record!D1376),"",Record!D1376)</f>
        <v/>
      </c>
      <c r="E1375" t="str">
        <f>IF(ISBLANK(Record!E1376),"",Record!E1376)</f>
        <v/>
      </c>
      <c r="M1375" t="str">
        <f t="shared" si="147"/>
        <v xml:space="preserve">          </v>
      </c>
      <c r="N1375" s="227" t="str">
        <f t="shared" si="148"/>
        <v/>
      </c>
      <c r="X1375" t="str">
        <f t="shared" si="149"/>
        <v xml:space="preserve">          </v>
      </c>
      <c r="Y1375" s="227" t="str">
        <f t="shared" si="150"/>
        <v/>
      </c>
      <c r="Z1375" t="str">
        <f t="shared" si="151"/>
        <v/>
      </c>
      <c r="AL1375" t="str">
        <f t="shared" si="152"/>
        <v/>
      </c>
      <c r="AM1375" t="str">
        <f t="shared" si="153"/>
        <v/>
      </c>
    </row>
    <row r="1376" spans="1:39">
      <c r="A1376" t="str">
        <f>IF(ISBLANK(Record!A1377),"",Record!A1377)</f>
        <v/>
      </c>
      <c r="B1376" t="str">
        <f>IF(ISBLANK(Record!B1377),"",Record!B1377)</f>
        <v/>
      </c>
      <c r="C1376" s="227" t="str">
        <f>IF(ISBLANK(Record!C1377),"",Record!C1377)</f>
        <v/>
      </c>
      <c r="D1376" t="str">
        <f>IF(ISBLANK(Record!D1377),"",Record!D1377)</f>
        <v/>
      </c>
      <c r="E1376" t="str">
        <f>IF(ISBLANK(Record!E1377),"",Record!E1377)</f>
        <v/>
      </c>
      <c r="M1376" t="str">
        <f t="shared" si="147"/>
        <v xml:space="preserve">          </v>
      </c>
      <c r="N1376" s="227" t="str">
        <f t="shared" si="148"/>
        <v/>
      </c>
      <c r="X1376" t="str">
        <f t="shared" si="149"/>
        <v xml:space="preserve">          </v>
      </c>
      <c r="Y1376" s="227" t="str">
        <f t="shared" si="150"/>
        <v/>
      </c>
      <c r="Z1376" t="str">
        <f t="shared" si="151"/>
        <v/>
      </c>
      <c r="AL1376" t="str">
        <f t="shared" si="152"/>
        <v/>
      </c>
      <c r="AM1376" t="str">
        <f t="shared" si="153"/>
        <v/>
      </c>
    </row>
    <row r="1377" spans="1:39">
      <c r="A1377" t="str">
        <f>IF(ISBLANK(Record!A1378),"",Record!A1378)</f>
        <v/>
      </c>
      <c r="B1377" t="str">
        <f>IF(ISBLANK(Record!B1378),"",Record!B1378)</f>
        <v/>
      </c>
      <c r="C1377" s="227" t="str">
        <f>IF(ISBLANK(Record!C1378),"",Record!C1378)</f>
        <v/>
      </c>
      <c r="D1377" t="str">
        <f>IF(ISBLANK(Record!D1378),"",Record!D1378)</f>
        <v/>
      </c>
      <c r="E1377" t="str">
        <f>IF(ISBLANK(Record!E1378),"",Record!E1378)</f>
        <v/>
      </c>
      <c r="M1377" t="str">
        <f t="shared" si="147"/>
        <v xml:space="preserve">          </v>
      </c>
      <c r="N1377" s="227" t="str">
        <f t="shared" si="148"/>
        <v/>
      </c>
      <c r="X1377" t="str">
        <f t="shared" si="149"/>
        <v xml:space="preserve">          </v>
      </c>
      <c r="Y1377" s="227" t="str">
        <f t="shared" si="150"/>
        <v/>
      </c>
      <c r="Z1377" t="str">
        <f t="shared" si="151"/>
        <v/>
      </c>
      <c r="AL1377" t="str">
        <f t="shared" si="152"/>
        <v/>
      </c>
      <c r="AM1377" t="str">
        <f t="shared" si="153"/>
        <v/>
      </c>
    </row>
    <row r="1378" spans="1:39">
      <c r="A1378" t="str">
        <f>IF(ISBLANK(Record!A1379),"",Record!A1379)</f>
        <v/>
      </c>
      <c r="B1378" t="str">
        <f>IF(ISBLANK(Record!B1379),"",Record!B1379)</f>
        <v/>
      </c>
      <c r="C1378" s="227" t="str">
        <f>IF(ISBLANK(Record!C1379),"",Record!C1379)</f>
        <v/>
      </c>
      <c r="D1378" t="str">
        <f>IF(ISBLANK(Record!D1379),"",Record!D1379)</f>
        <v/>
      </c>
      <c r="E1378" t="str">
        <f>IF(ISBLANK(Record!E1379),"",Record!E1379)</f>
        <v/>
      </c>
      <c r="M1378" t="str">
        <f t="shared" si="147"/>
        <v xml:space="preserve">          </v>
      </c>
      <c r="N1378" s="227" t="str">
        <f t="shared" si="148"/>
        <v/>
      </c>
      <c r="X1378" t="str">
        <f t="shared" si="149"/>
        <v xml:space="preserve">          </v>
      </c>
      <c r="Y1378" s="227" t="str">
        <f t="shared" si="150"/>
        <v/>
      </c>
      <c r="Z1378" t="str">
        <f t="shared" si="151"/>
        <v/>
      </c>
      <c r="AL1378" t="str">
        <f t="shared" si="152"/>
        <v/>
      </c>
      <c r="AM1378" t="str">
        <f t="shared" si="153"/>
        <v/>
      </c>
    </row>
    <row r="1379" spans="1:39">
      <c r="A1379" t="str">
        <f>IF(ISBLANK(Record!A1380),"",Record!A1380)</f>
        <v/>
      </c>
      <c r="B1379" t="str">
        <f>IF(ISBLANK(Record!B1380),"",Record!B1380)</f>
        <v/>
      </c>
      <c r="C1379" s="227" t="str">
        <f>IF(ISBLANK(Record!C1380),"",Record!C1380)</f>
        <v/>
      </c>
      <c r="D1379" t="str">
        <f>IF(ISBLANK(Record!D1380),"",Record!D1380)</f>
        <v/>
      </c>
      <c r="E1379" t="str">
        <f>IF(ISBLANK(Record!E1380),"",Record!E1380)</f>
        <v/>
      </c>
      <c r="M1379" t="str">
        <f t="shared" si="147"/>
        <v xml:space="preserve">          </v>
      </c>
      <c r="N1379" s="227" t="str">
        <f t="shared" si="148"/>
        <v/>
      </c>
      <c r="X1379" t="str">
        <f t="shared" si="149"/>
        <v xml:space="preserve">          </v>
      </c>
      <c r="Y1379" s="227" t="str">
        <f t="shared" si="150"/>
        <v/>
      </c>
      <c r="Z1379" t="str">
        <f t="shared" si="151"/>
        <v/>
      </c>
      <c r="AL1379" t="str">
        <f t="shared" si="152"/>
        <v/>
      </c>
      <c r="AM1379" t="str">
        <f t="shared" si="153"/>
        <v/>
      </c>
    </row>
    <row r="1380" spans="1:39">
      <c r="A1380" t="str">
        <f>IF(ISBLANK(Record!A1381),"",Record!A1381)</f>
        <v/>
      </c>
      <c r="B1380" t="str">
        <f>IF(ISBLANK(Record!B1381),"",Record!B1381)</f>
        <v/>
      </c>
      <c r="C1380" s="227" t="str">
        <f>IF(ISBLANK(Record!C1381),"",Record!C1381)</f>
        <v/>
      </c>
      <c r="D1380" t="str">
        <f>IF(ISBLANK(Record!D1381),"",Record!D1381)</f>
        <v/>
      </c>
      <c r="E1380" t="str">
        <f>IF(ISBLANK(Record!E1381),"",Record!E1381)</f>
        <v/>
      </c>
      <c r="M1380" t="str">
        <f t="shared" si="147"/>
        <v xml:space="preserve">          </v>
      </c>
      <c r="N1380" s="227" t="str">
        <f t="shared" si="148"/>
        <v/>
      </c>
      <c r="X1380" t="str">
        <f t="shared" si="149"/>
        <v xml:space="preserve">          </v>
      </c>
      <c r="Y1380" s="227" t="str">
        <f t="shared" si="150"/>
        <v/>
      </c>
      <c r="Z1380" t="str">
        <f t="shared" si="151"/>
        <v/>
      </c>
      <c r="AL1380" t="str">
        <f t="shared" si="152"/>
        <v/>
      </c>
      <c r="AM1380" t="str">
        <f t="shared" si="153"/>
        <v/>
      </c>
    </row>
    <row r="1381" spans="1:39">
      <c r="A1381" t="str">
        <f>IF(ISBLANK(Record!A1382),"",Record!A1382)</f>
        <v/>
      </c>
      <c r="B1381" t="str">
        <f>IF(ISBLANK(Record!B1382),"",Record!B1382)</f>
        <v/>
      </c>
      <c r="C1381" s="227" t="str">
        <f>IF(ISBLANK(Record!C1382),"",Record!C1382)</f>
        <v/>
      </c>
      <c r="D1381" t="str">
        <f>IF(ISBLANK(Record!D1382),"",Record!D1382)</f>
        <v/>
      </c>
      <c r="E1381" t="str">
        <f>IF(ISBLANK(Record!E1382),"",Record!E1382)</f>
        <v/>
      </c>
      <c r="M1381" t="str">
        <f t="shared" si="147"/>
        <v xml:space="preserve">          </v>
      </c>
      <c r="N1381" s="227" t="str">
        <f t="shared" si="148"/>
        <v/>
      </c>
      <c r="X1381" t="str">
        <f t="shared" si="149"/>
        <v xml:space="preserve">          </v>
      </c>
      <c r="Y1381" s="227" t="str">
        <f t="shared" si="150"/>
        <v/>
      </c>
      <c r="Z1381" t="str">
        <f t="shared" si="151"/>
        <v/>
      </c>
      <c r="AL1381" t="str">
        <f t="shared" si="152"/>
        <v/>
      </c>
      <c r="AM1381" t="str">
        <f t="shared" si="153"/>
        <v/>
      </c>
    </row>
    <row r="1382" spans="1:39">
      <c r="A1382" t="str">
        <f>IF(ISBLANK(Record!A1383),"",Record!A1383)</f>
        <v/>
      </c>
      <c r="B1382" t="str">
        <f>IF(ISBLANK(Record!B1383),"",Record!B1383)</f>
        <v/>
      </c>
      <c r="C1382" s="227" t="str">
        <f>IF(ISBLANK(Record!C1383),"",Record!C1383)</f>
        <v/>
      </c>
      <c r="D1382" t="str">
        <f>IF(ISBLANK(Record!D1383),"",Record!D1383)</f>
        <v/>
      </c>
      <c r="E1382" t="str">
        <f>IF(ISBLANK(Record!E1383),"",Record!E1383)</f>
        <v/>
      </c>
      <c r="M1382" t="str">
        <f t="shared" si="147"/>
        <v xml:space="preserve">          </v>
      </c>
      <c r="N1382" s="227" t="str">
        <f t="shared" si="148"/>
        <v/>
      </c>
      <c r="X1382" t="str">
        <f t="shared" si="149"/>
        <v xml:space="preserve">          </v>
      </c>
      <c r="Y1382" s="227" t="str">
        <f t="shared" si="150"/>
        <v/>
      </c>
      <c r="Z1382" t="str">
        <f t="shared" si="151"/>
        <v/>
      </c>
      <c r="AL1382" t="str">
        <f t="shared" si="152"/>
        <v/>
      </c>
      <c r="AM1382" t="str">
        <f t="shared" si="153"/>
        <v/>
      </c>
    </row>
    <row r="1383" spans="1:39">
      <c r="A1383" t="str">
        <f>IF(ISBLANK(Record!A1384),"",Record!A1384)</f>
        <v/>
      </c>
      <c r="B1383" t="str">
        <f>IF(ISBLANK(Record!B1384),"",Record!B1384)</f>
        <v/>
      </c>
      <c r="C1383" s="227" t="str">
        <f>IF(ISBLANK(Record!C1384),"",Record!C1384)</f>
        <v/>
      </c>
      <c r="D1383" t="str">
        <f>IF(ISBLANK(Record!D1384),"",Record!D1384)</f>
        <v/>
      </c>
      <c r="E1383" t="str">
        <f>IF(ISBLANK(Record!E1384),"",Record!E1384)</f>
        <v/>
      </c>
      <c r="M1383" t="str">
        <f t="shared" si="147"/>
        <v xml:space="preserve">          </v>
      </c>
      <c r="N1383" s="227" t="str">
        <f t="shared" si="148"/>
        <v/>
      </c>
      <c r="X1383" t="str">
        <f t="shared" si="149"/>
        <v xml:space="preserve">          </v>
      </c>
      <c r="Y1383" s="227" t="str">
        <f t="shared" si="150"/>
        <v/>
      </c>
      <c r="Z1383" t="str">
        <f t="shared" si="151"/>
        <v/>
      </c>
      <c r="AL1383" t="str">
        <f t="shared" si="152"/>
        <v/>
      </c>
      <c r="AM1383" t="str">
        <f t="shared" si="153"/>
        <v/>
      </c>
    </row>
    <row r="1384" spans="1:39">
      <c r="A1384" t="str">
        <f>IF(ISBLANK(Record!A1385),"",Record!A1385)</f>
        <v/>
      </c>
      <c r="B1384" t="str">
        <f>IF(ISBLANK(Record!B1385),"",Record!B1385)</f>
        <v/>
      </c>
      <c r="C1384" s="227" t="str">
        <f>IF(ISBLANK(Record!C1385),"",Record!C1385)</f>
        <v/>
      </c>
      <c r="D1384" t="str">
        <f>IF(ISBLANK(Record!D1385),"",Record!D1385)</f>
        <v/>
      </c>
      <c r="E1384" t="str">
        <f>IF(ISBLANK(Record!E1385),"",Record!E1385)</f>
        <v/>
      </c>
      <c r="M1384" t="str">
        <f t="shared" si="147"/>
        <v xml:space="preserve">          </v>
      </c>
      <c r="N1384" s="227" t="str">
        <f t="shared" si="148"/>
        <v/>
      </c>
      <c r="X1384" t="str">
        <f t="shared" si="149"/>
        <v xml:space="preserve">          </v>
      </c>
      <c r="Y1384" s="227" t="str">
        <f t="shared" si="150"/>
        <v/>
      </c>
      <c r="Z1384" t="str">
        <f t="shared" si="151"/>
        <v/>
      </c>
      <c r="AL1384" t="str">
        <f t="shared" si="152"/>
        <v/>
      </c>
      <c r="AM1384" t="str">
        <f t="shared" si="153"/>
        <v/>
      </c>
    </row>
    <row r="1385" spans="1:39">
      <c r="A1385" t="str">
        <f>IF(ISBLANK(Record!A1386),"",Record!A1386)</f>
        <v/>
      </c>
      <c r="B1385" t="str">
        <f>IF(ISBLANK(Record!B1386),"",Record!B1386)</f>
        <v/>
      </c>
      <c r="C1385" s="227" t="str">
        <f>IF(ISBLANK(Record!C1386),"",Record!C1386)</f>
        <v/>
      </c>
      <c r="D1385" t="str">
        <f>IF(ISBLANK(Record!D1386),"",Record!D1386)</f>
        <v/>
      </c>
      <c r="E1385" t="str">
        <f>IF(ISBLANK(Record!E1386),"",Record!E1386)</f>
        <v/>
      </c>
      <c r="M1385" t="str">
        <f t="shared" si="147"/>
        <v xml:space="preserve">          </v>
      </c>
      <c r="N1385" s="227" t="str">
        <f t="shared" si="148"/>
        <v/>
      </c>
      <c r="X1385" t="str">
        <f t="shared" si="149"/>
        <v xml:space="preserve">          </v>
      </c>
      <c r="Y1385" s="227" t="str">
        <f t="shared" si="150"/>
        <v/>
      </c>
      <c r="Z1385" t="str">
        <f t="shared" si="151"/>
        <v/>
      </c>
      <c r="AL1385" t="str">
        <f t="shared" si="152"/>
        <v/>
      </c>
      <c r="AM1385" t="str">
        <f t="shared" si="153"/>
        <v/>
      </c>
    </row>
    <row r="1386" spans="1:39">
      <c r="A1386" t="str">
        <f>IF(ISBLANK(Record!A1387),"",Record!A1387)</f>
        <v/>
      </c>
      <c r="B1386" t="str">
        <f>IF(ISBLANK(Record!B1387),"",Record!B1387)</f>
        <v/>
      </c>
      <c r="C1386" s="227" t="str">
        <f>IF(ISBLANK(Record!C1387),"",Record!C1387)</f>
        <v/>
      </c>
      <c r="D1386" t="str">
        <f>IF(ISBLANK(Record!D1387),"",Record!D1387)</f>
        <v/>
      </c>
      <c r="E1386" t="str">
        <f>IF(ISBLANK(Record!E1387),"",Record!E1387)</f>
        <v/>
      </c>
      <c r="M1386" t="str">
        <f t="shared" si="147"/>
        <v xml:space="preserve">          </v>
      </c>
      <c r="N1386" s="227" t="str">
        <f t="shared" si="148"/>
        <v/>
      </c>
      <c r="X1386" t="str">
        <f t="shared" si="149"/>
        <v xml:space="preserve">          </v>
      </c>
      <c r="Y1386" s="227" t="str">
        <f t="shared" si="150"/>
        <v/>
      </c>
      <c r="Z1386" t="str">
        <f t="shared" si="151"/>
        <v/>
      </c>
      <c r="AL1386" t="str">
        <f t="shared" si="152"/>
        <v/>
      </c>
      <c r="AM1386" t="str">
        <f t="shared" si="153"/>
        <v/>
      </c>
    </row>
    <row r="1387" spans="1:39">
      <c r="A1387" t="str">
        <f>IF(ISBLANK(Record!A1388),"",Record!A1388)</f>
        <v/>
      </c>
      <c r="B1387" t="str">
        <f>IF(ISBLANK(Record!B1388),"",Record!B1388)</f>
        <v/>
      </c>
      <c r="C1387" s="227" t="str">
        <f>IF(ISBLANK(Record!C1388),"",Record!C1388)</f>
        <v/>
      </c>
      <c r="D1387" t="str">
        <f>IF(ISBLANK(Record!D1388),"",Record!D1388)</f>
        <v/>
      </c>
      <c r="E1387" t="str">
        <f>IF(ISBLANK(Record!E1388),"",Record!E1388)</f>
        <v/>
      </c>
      <c r="M1387" t="str">
        <f t="shared" si="147"/>
        <v xml:space="preserve">          </v>
      </c>
      <c r="N1387" s="227" t="str">
        <f t="shared" si="148"/>
        <v/>
      </c>
      <c r="X1387" t="str">
        <f t="shared" si="149"/>
        <v xml:space="preserve">          </v>
      </c>
      <c r="Y1387" s="227" t="str">
        <f t="shared" si="150"/>
        <v/>
      </c>
      <c r="Z1387" t="str">
        <f t="shared" si="151"/>
        <v/>
      </c>
      <c r="AL1387" t="str">
        <f t="shared" si="152"/>
        <v/>
      </c>
      <c r="AM1387" t="str">
        <f t="shared" si="153"/>
        <v/>
      </c>
    </row>
    <row r="1388" spans="1:39">
      <c r="A1388" t="str">
        <f>IF(ISBLANK(Record!A1389),"",Record!A1389)</f>
        <v/>
      </c>
      <c r="B1388" t="str">
        <f>IF(ISBLANK(Record!B1389),"",Record!B1389)</f>
        <v/>
      </c>
      <c r="C1388" s="227" t="str">
        <f>IF(ISBLANK(Record!C1389),"",Record!C1389)</f>
        <v/>
      </c>
      <c r="D1388" t="str">
        <f>IF(ISBLANK(Record!D1389),"",Record!D1389)</f>
        <v/>
      </c>
      <c r="E1388" t="str">
        <f>IF(ISBLANK(Record!E1389),"",Record!E1389)</f>
        <v/>
      </c>
      <c r="M1388" t="str">
        <f t="shared" si="147"/>
        <v xml:space="preserve">          </v>
      </c>
      <c r="N1388" s="227" t="str">
        <f t="shared" si="148"/>
        <v/>
      </c>
      <c r="X1388" t="str">
        <f t="shared" si="149"/>
        <v xml:space="preserve">          </v>
      </c>
      <c r="Y1388" s="227" t="str">
        <f t="shared" si="150"/>
        <v/>
      </c>
      <c r="Z1388" t="str">
        <f t="shared" si="151"/>
        <v/>
      </c>
      <c r="AL1388" t="str">
        <f t="shared" si="152"/>
        <v/>
      </c>
      <c r="AM1388" t="str">
        <f t="shared" si="153"/>
        <v/>
      </c>
    </row>
    <row r="1389" spans="1:39">
      <c r="A1389" t="str">
        <f>IF(ISBLANK(Record!A1390),"",Record!A1390)</f>
        <v/>
      </c>
      <c r="B1389" t="str">
        <f>IF(ISBLANK(Record!B1390),"",Record!B1390)</f>
        <v/>
      </c>
      <c r="C1389" s="227" t="str">
        <f>IF(ISBLANK(Record!C1390),"",Record!C1390)</f>
        <v/>
      </c>
      <c r="D1389" t="str">
        <f>IF(ISBLANK(Record!D1390),"",Record!D1390)</f>
        <v/>
      </c>
      <c r="E1389" t="str">
        <f>IF(ISBLANK(Record!E1390),"",Record!E1390)</f>
        <v/>
      </c>
      <c r="M1389" t="str">
        <f t="shared" si="147"/>
        <v xml:space="preserve">          </v>
      </c>
      <c r="N1389" s="227" t="str">
        <f t="shared" si="148"/>
        <v/>
      </c>
      <c r="X1389" t="str">
        <f t="shared" si="149"/>
        <v xml:space="preserve">          </v>
      </c>
      <c r="Y1389" s="227" t="str">
        <f t="shared" si="150"/>
        <v/>
      </c>
      <c r="Z1389" t="str">
        <f t="shared" si="151"/>
        <v/>
      </c>
      <c r="AL1389" t="str">
        <f t="shared" si="152"/>
        <v/>
      </c>
      <c r="AM1389" t="str">
        <f t="shared" si="153"/>
        <v/>
      </c>
    </row>
    <row r="1390" spans="1:39">
      <c r="A1390" t="str">
        <f>IF(ISBLANK(Record!A1391),"",Record!A1391)</f>
        <v/>
      </c>
      <c r="B1390" t="str">
        <f>IF(ISBLANK(Record!B1391),"",Record!B1391)</f>
        <v/>
      </c>
      <c r="C1390" s="227" t="str">
        <f>IF(ISBLANK(Record!C1391),"",Record!C1391)</f>
        <v/>
      </c>
      <c r="D1390" t="str">
        <f>IF(ISBLANK(Record!D1391),"",Record!D1391)</f>
        <v/>
      </c>
      <c r="E1390" t="str">
        <f>IF(ISBLANK(Record!E1391),"",Record!E1391)</f>
        <v/>
      </c>
      <c r="M1390" t="str">
        <f t="shared" si="147"/>
        <v xml:space="preserve">          </v>
      </c>
      <c r="N1390" s="227" t="str">
        <f t="shared" si="148"/>
        <v/>
      </c>
      <c r="X1390" t="str">
        <f t="shared" si="149"/>
        <v xml:space="preserve">          </v>
      </c>
      <c r="Y1390" s="227" t="str">
        <f t="shared" si="150"/>
        <v/>
      </c>
      <c r="Z1390" t="str">
        <f t="shared" si="151"/>
        <v/>
      </c>
      <c r="AL1390" t="str">
        <f t="shared" si="152"/>
        <v/>
      </c>
      <c r="AM1390" t="str">
        <f t="shared" si="153"/>
        <v/>
      </c>
    </row>
    <row r="1391" spans="1:39">
      <c r="A1391" t="str">
        <f>IF(ISBLANK(Record!A1392),"",Record!A1392)</f>
        <v/>
      </c>
      <c r="B1391" t="str">
        <f>IF(ISBLANK(Record!B1392),"",Record!B1392)</f>
        <v/>
      </c>
      <c r="C1391" s="227" t="str">
        <f>IF(ISBLANK(Record!C1392),"",Record!C1392)</f>
        <v/>
      </c>
      <c r="D1391" t="str">
        <f>IF(ISBLANK(Record!D1392),"",Record!D1392)</f>
        <v/>
      </c>
      <c r="E1391" t="str">
        <f>IF(ISBLANK(Record!E1392),"",Record!E1392)</f>
        <v/>
      </c>
      <c r="M1391" t="str">
        <f t="shared" si="147"/>
        <v xml:space="preserve">          </v>
      </c>
      <c r="N1391" s="227" t="str">
        <f t="shared" si="148"/>
        <v/>
      </c>
      <c r="X1391" t="str">
        <f t="shared" si="149"/>
        <v xml:space="preserve">          </v>
      </c>
      <c r="Y1391" s="227" t="str">
        <f t="shared" si="150"/>
        <v/>
      </c>
      <c r="Z1391" t="str">
        <f t="shared" si="151"/>
        <v/>
      </c>
      <c r="AL1391" t="str">
        <f t="shared" si="152"/>
        <v/>
      </c>
      <c r="AM1391" t="str">
        <f t="shared" si="153"/>
        <v/>
      </c>
    </row>
    <row r="1392" spans="1:39">
      <c r="A1392" t="str">
        <f>IF(ISBLANK(Record!A1393),"",Record!A1393)</f>
        <v/>
      </c>
      <c r="B1392" t="str">
        <f>IF(ISBLANK(Record!B1393),"",Record!B1393)</f>
        <v/>
      </c>
      <c r="C1392" s="227" t="str">
        <f>IF(ISBLANK(Record!C1393),"",Record!C1393)</f>
        <v/>
      </c>
      <c r="D1392" t="str">
        <f>IF(ISBLANK(Record!D1393),"",Record!D1393)</f>
        <v/>
      </c>
      <c r="E1392" t="str">
        <f>IF(ISBLANK(Record!E1393),"",Record!E1393)</f>
        <v/>
      </c>
      <c r="M1392" t="str">
        <f t="shared" si="147"/>
        <v xml:space="preserve">          </v>
      </c>
      <c r="N1392" s="227" t="str">
        <f t="shared" si="148"/>
        <v/>
      </c>
      <c r="X1392" t="str">
        <f t="shared" si="149"/>
        <v xml:space="preserve">          </v>
      </c>
      <c r="Y1392" s="227" t="str">
        <f t="shared" si="150"/>
        <v/>
      </c>
      <c r="Z1392" t="str">
        <f t="shared" si="151"/>
        <v/>
      </c>
      <c r="AL1392" t="str">
        <f t="shared" si="152"/>
        <v/>
      </c>
      <c r="AM1392" t="str">
        <f t="shared" si="153"/>
        <v/>
      </c>
    </row>
    <row r="1393" spans="1:39">
      <c r="A1393" t="str">
        <f>IF(ISBLANK(Record!A1394),"",Record!A1394)</f>
        <v/>
      </c>
      <c r="B1393" t="str">
        <f>IF(ISBLANK(Record!B1394),"",Record!B1394)</f>
        <v/>
      </c>
      <c r="C1393" s="227" t="str">
        <f>IF(ISBLANK(Record!C1394),"",Record!C1394)</f>
        <v/>
      </c>
      <c r="D1393" t="str">
        <f>IF(ISBLANK(Record!D1394),"",Record!D1394)</f>
        <v/>
      </c>
      <c r="E1393" t="str">
        <f>IF(ISBLANK(Record!E1394),"",Record!E1394)</f>
        <v/>
      </c>
      <c r="M1393" t="str">
        <f t="shared" si="147"/>
        <v xml:space="preserve">          </v>
      </c>
      <c r="N1393" s="227" t="str">
        <f t="shared" si="148"/>
        <v/>
      </c>
      <c r="X1393" t="str">
        <f t="shared" si="149"/>
        <v xml:space="preserve">          </v>
      </c>
      <c r="Y1393" s="227" t="str">
        <f t="shared" si="150"/>
        <v/>
      </c>
      <c r="Z1393" t="str">
        <f t="shared" si="151"/>
        <v/>
      </c>
      <c r="AL1393" t="str">
        <f t="shared" si="152"/>
        <v/>
      </c>
      <c r="AM1393" t="str">
        <f t="shared" si="153"/>
        <v/>
      </c>
    </row>
    <row r="1394" spans="1:39">
      <c r="A1394" t="str">
        <f>IF(ISBLANK(Record!A1395),"",Record!A1395)</f>
        <v/>
      </c>
      <c r="B1394" t="str">
        <f>IF(ISBLANK(Record!B1395),"",Record!B1395)</f>
        <v/>
      </c>
      <c r="C1394" s="227" t="str">
        <f>IF(ISBLANK(Record!C1395),"",Record!C1395)</f>
        <v/>
      </c>
      <c r="D1394" t="str">
        <f>IF(ISBLANK(Record!D1395),"",Record!D1395)</f>
        <v/>
      </c>
      <c r="E1394" t="str">
        <f>IF(ISBLANK(Record!E1395),"",Record!E1395)</f>
        <v/>
      </c>
      <c r="M1394" t="str">
        <f t="shared" si="147"/>
        <v xml:space="preserve">          </v>
      </c>
      <c r="N1394" s="227" t="str">
        <f t="shared" si="148"/>
        <v/>
      </c>
      <c r="X1394" t="str">
        <f t="shared" si="149"/>
        <v xml:space="preserve">          </v>
      </c>
      <c r="Y1394" s="227" t="str">
        <f t="shared" si="150"/>
        <v/>
      </c>
      <c r="Z1394" t="str">
        <f t="shared" si="151"/>
        <v/>
      </c>
      <c r="AL1394" t="str">
        <f t="shared" si="152"/>
        <v/>
      </c>
      <c r="AM1394" t="str">
        <f t="shared" si="153"/>
        <v/>
      </c>
    </row>
    <row r="1395" spans="1:39">
      <c r="A1395" t="str">
        <f>IF(ISBLANK(Record!A1396),"",Record!A1396)</f>
        <v/>
      </c>
      <c r="B1395" t="str">
        <f>IF(ISBLANK(Record!B1396),"",Record!B1396)</f>
        <v/>
      </c>
      <c r="C1395" s="227" t="str">
        <f>IF(ISBLANK(Record!C1396),"",Record!C1396)</f>
        <v/>
      </c>
      <c r="D1395" t="str">
        <f>IF(ISBLANK(Record!D1396),"",Record!D1396)</f>
        <v/>
      </c>
      <c r="E1395" t="str">
        <f>IF(ISBLANK(Record!E1396),"",Record!E1396)</f>
        <v/>
      </c>
      <c r="M1395" t="str">
        <f t="shared" si="147"/>
        <v xml:space="preserve">          </v>
      </c>
      <c r="N1395" s="227" t="str">
        <f t="shared" si="148"/>
        <v/>
      </c>
      <c r="X1395" t="str">
        <f t="shared" si="149"/>
        <v xml:space="preserve">          </v>
      </c>
      <c r="Y1395" s="227" t="str">
        <f t="shared" si="150"/>
        <v/>
      </c>
      <c r="Z1395" t="str">
        <f t="shared" si="151"/>
        <v/>
      </c>
      <c r="AL1395" t="str">
        <f t="shared" si="152"/>
        <v/>
      </c>
      <c r="AM1395" t="str">
        <f t="shared" si="153"/>
        <v/>
      </c>
    </row>
    <row r="1396" spans="1:39">
      <c r="A1396" t="str">
        <f>IF(ISBLANK(Record!A1397),"",Record!A1397)</f>
        <v/>
      </c>
      <c r="B1396" t="str">
        <f>IF(ISBLANK(Record!B1397),"",Record!B1397)</f>
        <v/>
      </c>
      <c r="C1396" s="227" t="str">
        <f>IF(ISBLANK(Record!C1397),"",Record!C1397)</f>
        <v/>
      </c>
      <c r="D1396" t="str">
        <f>IF(ISBLANK(Record!D1397),"",Record!D1397)</f>
        <v/>
      </c>
      <c r="E1396" t="str">
        <f>IF(ISBLANK(Record!E1397),"",Record!E1397)</f>
        <v/>
      </c>
      <c r="M1396" t="str">
        <f t="shared" si="147"/>
        <v xml:space="preserve">          </v>
      </c>
      <c r="N1396" s="227" t="str">
        <f t="shared" si="148"/>
        <v/>
      </c>
      <c r="X1396" t="str">
        <f t="shared" si="149"/>
        <v xml:space="preserve">          </v>
      </c>
      <c r="Y1396" s="227" t="str">
        <f t="shared" si="150"/>
        <v/>
      </c>
      <c r="Z1396" t="str">
        <f t="shared" si="151"/>
        <v/>
      </c>
      <c r="AL1396" t="str">
        <f t="shared" si="152"/>
        <v/>
      </c>
      <c r="AM1396" t="str">
        <f t="shared" si="153"/>
        <v/>
      </c>
    </row>
    <row r="1397" spans="1:39">
      <c r="A1397" t="str">
        <f>IF(ISBLANK(Record!A1398),"",Record!A1398)</f>
        <v/>
      </c>
      <c r="B1397" t="str">
        <f>IF(ISBLANK(Record!B1398),"",Record!B1398)</f>
        <v/>
      </c>
      <c r="C1397" s="227" t="str">
        <f>IF(ISBLANK(Record!C1398),"",Record!C1398)</f>
        <v/>
      </c>
      <c r="D1397" t="str">
        <f>IF(ISBLANK(Record!D1398),"",Record!D1398)</f>
        <v/>
      </c>
      <c r="E1397" t="str">
        <f>IF(ISBLANK(Record!E1398),"",Record!E1398)</f>
        <v/>
      </c>
      <c r="M1397" t="str">
        <f t="shared" si="147"/>
        <v xml:space="preserve">          </v>
      </c>
      <c r="N1397" s="227" t="str">
        <f t="shared" si="148"/>
        <v/>
      </c>
      <c r="X1397" t="str">
        <f t="shared" si="149"/>
        <v xml:space="preserve">          </v>
      </c>
      <c r="Y1397" s="227" t="str">
        <f t="shared" si="150"/>
        <v/>
      </c>
      <c r="Z1397" t="str">
        <f t="shared" si="151"/>
        <v/>
      </c>
      <c r="AL1397" t="str">
        <f t="shared" si="152"/>
        <v/>
      </c>
      <c r="AM1397" t="str">
        <f t="shared" si="153"/>
        <v/>
      </c>
    </row>
    <row r="1398" spans="1:39">
      <c r="A1398" t="str">
        <f>IF(ISBLANK(Record!A1399),"",Record!A1399)</f>
        <v/>
      </c>
      <c r="B1398" t="str">
        <f>IF(ISBLANK(Record!B1399),"",Record!B1399)</f>
        <v/>
      </c>
      <c r="C1398" s="227" t="str">
        <f>IF(ISBLANK(Record!C1399),"",Record!C1399)</f>
        <v/>
      </c>
      <c r="D1398" t="str">
        <f>IF(ISBLANK(Record!D1399),"",Record!D1399)</f>
        <v/>
      </c>
      <c r="E1398" t="str">
        <f>IF(ISBLANK(Record!E1399),"",Record!E1399)</f>
        <v/>
      </c>
      <c r="M1398" t="str">
        <f t="shared" si="147"/>
        <v xml:space="preserve">          </v>
      </c>
      <c r="N1398" s="227" t="str">
        <f t="shared" si="148"/>
        <v/>
      </c>
      <c r="X1398" t="str">
        <f t="shared" si="149"/>
        <v xml:space="preserve">          </v>
      </c>
      <c r="Y1398" s="227" t="str">
        <f t="shared" si="150"/>
        <v/>
      </c>
      <c r="Z1398" t="str">
        <f t="shared" si="151"/>
        <v/>
      </c>
      <c r="AL1398" t="str">
        <f t="shared" si="152"/>
        <v/>
      </c>
      <c r="AM1398" t="str">
        <f t="shared" si="153"/>
        <v/>
      </c>
    </row>
    <row r="1399" spans="1:39">
      <c r="A1399" t="str">
        <f>IF(ISBLANK(Record!A1400),"",Record!A1400)</f>
        <v/>
      </c>
      <c r="B1399" t="str">
        <f>IF(ISBLANK(Record!B1400),"",Record!B1400)</f>
        <v/>
      </c>
      <c r="C1399" s="227" t="str">
        <f>IF(ISBLANK(Record!C1400),"",Record!C1400)</f>
        <v/>
      </c>
      <c r="D1399" t="str">
        <f>IF(ISBLANK(Record!D1400),"",Record!D1400)</f>
        <v/>
      </c>
      <c r="E1399" t="str">
        <f>IF(ISBLANK(Record!E1400),"",Record!E1400)</f>
        <v/>
      </c>
      <c r="M1399" t="str">
        <f t="shared" si="147"/>
        <v xml:space="preserve">          </v>
      </c>
      <c r="N1399" s="227" t="str">
        <f t="shared" si="148"/>
        <v/>
      </c>
      <c r="X1399" t="str">
        <f t="shared" si="149"/>
        <v xml:space="preserve">          </v>
      </c>
      <c r="Y1399" s="227" t="str">
        <f t="shared" si="150"/>
        <v/>
      </c>
      <c r="Z1399" t="str">
        <f t="shared" si="151"/>
        <v/>
      </c>
      <c r="AL1399" t="str">
        <f t="shared" si="152"/>
        <v/>
      </c>
      <c r="AM1399" t="str">
        <f t="shared" si="153"/>
        <v/>
      </c>
    </row>
    <row r="1400" spans="1:39">
      <c r="A1400" t="str">
        <f>IF(ISBLANK(Record!A1401),"",Record!A1401)</f>
        <v/>
      </c>
      <c r="B1400" t="str">
        <f>IF(ISBLANK(Record!B1401),"",Record!B1401)</f>
        <v/>
      </c>
      <c r="C1400" s="227" t="str">
        <f>IF(ISBLANK(Record!C1401),"",Record!C1401)</f>
        <v/>
      </c>
      <c r="D1400" t="str">
        <f>IF(ISBLANK(Record!D1401),"",Record!D1401)</f>
        <v/>
      </c>
      <c r="E1400" t="str">
        <f>IF(ISBLANK(Record!E1401),"",Record!E1401)</f>
        <v/>
      </c>
      <c r="M1400" t="str">
        <f t="shared" si="147"/>
        <v xml:space="preserve">          </v>
      </c>
      <c r="N1400" s="227" t="str">
        <f t="shared" si="148"/>
        <v/>
      </c>
      <c r="X1400" t="str">
        <f t="shared" si="149"/>
        <v xml:space="preserve">          </v>
      </c>
      <c r="Y1400" s="227" t="str">
        <f t="shared" si="150"/>
        <v/>
      </c>
      <c r="Z1400" t="str">
        <f t="shared" si="151"/>
        <v/>
      </c>
      <c r="AL1400" t="str">
        <f t="shared" si="152"/>
        <v/>
      </c>
      <c r="AM1400" t="str">
        <f t="shared" si="153"/>
        <v/>
      </c>
    </row>
    <row r="1401" spans="1:39">
      <c r="A1401" t="str">
        <f>IF(ISBLANK(Record!A1402),"",Record!A1402)</f>
        <v/>
      </c>
      <c r="B1401" t="str">
        <f>IF(ISBLANK(Record!B1402),"",Record!B1402)</f>
        <v/>
      </c>
      <c r="C1401" s="227" t="str">
        <f>IF(ISBLANK(Record!C1402),"",Record!C1402)</f>
        <v/>
      </c>
      <c r="D1401" t="str">
        <f>IF(ISBLANK(Record!D1402),"",Record!D1402)</f>
        <v/>
      </c>
      <c r="E1401" t="str">
        <f>IF(ISBLANK(Record!E1402),"",Record!E1402)</f>
        <v/>
      </c>
      <c r="M1401" t="str">
        <f t="shared" si="147"/>
        <v xml:space="preserve">          </v>
      </c>
      <c r="N1401" s="227" t="str">
        <f t="shared" si="148"/>
        <v/>
      </c>
      <c r="X1401" t="str">
        <f t="shared" si="149"/>
        <v xml:space="preserve">          </v>
      </c>
      <c r="Y1401" s="227" t="str">
        <f t="shared" si="150"/>
        <v/>
      </c>
      <c r="Z1401" t="str">
        <f t="shared" si="151"/>
        <v/>
      </c>
      <c r="AL1401" t="str">
        <f t="shared" si="152"/>
        <v/>
      </c>
      <c r="AM1401" t="str">
        <f t="shared" si="153"/>
        <v/>
      </c>
    </row>
    <row r="1402" spans="1:39">
      <c r="A1402" t="str">
        <f>IF(ISBLANK(Record!A1403),"",Record!A1403)</f>
        <v/>
      </c>
      <c r="B1402" t="str">
        <f>IF(ISBLANK(Record!B1403),"",Record!B1403)</f>
        <v/>
      </c>
      <c r="C1402" s="227" t="str">
        <f>IF(ISBLANK(Record!C1403),"",Record!C1403)</f>
        <v/>
      </c>
      <c r="D1402" t="str">
        <f>IF(ISBLANK(Record!D1403),"",Record!D1403)</f>
        <v/>
      </c>
      <c r="E1402" t="str">
        <f>IF(ISBLANK(Record!E1403),"",Record!E1403)</f>
        <v/>
      </c>
      <c r="M1402" t="str">
        <f t="shared" si="147"/>
        <v xml:space="preserve">          </v>
      </c>
      <c r="N1402" s="227" t="str">
        <f t="shared" si="148"/>
        <v/>
      </c>
      <c r="X1402" t="str">
        <f t="shared" si="149"/>
        <v xml:space="preserve">          </v>
      </c>
      <c r="Y1402" s="227" t="str">
        <f t="shared" si="150"/>
        <v/>
      </c>
      <c r="Z1402" t="str">
        <f t="shared" si="151"/>
        <v/>
      </c>
      <c r="AL1402" t="str">
        <f t="shared" si="152"/>
        <v/>
      </c>
      <c r="AM1402" t="str">
        <f t="shared" si="153"/>
        <v/>
      </c>
    </row>
    <row r="1403" spans="1:39">
      <c r="A1403" t="str">
        <f>IF(ISBLANK(Record!A1404),"",Record!A1404)</f>
        <v/>
      </c>
      <c r="B1403" t="str">
        <f>IF(ISBLANK(Record!B1404),"",Record!B1404)</f>
        <v/>
      </c>
      <c r="C1403" s="227" t="str">
        <f>IF(ISBLANK(Record!C1404),"",Record!C1404)</f>
        <v/>
      </c>
      <c r="D1403" t="str">
        <f>IF(ISBLANK(Record!D1404),"",Record!D1404)</f>
        <v/>
      </c>
      <c r="E1403" t="str">
        <f>IF(ISBLANK(Record!E1404),"",Record!E1404)</f>
        <v/>
      </c>
      <c r="M1403" t="str">
        <f t="shared" si="147"/>
        <v xml:space="preserve">          </v>
      </c>
      <c r="N1403" s="227" t="str">
        <f t="shared" si="148"/>
        <v/>
      </c>
      <c r="X1403" t="str">
        <f t="shared" si="149"/>
        <v xml:space="preserve">          </v>
      </c>
      <c r="Y1403" s="227" t="str">
        <f t="shared" si="150"/>
        <v/>
      </c>
      <c r="Z1403" t="str">
        <f t="shared" si="151"/>
        <v/>
      </c>
      <c r="AL1403" t="str">
        <f t="shared" si="152"/>
        <v/>
      </c>
      <c r="AM1403" t="str">
        <f t="shared" si="153"/>
        <v/>
      </c>
    </row>
    <row r="1404" spans="1:39">
      <c r="A1404" t="str">
        <f>IF(ISBLANK(Record!A1405),"",Record!A1405)</f>
        <v/>
      </c>
      <c r="B1404" t="str">
        <f>IF(ISBLANK(Record!B1405),"",Record!B1405)</f>
        <v/>
      </c>
      <c r="C1404" s="227" t="str">
        <f>IF(ISBLANK(Record!C1405),"",Record!C1405)</f>
        <v/>
      </c>
      <c r="D1404" t="str">
        <f>IF(ISBLANK(Record!D1405),"",Record!D1405)</f>
        <v/>
      </c>
      <c r="E1404" t="str">
        <f>IF(ISBLANK(Record!E1405),"",Record!E1405)</f>
        <v/>
      </c>
      <c r="M1404" t="str">
        <f t="shared" si="147"/>
        <v xml:space="preserve">          </v>
      </c>
      <c r="N1404" s="227" t="str">
        <f t="shared" si="148"/>
        <v/>
      </c>
      <c r="X1404" t="str">
        <f t="shared" si="149"/>
        <v xml:space="preserve">          </v>
      </c>
      <c r="Y1404" s="227" t="str">
        <f t="shared" si="150"/>
        <v/>
      </c>
      <c r="Z1404" t="str">
        <f t="shared" si="151"/>
        <v/>
      </c>
      <c r="AL1404" t="str">
        <f t="shared" si="152"/>
        <v/>
      </c>
      <c r="AM1404" t="str">
        <f t="shared" si="153"/>
        <v/>
      </c>
    </row>
    <row r="1405" spans="1:39">
      <c r="A1405" t="str">
        <f>IF(ISBLANK(Record!A1406),"",Record!A1406)</f>
        <v/>
      </c>
      <c r="B1405" t="str">
        <f>IF(ISBLANK(Record!B1406),"",Record!B1406)</f>
        <v/>
      </c>
      <c r="C1405" s="227" t="str">
        <f>IF(ISBLANK(Record!C1406),"",Record!C1406)</f>
        <v/>
      </c>
      <c r="D1405" t="str">
        <f>IF(ISBLANK(Record!D1406),"",Record!D1406)</f>
        <v/>
      </c>
      <c r="E1405" t="str">
        <f>IF(ISBLANK(Record!E1406),"",Record!E1406)</f>
        <v/>
      </c>
      <c r="M1405" t="str">
        <f t="shared" si="147"/>
        <v xml:space="preserve">          </v>
      </c>
      <c r="N1405" s="227" t="str">
        <f t="shared" si="148"/>
        <v/>
      </c>
      <c r="X1405" t="str">
        <f t="shared" si="149"/>
        <v xml:space="preserve">          </v>
      </c>
      <c r="Y1405" s="227" t="str">
        <f t="shared" si="150"/>
        <v/>
      </c>
      <c r="Z1405" t="str">
        <f t="shared" si="151"/>
        <v/>
      </c>
      <c r="AL1405" t="str">
        <f t="shared" si="152"/>
        <v/>
      </c>
      <c r="AM1405" t="str">
        <f t="shared" si="153"/>
        <v/>
      </c>
    </row>
    <row r="1406" spans="1:39">
      <c r="A1406" t="str">
        <f>IF(ISBLANK(Record!A1407),"",Record!A1407)</f>
        <v/>
      </c>
      <c r="B1406" t="str">
        <f>IF(ISBLANK(Record!B1407),"",Record!B1407)</f>
        <v/>
      </c>
      <c r="C1406" s="227" t="str">
        <f>IF(ISBLANK(Record!C1407),"",Record!C1407)</f>
        <v/>
      </c>
      <c r="D1406" t="str">
        <f>IF(ISBLANK(Record!D1407),"",Record!D1407)</f>
        <v/>
      </c>
      <c r="E1406" t="str">
        <f>IF(ISBLANK(Record!E1407),"",Record!E1407)</f>
        <v/>
      </c>
      <c r="M1406" t="str">
        <f t="shared" si="147"/>
        <v xml:space="preserve">          </v>
      </c>
      <c r="N1406" s="227" t="str">
        <f t="shared" si="148"/>
        <v/>
      </c>
      <c r="X1406" t="str">
        <f t="shared" si="149"/>
        <v xml:space="preserve">          </v>
      </c>
      <c r="Y1406" s="227" t="str">
        <f t="shared" si="150"/>
        <v/>
      </c>
      <c r="Z1406" t="str">
        <f t="shared" si="151"/>
        <v/>
      </c>
      <c r="AL1406" t="str">
        <f t="shared" si="152"/>
        <v/>
      </c>
      <c r="AM1406" t="str">
        <f t="shared" si="153"/>
        <v/>
      </c>
    </row>
    <row r="1407" spans="1:39">
      <c r="A1407" t="str">
        <f>IF(ISBLANK(Record!A1408),"",Record!A1408)</f>
        <v/>
      </c>
      <c r="B1407" t="str">
        <f>IF(ISBLANK(Record!B1408),"",Record!B1408)</f>
        <v/>
      </c>
      <c r="C1407" s="227" t="str">
        <f>IF(ISBLANK(Record!C1408),"",Record!C1408)</f>
        <v/>
      </c>
      <c r="D1407" t="str">
        <f>IF(ISBLANK(Record!D1408),"",Record!D1408)</f>
        <v/>
      </c>
      <c r="E1407" t="str">
        <f>IF(ISBLANK(Record!E1408),"",Record!E1408)</f>
        <v/>
      </c>
      <c r="M1407" t="str">
        <f t="shared" si="147"/>
        <v xml:space="preserve">          </v>
      </c>
      <c r="N1407" s="227" t="str">
        <f t="shared" si="148"/>
        <v/>
      </c>
      <c r="X1407" t="str">
        <f t="shared" si="149"/>
        <v xml:space="preserve">          </v>
      </c>
      <c r="Y1407" s="227" t="str">
        <f t="shared" si="150"/>
        <v/>
      </c>
      <c r="Z1407" t="str">
        <f t="shared" si="151"/>
        <v/>
      </c>
      <c r="AL1407" t="str">
        <f t="shared" si="152"/>
        <v/>
      </c>
      <c r="AM1407" t="str">
        <f t="shared" si="153"/>
        <v/>
      </c>
    </row>
    <row r="1408" spans="1:39">
      <c r="A1408" t="str">
        <f>IF(ISBLANK(Record!A1409),"",Record!A1409)</f>
        <v/>
      </c>
      <c r="B1408" t="str">
        <f>IF(ISBLANK(Record!B1409),"",Record!B1409)</f>
        <v/>
      </c>
      <c r="C1408" s="227" t="str">
        <f>IF(ISBLANK(Record!C1409),"",Record!C1409)</f>
        <v/>
      </c>
      <c r="D1408" t="str">
        <f>IF(ISBLANK(Record!D1409),"",Record!D1409)</f>
        <v/>
      </c>
      <c r="E1408" t="str">
        <f>IF(ISBLANK(Record!E1409),"",Record!E1409)</f>
        <v/>
      </c>
      <c r="M1408" t="str">
        <f t="shared" si="147"/>
        <v xml:space="preserve">          </v>
      </c>
      <c r="N1408" s="227" t="str">
        <f t="shared" si="148"/>
        <v/>
      </c>
      <c r="X1408" t="str">
        <f t="shared" si="149"/>
        <v xml:space="preserve">          </v>
      </c>
      <c r="Y1408" s="227" t="str">
        <f t="shared" si="150"/>
        <v/>
      </c>
      <c r="Z1408" t="str">
        <f t="shared" si="151"/>
        <v/>
      </c>
      <c r="AL1408" t="str">
        <f t="shared" si="152"/>
        <v/>
      </c>
      <c r="AM1408" t="str">
        <f t="shared" si="153"/>
        <v/>
      </c>
    </row>
    <row r="1409" spans="1:39">
      <c r="A1409" t="str">
        <f>IF(ISBLANK(Record!A1410),"",Record!A1410)</f>
        <v/>
      </c>
      <c r="B1409" t="str">
        <f>IF(ISBLANK(Record!B1410),"",Record!B1410)</f>
        <v/>
      </c>
      <c r="C1409" s="227" t="str">
        <f>IF(ISBLANK(Record!C1410),"",Record!C1410)</f>
        <v/>
      </c>
      <c r="D1409" t="str">
        <f>IF(ISBLANK(Record!D1410),"",Record!D1410)</f>
        <v/>
      </c>
      <c r="E1409" t="str">
        <f>IF(ISBLANK(Record!E1410),"",Record!E1410)</f>
        <v/>
      </c>
      <c r="M1409" t="str">
        <f t="shared" si="147"/>
        <v xml:space="preserve">          </v>
      </c>
      <c r="N1409" s="227" t="str">
        <f t="shared" si="148"/>
        <v/>
      </c>
      <c r="X1409" t="str">
        <f t="shared" si="149"/>
        <v xml:space="preserve">          </v>
      </c>
      <c r="Y1409" s="227" t="str">
        <f t="shared" si="150"/>
        <v/>
      </c>
      <c r="Z1409" t="str">
        <f t="shared" si="151"/>
        <v/>
      </c>
      <c r="AL1409" t="str">
        <f t="shared" si="152"/>
        <v/>
      </c>
      <c r="AM1409" t="str">
        <f t="shared" si="153"/>
        <v/>
      </c>
    </row>
    <row r="1410" spans="1:39">
      <c r="A1410" t="str">
        <f>IF(ISBLANK(Record!A1411),"",Record!A1411)</f>
        <v/>
      </c>
      <c r="B1410" t="str">
        <f>IF(ISBLANK(Record!B1411),"",Record!B1411)</f>
        <v/>
      </c>
      <c r="C1410" s="227" t="str">
        <f>IF(ISBLANK(Record!C1411),"",Record!C1411)</f>
        <v/>
      </c>
      <c r="D1410" t="str">
        <f>IF(ISBLANK(Record!D1411),"",Record!D1411)</f>
        <v/>
      </c>
      <c r="E1410" t="str">
        <f>IF(ISBLANK(Record!E1411),"",Record!E1411)</f>
        <v/>
      </c>
      <c r="M1410" t="str">
        <f t="shared" si="147"/>
        <v xml:space="preserve">          </v>
      </c>
      <c r="N1410" s="227" t="str">
        <f t="shared" si="148"/>
        <v/>
      </c>
      <c r="X1410" t="str">
        <f t="shared" si="149"/>
        <v xml:space="preserve">          </v>
      </c>
      <c r="Y1410" s="227" t="str">
        <f t="shared" si="150"/>
        <v/>
      </c>
      <c r="Z1410" t="str">
        <f t="shared" si="151"/>
        <v/>
      </c>
      <c r="AL1410" t="str">
        <f t="shared" si="152"/>
        <v/>
      </c>
      <c r="AM1410" t="str">
        <f t="shared" si="153"/>
        <v/>
      </c>
    </row>
    <row r="1411" spans="1:39">
      <c r="A1411" t="str">
        <f>IF(ISBLANK(Record!A1412),"",Record!A1412)</f>
        <v/>
      </c>
      <c r="B1411" t="str">
        <f>IF(ISBLANK(Record!B1412),"",Record!B1412)</f>
        <v/>
      </c>
      <c r="C1411" s="227" t="str">
        <f>IF(ISBLANK(Record!C1412),"",Record!C1412)</f>
        <v/>
      </c>
      <c r="D1411" t="str">
        <f>IF(ISBLANK(Record!D1412),"",Record!D1412)</f>
        <v/>
      </c>
      <c r="E1411" t="str">
        <f>IF(ISBLANK(Record!E1412),"",Record!E1412)</f>
        <v/>
      </c>
      <c r="M1411" t="str">
        <f t="shared" ref="M1411:M1474" si="154">RIGHT("                                   " &amp; A1411,10)</f>
        <v xml:space="preserve">          </v>
      </c>
      <c r="N1411" s="227" t="str">
        <f t="shared" ref="N1411:N1474" si="155">RIGHT(C1411,16)</f>
        <v/>
      </c>
      <c r="X1411" t="str">
        <f t="shared" ref="X1411:X1474" si="156">RIGHT("                                   " &amp; A1411,10)</f>
        <v xml:space="preserve">          </v>
      </c>
      <c r="Y1411" s="227" t="str">
        <f t="shared" ref="Y1411:Y1474" si="157">RIGHT(C1411,16)</f>
        <v/>
      </c>
      <c r="Z1411" t="str">
        <f t="shared" ref="Z1411:Z1474" si="158">RIGHT(D1411,8)</f>
        <v/>
      </c>
      <c r="AL1411" t="str">
        <f t="shared" ref="AL1411:AL1474" si="159">D1411</f>
        <v/>
      </c>
      <c r="AM1411" t="str">
        <f t="shared" ref="AM1411:AM1474" si="160">IF(E1411&lt;&gt;AL1411,E1411,E1411)</f>
        <v/>
      </c>
    </row>
    <row r="1412" spans="1:39">
      <c r="A1412" t="str">
        <f>IF(ISBLANK(Record!A1413),"",Record!A1413)</f>
        <v/>
      </c>
      <c r="B1412" t="str">
        <f>IF(ISBLANK(Record!B1413),"",Record!B1413)</f>
        <v/>
      </c>
      <c r="C1412" s="227" t="str">
        <f>IF(ISBLANK(Record!C1413),"",Record!C1413)</f>
        <v/>
      </c>
      <c r="D1412" t="str">
        <f>IF(ISBLANK(Record!D1413),"",Record!D1413)</f>
        <v/>
      </c>
      <c r="E1412" t="str">
        <f>IF(ISBLANK(Record!E1413),"",Record!E1413)</f>
        <v/>
      </c>
      <c r="M1412" t="str">
        <f t="shared" si="154"/>
        <v xml:space="preserve">          </v>
      </c>
      <c r="N1412" s="227" t="str">
        <f t="shared" si="155"/>
        <v/>
      </c>
      <c r="X1412" t="str">
        <f t="shared" si="156"/>
        <v xml:space="preserve">          </v>
      </c>
      <c r="Y1412" s="227" t="str">
        <f t="shared" si="157"/>
        <v/>
      </c>
      <c r="Z1412" t="str">
        <f t="shared" si="158"/>
        <v/>
      </c>
      <c r="AL1412" t="str">
        <f t="shared" si="159"/>
        <v/>
      </c>
      <c r="AM1412" t="str">
        <f t="shared" si="160"/>
        <v/>
      </c>
    </row>
    <row r="1413" spans="1:39">
      <c r="A1413" t="str">
        <f>IF(ISBLANK(Record!A1414),"",Record!A1414)</f>
        <v/>
      </c>
      <c r="B1413" t="str">
        <f>IF(ISBLANK(Record!B1414),"",Record!B1414)</f>
        <v/>
      </c>
      <c r="C1413" s="227" t="str">
        <f>IF(ISBLANK(Record!C1414),"",Record!C1414)</f>
        <v/>
      </c>
      <c r="D1413" t="str">
        <f>IF(ISBLANK(Record!D1414),"",Record!D1414)</f>
        <v/>
      </c>
      <c r="E1413" t="str">
        <f>IF(ISBLANK(Record!E1414),"",Record!E1414)</f>
        <v/>
      </c>
      <c r="M1413" t="str">
        <f t="shared" si="154"/>
        <v xml:space="preserve">          </v>
      </c>
      <c r="N1413" s="227" t="str">
        <f t="shared" si="155"/>
        <v/>
      </c>
      <c r="X1413" t="str">
        <f t="shared" si="156"/>
        <v xml:space="preserve">          </v>
      </c>
      <c r="Y1413" s="227" t="str">
        <f t="shared" si="157"/>
        <v/>
      </c>
      <c r="Z1413" t="str">
        <f t="shared" si="158"/>
        <v/>
      </c>
      <c r="AL1413" t="str">
        <f t="shared" si="159"/>
        <v/>
      </c>
      <c r="AM1413" t="str">
        <f t="shared" si="160"/>
        <v/>
      </c>
    </row>
    <row r="1414" spans="1:39">
      <c r="A1414" t="str">
        <f>IF(ISBLANK(Record!A1415),"",Record!A1415)</f>
        <v/>
      </c>
      <c r="B1414" t="str">
        <f>IF(ISBLANK(Record!B1415),"",Record!B1415)</f>
        <v/>
      </c>
      <c r="C1414" s="227" t="str">
        <f>IF(ISBLANK(Record!C1415),"",Record!C1415)</f>
        <v/>
      </c>
      <c r="D1414" t="str">
        <f>IF(ISBLANK(Record!D1415),"",Record!D1415)</f>
        <v/>
      </c>
      <c r="E1414" t="str">
        <f>IF(ISBLANK(Record!E1415),"",Record!E1415)</f>
        <v/>
      </c>
      <c r="M1414" t="str">
        <f t="shared" si="154"/>
        <v xml:space="preserve">          </v>
      </c>
      <c r="N1414" s="227" t="str">
        <f t="shared" si="155"/>
        <v/>
      </c>
      <c r="X1414" t="str">
        <f t="shared" si="156"/>
        <v xml:space="preserve">          </v>
      </c>
      <c r="Y1414" s="227" t="str">
        <f t="shared" si="157"/>
        <v/>
      </c>
      <c r="Z1414" t="str">
        <f t="shared" si="158"/>
        <v/>
      </c>
      <c r="AL1414" t="str">
        <f t="shared" si="159"/>
        <v/>
      </c>
      <c r="AM1414" t="str">
        <f t="shared" si="160"/>
        <v/>
      </c>
    </row>
    <row r="1415" spans="1:39">
      <c r="A1415" t="str">
        <f>IF(ISBLANK(Record!A1416),"",Record!A1416)</f>
        <v/>
      </c>
      <c r="B1415" t="str">
        <f>IF(ISBLANK(Record!B1416),"",Record!B1416)</f>
        <v/>
      </c>
      <c r="C1415" s="227" t="str">
        <f>IF(ISBLANK(Record!C1416),"",Record!C1416)</f>
        <v/>
      </c>
      <c r="D1415" t="str">
        <f>IF(ISBLANK(Record!D1416),"",Record!D1416)</f>
        <v/>
      </c>
      <c r="E1415" t="str">
        <f>IF(ISBLANK(Record!E1416),"",Record!E1416)</f>
        <v/>
      </c>
      <c r="M1415" t="str">
        <f t="shared" si="154"/>
        <v xml:space="preserve">          </v>
      </c>
      <c r="N1415" s="227" t="str">
        <f t="shared" si="155"/>
        <v/>
      </c>
      <c r="X1415" t="str">
        <f t="shared" si="156"/>
        <v xml:space="preserve">          </v>
      </c>
      <c r="Y1415" s="227" t="str">
        <f t="shared" si="157"/>
        <v/>
      </c>
      <c r="Z1415" t="str">
        <f t="shared" si="158"/>
        <v/>
      </c>
      <c r="AL1415" t="str">
        <f t="shared" si="159"/>
        <v/>
      </c>
      <c r="AM1415" t="str">
        <f t="shared" si="160"/>
        <v/>
      </c>
    </row>
    <row r="1416" spans="1:39">
      <c r="A1416" t="str">
        <f>IF(ISBLANK(Record!A1417),"",Record!A1417)</f>
        <v/>
      </c>
      <c r="B1416" t="str">
        <f>IF(ISBLANK(Record!B1417),"",Record!B1417)</f>
        <v/>
      </c>
      <c r="C1416" s="227" t="str">
        <f>IF(ISBLANK(Record!C1417),"",Record!C1417)</f>
        <v/>
      </c>
      <c r="D1416" t="str">
        <f>IF(ISBLANK(Record!D1417),"",Record!D1417)</f>
        <v/>
      </c>
      <c r="E1416" t="str">
        <f>IF(ISBLANK(Record!E1417),"",Record!E1417)</f>
        <v/>
      </c>
      <c r="M1416" t="str">
        <f t="shared" si="154"/>
        <v xml:space="preserve">          </v>
      </c>
      <c r="N1416" s="227" t="str">
        <f t="shared" si="155"/>
        <v/>
      </c>
      <c r="X1416" t="str">
        <f t="shared" si="156"/>
        <v xml:space="preserve">          </v>
      </c>
      <c r="Y1416" s="227" t="str">
        <f t="shared" si="157"/>
        <v/>
      </c>
      <c r="Z1416" t="str">
        <f t="shared" si="158"/>
        <v/>
      </c>
      <c r="AL1416" t="str">
        <f t="shared" si="159"/>
        <v/>
      </c>
      <c r="AM1416" t="str">
        <f t="shared" si="160"/>
        <v/>
      </c>
    </row>
    <row r="1417" spans="1:39">
      <c r="A1417" t="str">
        <f>IF(ISBLANK(Record!A1418),"",Record!A1418)</f>
        <v/>
      </c>
      <c r="B1417" t="str">
        <f>IF(ISBLANK(Record!B1418),"",Record!B1418)</f>
        <v/>
      </c>
      <c r="C1417" s="227" t="str">
        <f>IF(ISBLANK(Record!C1418),"",Record!C1418)</f>
        <v/>
      </c>
      <c r="D1417" t="str">
        <f>IF(ISBLANK(Record!D1418),"",Record!D1418)</f>
        <v/>
      </c>
      <c r="E1417" t="str">
        <f>IF(ISBLANK(Record!E1418),"",Record!E1418)</f>
        <v/>
      </c>
      <c r="M1417" t="str">
        <f t="shared" si="154"/>
        <v xml:space="preserve">          </v>
      </c>
      <c r="N1417" s="227" t="str">
        <f t="shared" si="155"/>
        <v/>
      </c>
      <c r="X1417" t="str">
        <f t="shared" si="156"/>
        <v xml:space="preserve">          </v>
      </c>
      <c r="Y1417" s="227" t="str">
        <f t="shared" si="157"/>
        <v/>
      </c>
      <c r="Z1417" t="str">
        <f t="shared" si="158"/>
        <v/>
      </c>
      <c r="AL1417" t="str">
        <f t="shared" si="159"/>
        <v/>
      </c>
      <c r="AM1417" t="str">
        <f t="shared" si="160"/>
        <v/>
      </c>
    </row>
    <row r="1418" spans="1:39">
      <c r="A1418" t="str">
        <f>IF(ISBLANK(Record!A1419),"",Record!A1419)</f>
        <v/>
      </c>
      <c r="B1418" t="str">
        <f>IF(ISBLANK(Record!B1419),"",Record!B1419)</f>
        <v/>
      </c>
      <c r="C1418" s="227" t="str">
        <f>IF(ISBLANK(Record!C1419),"",Record!C1419)</f>
        <v/>
      </c>
      <c r="D1418" t="str">
        <f>IF(ISBLANK(Record!D1419),"",Record!D1419)</f>
        <v/>
      </c>
      <c r="E1418" t="str">
        <f>IF(ISBLANK(Record!E1419),"",Record!E1419)</f>
        <v/>
      </c>
      <c r="M1418" t="str">
        <f t="shared" si="154"/>
        <v xml:space="preserve">          </v>
      </c>
      <c r="N1418" s="227" t="str">
        <f t="shared" si="155"/>
        <v/>
      </c>
      <c r="X1418" t="str">
        <f t="shared" si="156"/>
        <v xml:space="preserve">          </v>
      </c>
      <c r="Y1418" s="227" t="str">
        <f t="shared" si="157"/>
        <v/>
      </c>
      <c r="Z1418" t="str">
        <f t="shared" si="158"/>
        <v/>
      </c>
      <c r="AL1418" t="str">
        <f t="shared" si="159"/>
        <v/>
      </c>
      <c r="AM1418" t="str">
        <f t="shared" si="160"/>
        <v/>
      </c>
    </row>
    <row r="1419" spans="1:39">
      <c r="A1419" t="str">
        <f>IF(ISBLANK(Record!A1420),"",Record!A1420)</f>
        <v/>
      </c>
      <c r="B1419" t="str">
        <f>IF(ISBLANK(Record!B1420),"",Record!B1420)</f>
        <v/>
      </c>
      <c r="C1419" s="227" t="str">
        <f>IF(ISBLANK(Record!C1420),"",Record!C1420)</f>
        <v/>
      </c>
      <c r="D1419" t="str">
        <f>IF(ISBLANK(Record!D1420),"",Record!D1420)</f>
        <v/>
      </c>
      <c r="E1419" t="str">
        <f>IF(ISBLANK(Record!E1420),"",Record!E1420)</f>
        <v/>
      </c>
      <c r="M1419" t="str">
        <f t="shared" si="154"/>
        <v xml:space="preserve">          </v>
      </c>
      <c r="N1419" s="227" t="str">
        <f t="shared" si="155"/>
        <v/>
      </c>
      <c r="X1419" t="str">
        <f t="shared" si="156"/>
        <v xml:space="preserve">          </v>
      </c>
      <c r="Y1419" s="227" t="str">
        <f t="shared" si="157"/>
        <v/>
      </c>
      <c r="Z1419" t="str">
        <f t="shared" si="158"/>
        <v/>
      </c>
      <c r="AL1419" t="str">
        <f t="shared" si="159"/>
        <v/>
      </c>
      <c r="AM1419" t="str">
        <f t="shared" si="160"/>
        <v/>
      </c>
    </row>
    <row r="1420" spans="1:39">
      <c r="A1420" t="str">
        <f>IF(ISBLANK(Record!A1421),"",Record!A1421)</f>
        <v/>
      </c>
      <c r="B1420" t="str">
        <f>IF(ISBLANK(Record!B1421),"",Record!B1421)</f>
        <v/>
      </c>
      <c r="C1420" s="227" t="str">
        <f>IF(ISBLANK(Record!C1421),"",Record!C1421)</f>
        <v/>
      </c>
      <c r="D1420" t="str">
        <f>IF(ISBLANK(Record!D1421),"",Record!D1421)</f>
        <v/>
      </c>
      <c r="E1420" t="str">
        <f>IF(ISBLANK(Record!E1421),"",Record!E1421)</f>
        <v/>
      </c>
      <c r="M1420" t="str">
        <f t="shared" si="154"/>
        <v xml:space="preserve">          </v>
      </c>
      <c r="N1420" s="227" t="str">
        <f t="shared" si="155"/>
        <v/>
      </c>
      <c r="X1420" t="str">
        <f t="shared" si="156"/>
        <v xml:space="preserve">          </v>
      </c>
      <c r="Y1420" s="227" t="str">
        <f t="shared" si="157"/>
        <v/>
      </c>
      <c r="Z1420" t="str">
        <f t="shared" si="158"/>
        <v/>
      </c>
      <c r="AL1420" t="str">
        <f t="shared" si="159"/>
        <v/>
      </c>
      <c r="AM1420" t="str">
        <f t="shared" si="160"/>
        <v/>
      </c>
    </row>
    <row r="1421" spans="1:39">
      <c r="A1421" t="str">
        <f>IF(ISBLANK(Record!A1422),"",Record!A1422)</f>
        <v/>
      </c>
      <c r="B1421" t="str">
        <f>IF(ISBLANK(Record!B1422),"",Record!B1422)</f>
        <v/>
      </c>
      <c r="C1421" s="227" t="str">
        <f>IF(ISBLANK(Record!C1422),"",Record!C1422)</f>
        <v/>
      </c>
      <c r="D1421" t="str">
        <f>IF(ISBLANK(Record!D1422),"",Record!D1422)</f>
        <v/>
      </c>
      <c r="E1421" t="str">
        <f>IF(ISBLANK(Record!E1422),"",Record!E1422)</f>
        <v/>
      </c>
      <c r="M1421" t="str">
        <f t="shared" si="154"/>
        <v xml:space="preserve">          </v>
      </c>
      <c r="N1421" s="227" t="str">
        <f t="shared" si="155"/>
        <v/>
      </c>
      <c r="X1421" t="str">
        <f t="shared" si="156"/>
        <v xml:space="preserve">          </v>
      </c>
      <c r="Y1421" s="227" t="str">
        <f t="shared" si="157"/>
        <v/>
      </c>
      <c r="Z1421" t="str">
        <f t="shared" si="158"/>
        <v/>
      </c>
      <c r="AL1421" t="str">
        <f t="shared" si="159"/>
        <v/>
      </c>
      <c r="AM1421" t="str">
        <f t="shared" si="160"/>
        <v/>
      </c>
    </row>
    <row r="1422" spans="1:39">
      <c r="A1422" t="str">
        <f>IF(ISBLANK(Record!A1423),"",Record!A1423)</f>
        <v/>
      </c>
      <c r="B1422" t="str">
        <f>IF(ISBLANK(Record!B1423),"",Record!B1423)</f>
        <v/>
      </c>
      <c r="C1422" s="227" t="str">
        <f>IF(ISBLANK(Record!C1423),"",Record!C1423)</f>
        <v/>
      </c>
      <c r="D1422" t="str">
        <f>IF(ISBLANK(Record!D1423),"",Record!D1423)</f>
        <v/>
      </c>
      <c r="E1422" t="str">
        <f>IF(ISBLANK(Record!E1423),"",Record!E1423)</f>
        <v/>
      </c>
      <c r="M1422" t="str">
        <f t="shared" si="154"/>
        <v xml:space="preserve">          </v>
      </c>
      <c r="N1422" s="227" t="str">
        <f t="shared" si="155"/>
        <v/>
      </c>
      <c r="X1422" t="str">
        <f t="shared" si="156"/>
        <v xml:space="preserve">          </v>
      </c>
      <c r="Y1422" s="227" t="str">
        <f t="shared" si="157"/>
        <v/>
      </c>
      <c r="Z1422" t="str">
        <f t="shared" si="158"/>
        <v/>
      </c>
      <c r="AL1422" t="str">
        <f t="shared" si="159"/>
        <v/>
      </c>
      <c r="AM1422" t="str">
        <f t="shared" si="160"/>
        <v/>
      </c>
    </row>
    <row r="1423" spans="1:39">
      <c r="A1423" t="str">
        <f>IF(ISBLANK(Record!A1424),"",Record!A1424)</f>
        <v/>
      </c>
      <c r="B1423" t="str">
        <f>IF(ISBLANK(Record!B1424),"",Record!B1424)</f>
        <v/>
      </c>
      <c r="C1423" s="227" t="str">
        <f>IF(ISBLANK(Record!C1424),"",Record!C1424)</f>
        <v/>
      </c>
      <c r="D1423" t="str">
        <f>IF(ISBLANK(Record!D1424),"",Record!D1424)</f>
        <v/>
      </c>
      <c r="E1423" t="str">
        <f>IF(ISBLANK(Record!E1424),"",Record!E1424)</f>
        <v/>
      </c>
      <c r="M1423" t="str">
        <f t="shared" si="154"/>
        <v xml:space="preserve">          </v>
      </c>
      <c r="N1423" s="227" t="str">
        <f t="shared" si="155"/>
        <v/>
      </c>
      <c r="X1423" t="str">
        <f t="shared" si="156"/>
        <v xml:space="preserve">          </v>
      </c>
      <c r="Y1423" s="227" t="str">
        <f t="shared" si="157"/>
        <v/>
      </c>
      <c r="Z1423" t="str">
        <f t="shared" si="158"/>
        <v/>
      </c>
      <c r="AL1423" t="str">
        <f t="shared" si="159"/>
        <v/>
      </c>
      <c r="AM1423" t="str">
        <f t="shared" si="160"/>
        <v/>
      </c>
    </row>
    <row r="1424" spans="1:39">
      <c r="A1424" t="str">
        <f>IF(ISBLANK(Record!A1425),"",Record!A1425)</f>
        <v/>
      </c>
      <c r="B1424" t="str">
        <f>IF(ISBLANK(Record!B1425),"",Record!B1425)</f>
        <v/>
      </c>
      <c r="C1424" s="227" t="str">
        <f>IF(ISBLANK(Record!C1425),"",Record!C1425)</f>
        <v/>
      </c>
      <c r="D1424" t="str">
        <f>IF(ISBLANK(Record!D1425),"",Record!D1425)</f>
        <v/>
      </c>
      <c r="E1424" t="str">
        <f>IF(ISBLANK(Record!E1425),"",Record!E1425)</f>
        <v/>
      </c>
      <c r="M1424" t="str">
        <f t="shared" si="154"/>
        <v xml:space="preserve">          </v>
      </c>
      <c r="N1424" s="227" t="str">
        <f t="shared" si="155"/>
        <v/>
      </c>
      <c r="X1424" t="str">
        <f t="shared" si="156"/>
        <v xml:space="preserve">          </v>
      </c>
      <c r="Y1424" s="227" t="str">
        <f t="shared" si="157"/>
        <v/>
      </c>
      <c r="Z1424" t="str">
        <f t="shared" si="158"/>
        <v/>
      </c>
      <c r="AL1424" t="str">
        <f t="shared" si="159"/>
        <v/>
      </c>
      <c r="AM1424" t="str">
        <f t="shared" si="160"/>
        <v/>
      </c>
    </row>
    <row r="1425" spans="1:39">
      <c r="A1425" t="str">
        <f>IF(ISBLANK(Record!A1426),"",Record!A1426)</f>
        <v/>
      </c>
      <c r="B1425" t="str">
        <f>IF(ISBLANK(Record!B1426),"",Record!B1426)</f>
        <v/>
      </c>
      <c r="C1425" s="227" t="str">
        <f>IF(ISBLANK(Record!C1426),"",Record!C1426)</f>
        <v/>
      </c>
      <c r="D1425" t="str">
        <f>IF(ISBLANK(Record!D1426),"",Record!D1426)</f>
        <v/>
      </c>
      <c r="E1425" t="str">
        <f>IF(ISBLANK(Record!E1426),"",Record!E1426)</f>
        <v/>
      </c>
      <c r="M1425" t="str">
        <f t="shared" si="154"/>
        <v xml:space="preserve">          </v>
      </c>
      <c r="N1425" s="227" t="str">
        <f t="shared" si="155"/>
        <v/>
      </c>
      <c r="X1425" t="str">
        <f t="shared" si="156"/>
        <v xml:space="preserve">          </v>
      </c>
      <c r="Y1425" s="227" t="str">
        <f t="shared" si="157"/>
        <v/>
      </c>
      <c r="Z1425" t="str">
        <f t="shared" si="158"/>
        <v/>
      </c>
      <c r="AL1425" t="str">
        <f t="shared" si="159"/>
        <v/>
      </c>
      <c r="AM1425" t="str">
        <f t="shared" si="160"/>
        <v/>
      </c>
    </row>
    <row r="1426" spans="1:39">
      <c r="A1426" t="str">
        <f>IF(ISBLANK(Record!A1427),"",Record!A1427)</f>
        <v/>
      </c>
      <c r="B1426" t="str">
        <f>IF(ISBLANK(Record!B1427),"",Record!B1427)</f>
        <v/>
      </c>
      <c r="C1426" s="227" t="str">
        <f>IF(ISBLANK(Record!C1427),"",Record!C1427)</f>
        <v/>
      </c>
      <c r="D1426" t="str">
        <f>IF(ISBLANK(Record!D1427),"",Record!D1427)</f>
        <v/>
      </c>
      <c r="E1426" t="str">
        <f>IF(ISBLANK(Record!E1427),"",Record!E1427)</f>
        <v/>
      </c>
      <c r="M1426" t="str">
        <f t="shared" si="154"/>
        <v xml:space="preserve">          </v>
      </c>
      <c r="N1426" s="227" t="str">
        <f t="shared" si="155"/>
        <v/>
      </c>
      <c r="X1426" t="str">
        <f t="shared" si="156"/>
        <v xml:space="preserve">          </v>
      </c>
      <c r="Y1426" s="227" t="str">
        <f t="shared" si="157"/>
        <v/>
      </c>
      <c r="Z1426" t="str">
        <f t="shared" si="158"/>
        <v/>
      </c>
      <c r="AL1426" t="str">
        <f t="shared" si="159"/>
        <v/>
      </c>
      <c r="AM1426" t="str">
        <f t="shared" si="160"/>
        <v/>
      </c>
    </row>
    <row r="1427" spans="1:39">
      <c r="A1427" t="str">
        <f>IF(ISBLANK(Record!A1428),"",Record!A1428)</f>
        <v/>
      </c>
      <c r="B1427" t="str">
        <f>IF(ISBLANK(Record!B1428),"",Record!B1428)</f>
        <v/>
      </c>
      <c r="C1427" s="227" t="str">
        <f>IF(ISBLANK(Record!C1428),"",Record!C1428)</f>
        <v/>
      </c>
      <c r="D1427" t="str">
        <f>IF(ISBLANK(Record!D1428),"",Record!D1428)</f>
        <v/>
      </c>
      <c r="E1427" t="str">
        <f>IF(ISBLANK(Record!E1428),"",Record!E1428)</f>
        <v/>
      </c>
      <c r="M1427" t="str">
        <f t="shared" si="154"/>
        <v xml:space="preserve">          </v>
      </c>
      <c r="N1427" s="227" t="str">
        <f t="shared" si="155"/>
        <v/>
      </c>
      <c r="X1427" t="str">
        <f t="shared" si="156"/>
        <v xml:space="preserve">          </v>
      </c>
      <c r="Y1427" s="227" t="str">
        <f t="shared" si="157"/>
        <v/>
      </c>
      <c r="Z1427" t="str">
        <f t="shared" si="158"/>
        <v/>
      </c>
      <c r="AL1427" t="str">
        <f t="shared" si="159"/>
        <v/>
      </c>
      <c r="AM1427" t="str">
        <f t="shared" si="160"/>
        <v/>
      </c>
    </row>
    <row r="1428" spans="1:39">
      <c r="A1428" t="str">
        <f>IF(ISBLANK(Record!A1429),"",Record!A1429)</f>
        <v/>
      </c>
      <c r="B1428" t="str">
        <f>IF(ISBLANK(Record!B1429),"",Record!B1429)</f>
        <v/>
      </c>
      <c r="C1428" s="227" t="str">
        <f>IF(ISBLANK(Record!C1429),"",Record!C1429)</f>
        <v/>
      </c>
      <c r="D1428" t="str">
        <f>IF(ISBLANK(Record!D1429),"",Record!D1429)</f>
        <v/>
      </c>
      <c r="E1428" t="str">
        <f>IF(ISBLANK(Record!E1429),"",Record!E1429)</f>
        <v/>
      </c>
      <c r="M1428" t="str">
        <f t="shared" si="154"/>
        <v xml:space="preserve">          </v>
      </c>
      <c r="N1428" s="227" t="str">
        <f t="shared" si="155"/>
        <v/>
      </c>
      <c r="X1428" t="str">
        <f t="shared" si="156"/>
        <v xml:space="preserve">          </v>
      </c>
      <c r="Y1428" s="227" t="str">
        <f t="shared" si="157"/>
        <v/>
      </c>
      <c r="Z1428" t="str">
        <f t="shared" si="158"/>
        <v/>
      </c>
      <c r="AL1428" t="str">
        <f t="shared" si="159"/>
        <v/>
      </c>
      <c r="AM1428" t="str">
        <f t="shared" si="160"/>
        <v/>
      </c>
    </row>
    <row r="1429" spans="1:39">
      <c r="A1429" t="str">
        <f>IF(ISBLANK(Record!A1430),"",Record!A1430)</f>
        <v/>
      </c>
      <c r="B1429" t="str">
        <f>IF(ISBLANK(Record!B1430),"",Record!B1430)</f>
        <v/>
      </c>
      <c r="C1429" s="227" t="str">
        <f>IF(ISBLANK(Record!C1430),"",Record!C1430)</f>
        <v/>
      </c>
      <c r="D1429" t="str">
        <f>IF(ISBLANK(Record!D1430),"",Record!D1430)</f>
        <v/>
      </c>
      <c r="E1429" t="str">
        <f>IF(ISBLANK(Record!E1430),"",Record!E1430)</f>
        <v/>
      </c>
      <c r="M1429" t="str">
        <f t="shared" si="154"/>
        <v xml:space="preserve">          </v>
      </c>
      <c r="N1429" s="227" t="str">
        <f t="shared" si="155"/>
        <v/>
      </c>
      <c r="X1429" t="str">
        <f t="shared" si="156"/>
        <v xml:space="preserve">          </v>
      </c>
      <c r="Y1429" s="227" t="str">
        <f t="shared" si="157"/>
        <v/>
      </c>
      <c r="Z1429" t="str">
        <f t="shared" si="158"/>
        <v/>
      </c>
      <c r="AL1429" t="str">
        <f t="shared" si="159"/>
        <v/>
      </c>
      <c r="AM1429" t="str">
        <f t="shared" si="160"/>
        <v/>
      </c>
    </row>
    <row r="1430" spans="1:39">
      <c r="A1430" t="str">
        <f>IF(ISBLANK(Record!A1431),"",Record!A1431)</f>
        <v/>
      </c>
      <c r="B1430" t="str">
        <f>IF(ISBLANK(Record!B1431),"",Record!B1431)</f>
        <v/>
      </c>
      <c r="C1430" s="227" t="str">
        <f>IF(ISBLANK(Record!C1431),"",Record!C1431)</f>
        <v/>
      </c>
      <c r="D1430" t="str">
        <f>IF(ISBLANK(Record!D1431),"",Record!D1431)</f>
        <v/>
      </c>
      <c r="E1430" t="str">
        <f>IF(ISBLANK(Record!E1431),"",Record!E1431)</f>
        <v/>
      </c>
      <c r="M1430" t="str">
        <f t="shared" si="154"/>
        <v xml:space="preserve">          </v>
      </c>
      <c r="N1430" s="227" t="str">
        <f t="shared" si="155"/>
        <v/>
      </c>
      <c r="X1430" t="str">
        <f t="shared" si="156"/>
        <v xml:space="preserve">          </v>
      </c>
      <c r="Y1430" s="227" t="str">
        <f t="shared" si="157"/>
        <v/>
      </c>
      <c r="Z1430" t="str">
        <f t="shared" si="158"/>
        <v/>
      </c>
      <c r="AL1430" t="str">
        <f t="shared" si="159"/>
        <v/>
      </c>
      <c r="AM1430" t="str">
        <f t="shared" si="160"/>
        <v/>
      </c>
    </row>
    <row r="1431" spans="1:39">
      <c r="A1431" t="str">
        <f>IF(ISBLANK(Record!A1432),"",Record!A1432)</f>
        <v/>
      </c>
      <c r="B1431" t="str">
        <f>IF(ISBLANK(Record!B1432),"",Record!B1432)</f>
        <v/>
      </c>
      <c r="C1431" s="227" t="str">
        <f>IF(ISBLANK(Record!C1432),"",Record!C1432)</f>
        <v/>
      </c>
      <c r="D1431" t="str">
        <f>IF(ISBLANK(Record!D1432),"",Record!D1432)</f>
        <v/>
      </c>
      <c r="E1431" t="str">
        <f>IF(ISBLANK(Record!E1432),"",Record!E1432)</f>
        <v/>
      </c>
      <c r="M1431" t="str">
        <f t="shared" si="154"/>
        <v xml:space="preserve">          </v>
      </c>
      <c r="N1431" s="227" t="str">
        <f t="shared" si="155"/>
        <v/>
      </c>
      <c r="X1431" t="str">
        <f t="shared" si="156"/>
        <v xml:space="preserve">          </v>
      </c>
      <c r="Y1431" s="227" t="str">
        <f t="shared" si="157"/>
        <v/>
      </c>
      <c r="Z1431" t="str">
        <f t="shared" si="158"/>
        <v/>
      </c>
      <c r="AL1431" t="str">
        <f t="shared" si="159"/>
        <v/>
      </c>
      <c r="AM1431" t="str">
        <f t="shared" si="160"/>
        <v/>
      </c>
    </row>
    <row r="1432" spans="1:39">
      <c r="A1432" t="str">
        <f>IF(ISBLANK(Record!A1433),"",Record!A1433)</f>
        <v/>
      </c>
      <c r="B1432" t="str">
        <f>IF(ISBLANK(Record!B1433),"",Record!B1433)</f>
        <v/>
      </c>
      <c r="C1432" s="227" t="str">
        <f>IF(ISBLANK(Record!C1433),"",Record!C1433)</f>
        <v/>
      </c>
      <c r="D1432" t="str">
        <f>IF(ISBLANK(Record!D1433),"",Record!D1433)</f>
        <v/>
      </c>
      <c r="E1432" t="str">
        <f>IF(ISBLANK(Record!E1433),"",Record!E1433)</f>
        <v/>
      </c>
      <c r="M1432" t="str">
        <f t="shared" si="154"/>
        <v xml:space="preserve">          </v>
      </c>
      <c r="N1432" s="227" t="str">
        <f t="shared" si="155"/>
        <v/>
      </c>
      <c r="X1432" t="str">
        <f t="shared" si="156"/>
        <v xml:space="preserve">          </v>
      </c>
      <c r="Y1432" s="227" t="str">
        <f t="shared" si="157"/>
        <v/>
      </c>
      <c r="Z1432" t="str">
        <f t="shared" si="158"/>
        <v/>
      </c>
      <c r="AL1432" t="str">
        <f t="shared" si="159"/>
        <v/>
      </c>
      <c r="AM1432" t="str">
        <f t="shared" si="160"/>
        <v/>
      </c>
    </row>
    <row r="1433" spans="1:39">
      <c r="A1433" t="str">
        <f>IF(ISBLANK(Record!A1434),"",Record!A1434)</f>
        <v/>
      </c>
      <c r="B1433" t="str">
        <f>IF(ISBLANK(Record!B1434),"",Record!B1434)</f>
        <v/>
      </c>
      <c r="C1433" s="227" t="str">
        <f>IF(ISBLANK(Record!C1434),"",Record!C1434)</f>
        <v/>
      </c>
      <c r="D1433" t="str">
        <f>IF(ISBLANK(Record!D1434),"",Record!D1434)</f>
        <v/>
      </c>
      <c r="E1433" t="str">
        <f>IF(ISBLANK(Record!E1434),"",Record!E1434)</f>
        <v/>
      </c>
      <c r="M1433" t="str">
        <f t="shared" si="154"/>
        <v xml:space="preserve">          </v>
      </c>
      <c r="N1433" s="227" t="str">
        <f t="shared" si="155"/>
        <v/>
      </c>
      <c r="X1433" t="str">
        <f t="shared" si="156"/>
        <v xml:space="preserve">          </v>
      </c>
      <c r="Y1433" s="227" t="str">
        <f t="shared" si="157"/>
        <v/>
      </c>
      <c r="Z1433" t="str">
        <f t="shared" si="158"/>
        <v/>
      </c>
      <c r="AL1433" t="str">
        <f t="shared" si="159"/>
        <v/>
      </c>
      <c r="AM1433" t="str">
        <f t="shared" si="160"/>
        <v/>
      </c>
    </row>
    <row r="1434" spans="1:39">
      <c r="A1434" t="str">
        <f>IF(ISBLANK(Record!A1435),"",Record!A1435)</f>
        <v/>
      </c>
      <c r="B1434" t="str">
        <f>IF(ISBLANK(Record!B1435),"",Record!B1435)</f>
        <v/>
      </c>
      <c r="C1434" s="227" t="str">
        <f>IF(ISBLANK(Record!C1435),"",Record!C1435)</f>
        <v/>
      </c>
      <c r="D1434" t="str">
        <f>IF(ISBLANK(Record!D1435),"",Record!D1435)</f>
        <v/>
      </c>
      <c r="E1434" t="str">
        <f>IF(ISBLANK(Record!E1435),"",Record!E1435)</f>
        <v/>
      </c>
      <c r="M1434" t="str">
        <f t="shared" si="154"/>
        <v xml:space="preserve">          </v>
      </c>
      <c r="N1434" s="227" t="str">
        <f t="shared" si="155"/>
        <v/>
      </c>
      <c r="X1434" t="str">
        <f t="shared" si="156"/>
        <v xml:space="preserve">          </v>
      </c>
      <c r="Y1434" s="227" t="str">
        <f t="shared" si="157"/>
        <v/>
      </c>
      <c r="Z1434" t="str">
        <f t="shared" si="158"/>
        <v/>
      </c>
      <c r="AL1434" t="str">
        <f t="shared" si="159"/>
        <v/>
      </c>
      <c r="AM1434" t="str">
        <f t="shared" si="160"/>
        <v/>
      </c>
    </row>
    <row r="1435" spans="1:39">
      <c r="A1435" t="str">
        <f>IF(ISBLANK(Record!A1436),"",Record!A1436)</f>
        <v/>
      </c>
      <c r="B1435" t="str">
        <f>IF(ISBLANK(Record!B1436),"",Record!B1436)</f>
        <v/>
      </c>
      <c r="C1435" s="227" t="str">
        <f>IF(ISBLANK(Record!C1436),"",Record!C1436)</f>
        <v/>
      </c>
      <c r="D1435" t="str">
        <f>IF(ISBLANK(Record!D1436),"",Record!D1436)</f>
        <v/>
      </c>
      <c r="E1435" t="str">
        <f>IF(ISBLANK(Record!E1436),"",Record!E1436)</f>
        <v/>
      </c>
      <c r="M1435" t="str">
        <f t="shared" si="154"/>
        <v xml:space="preserve">          </v>
      </c>
      <c r="N1435" s="227" t="str">
        <f t="shared" si="155"/>
        <v/>
      </c>
      <c r="X1435" t="str">
        <f t="shared" si="156"/>
        <v xml:space="preserve">          </v>
      </c>
      <c r="Y1435" s="227" t="str">
        <f t="shared" si="157"/>
        <v/>
      </c>
      <c r="Z1435" t="str">
        <f t="shared" si="158"/>
        <v/>
      </c>
      <c r="AL1435" t="str">
        <f t="shared" si="159"/>
        <v/>
      </c>
      <c r="AM1435" t="str">
        <f t="shared" si="160"/>
        <v/>
      </c>
    </row>
    <row r="1436" spans="1:39">
      <c r="A1436" t="str">
        <f>IF(ISBLANK(Record!A1437),"",Record!A1437)</f>
        <v/>
      </c>
      <c r="B1436" t="str">
        <f>IF(ISBLANK(Record!B1437),"",Record!B1437)</f>
        <v/>
      </c>
      <c r="C1436" s="227" t="str">
        <f>IF(ISBLANK(Record!C1437),"",Record!C1437)</f>
        <v/>
      </c>
      <c r="D1436" t="str">
        <f>IF(ISBLANK(Record!D1437),"",Record!D1437)</f>
        <v/>
      </c>
      <c r="E1436" t="str">
        <f>IF(ISBLANK(Record!E1437),"",Record!E1437)</f>
        <v/>
      </c>
      <c r="M1436" t="str">
        <f t="shared" si="154"/>
        <v xml:space="preserve">          </v>
      </c>
      <c r="N1436" s="227" t="str">
        <f t="shared" si="155"/>
        <v/>
      </c>
      <c r="X1436" t="str">
        <f t="shared" si="156"/>
        <v xml:space="preserve">          </v>
      </c>
      <c r="Y1436" s="227" t="str">
        <f t="shared" si="157"/>
        <v/>
      </c>
      <c r="Z1436" t="str">
        <f t="shared" si="158"/>
        <v/>
      </c>
      <c r="AL1436" t="str">
        <f t="shared" si="159"/>
        <v/>
      </c>
      <c r="AM1436" t="str">
        <f t="shared" si="160"/>
        <v/>
      </c>
    </row>
    <row r="1437" spans="1:39">
      <c r="A1437" t="str">
        <f>IF(ISBLANK(Record!A1438),"",Record!A1438)</f>
        <v/>
      </c>
      <c r="B1437" t="str">
        <f>IF(ISBLANK(Record!B1438),"",Record!B1438)</f>
        <v/>
      </c>
      <c r="C1437" s="227" t="str">
        <f>IF(ISBLANK(Record!C1438),"",Record!C1438)</f>
        <v/>
      </c>
      <c r="D1437" t="str">
        <f>IF(ISBLANK(Record!D1438),"",Record!D1438)</f>
        <v/>
      </c>
      <c r="E1437" t="str">
        <f>IF(ISBLANK(Record!E1438),"",Record!E1438)</f>
        <v/>
      </c>
      <c r="M1437" t="str">
        <f t="shared" si="154"/>
        <v xml:space="preserve">          </v>
      </c>
      <c r="N1437" s="227" t="str">
        <f t="shared" si="155"/>
        <v/>
      </c>
      <c r="X1437" t="str">
        <f t="shared" si="156"/>
        <v xml:space="preserve">          </v>
      </c>
      <c r="Y1437" s="227" t="str">
        <f t="shared" si="157"/>
        <v/>
      </c>
      <c r="Z1437" t="str">
        <f t="shared" si="158"/>
        <v/>
      </c>
      <c r="AL1437" t="str">
        <f t="shared" si="159"/>
        <v/>
      </c>
      <c r="AM1437" t="str">
        <f t="shared" si="160"/>
        <v/>
      </c>
    </row>
    <row r="1438" spans="1:39">
      <c r="A1438" t="str">
        <f>IF(ISBLANK(Record!A1439),"",Record!A1439)</f>
        <v/>
      </c>
      <c r="B1438" t="str">
        <f>IF(ISBLANK(Record!B1439),"",Record!B1439)</f>
        <v/>
      </c>
      <c r="C1438" s="227" t="str">
        <f>IF(ISBLANK(Record!C1439),"",Record!C1439)</f>
        <v/>
      </c>
      <c r="D1438" t="str">
        <f>IF(ISBLANK(Record!D1439),"",Record!D1439)</f>
        <v/>
      </c>
      <c r="E1438" t="str">
        <f>IF(ISBLANK(Record!E1439),"",Record!E1439)</f>
        <v/>
      </c>
      <c r="M1438" t="str">
        <f t="shared" si="154"/>
        <v xml:space="preserve">          </v>
      </c>
      <c r="N1438" s="227" t="str">
        <f t="shared" si="155"/>
        <v/>
      </c>
      <c r="X1438" t="str">
        <f t="shared" si="156"/>
        <v xml:space="preserve">          </v>
      </c>
      <c r="Y1438" s="227" t="str">
        <f t="shared" si="157"/>
        <v/>
      </c>
      <c r="Z1438" t="str">
        <f t="shared" si="158"/>
        <v/>
      </c>
      <c r="AL1438" t="str">
        <f t="shared" si="159"/>
        <v/>
      </c>
      <c r="AM1438" t="str">
        <f t="shared" si="160"/>
        <v/>
      </c>
    </row>
    <row r="1439" spans="1:39">
      <c r="A1439" t="str">
        <f>IF(ISBLANK(Record!A1440),"",Record!A1440)</f>
        <v/>
      </c>
      <c r="B1439" t="str">
        <f>IF(ISBLANK(Record!B1440),"",Record!B1440)</f>
        <v/>
      </c>
      <c r="C1439" s="227" t="str">
        <f>IF(ISBLANK(Record!C1440),"",Record!C1440)</f>
        <v/>
      </c>
      <c r="D1439" t="str">
        <f>IF(ISBLANK(Record!D1440),"",Record!D1440)</f>
        <v/>
      </c>
      <c r="E1439" t="str">
        <f>IF(ISBLANK(Record!E1440),"",Record!E1440)</f>
        <v/>
      </c>
      <c r="M1439" t="str">
        <f t="shared" si="154"/>
        <v xml:space="preserve">          </v>
      </c>
      <c r="N1439" s="227" t="str">
        <f t="shared" si="155"/>
        <v/>
      </c>
      <c r="X1439" t="str">
        <f t="shared" si="156"/>
        <v xml:space="preserve">          </v>
      </c>
      <c r="Y1439" s="227" t="str">
        <f t="shared" si="157"/>
        <v/>
      </c>
      <c r="Z1439" t="str">
        <f t="shared" si="158"/>
        <v/>
      </c>
      <c r="AL1439" t="str">
        <f t="shared" si="159"/>
        <v/>
      </c>
      <c r="AM1439" t="str">
        <f t="shared" si="160"/>
        <v/>
      </c>
    </row>
    <row r="1440" spans="1:39">
      <c r="A1440" t="str">
        <f>IF(ISBLANK(Record!A1441),"",Record!A1441)</f>
        <v/>
      </c>
      <c r="B1440" t="str">
        <f>IF(ISBLANK(Record!B1441),"",Record!B1441)</f>
        <v/>
      </c>
      <c r="C1440" s="227" t="str">
        <f>IF(ISBLANK(Record!C1441),"",Record!C1441)</f>
        <v/>
      </c>
      <c r="D1440" t="str">
        <f>IF(ISBLANK(Record!D1441),"",Record!D1441)</f>
        <v/>
      </c>
      <c r="E1440" t="str">
        <f>IF(ISBLANK(Record!E1441),"",Record!E1441)</f>
        <v/>
      </c>
      <c r="M1440" t="str">
        <f t="shared" si="154"/>
        <v xml:space="preserve">          </v>
      </c>
      <c r="N1440" s="227" t="str">
        <f t="shared" si="155"/>
        <v/>
      </c>
      <c r="X1440" t="str">
        <f t="shared" si="156"/>
        <v xml:space="preserve">          </v>
      </c>
      <c r="Y1440" s="227" t="str">
        <f t="shared" si="157"/>
        <v/>
      </c>
      <c r="Z1440" t="str">
        <f t="shared" si="158"/>
        <v/>
      </c>
      <c r="AL1440" t="str">
        <f t="shared" si="159"/>
        <v/>
      </c>
      <c r="AM1440" t="str">
        <f t="shared" si="160"/>
        <v/>
      </c>
    </row>
    <row r="1441" spans="1:39">
      <c r="A1441" t="str">
        <f>IF(ISBLANK(Record!A1442),"",Record!A1442)</f>
        <v/>
      </c>
      <c r="B1441" t="str">
        <f>IF(ISBLANK(Record!B1442),"",Record!B1442)</f>
        <v/>
      </c>
      <c r="C1441" s="227" t="str">
        <f>IF(ISBLANK(Record!C1442),"",Record!C1442)</f>
        <v/>
      </c>
      <c r="D1441" t="str">
        <f>IF(ISBLANK(Record!D1442),"",Record!D1442)</f>
        <v/>
      </c>
      <c r="E1441" t="str">
        <f>IF(ISBLANK(Record!E1442),"",Record!E1442)</f>
        <v/>
      </c>
      <c r="M1441" t="str">
        <f t="shared" si="154"/>
        <v xml:space="preserve">          </v>
      </c>
      <c r="N1441" s="227" t="str">
        <f t="shared" si="155"/>
        <v/>
      </c>
      <c r="X1441" t="str">
        <f t="shared" si="156"/>
        <v xml:space="preserve">          </v>
      </c>
      <c r="Y1441" s="227" t="str">
        <f t="shared" si="157"/>
        <v/>
      </c>
      <c r="Z1441" t="str">
        <f t="shared" si="158"/>
        <v/>
      </c>
      <c r="AL1441" t="str">
        <f t="shared" si="159"/>
        <v/>
      </c>
      <c r="AM1441" t="str">
        <f t="shared" si="160"/>
        <v/>
      </c>
    </row>
    <row r="1442" spans="1:39">
      <c r="A1442" t="str">
        <f>IF(ISBLANK(Record!A1443),"",Record!A1443)</f>
        <v/>
      </c>
      <c r="B1442" t="str">
        <f>IF(ISBLANK(Record!B1443),"",Record!B1443)</f>
        <v/>
      </c>
      <c r="C1442" s="227" t="str">
        <f>IF(ISBLANK(Record!C1443),"",Record!C1443)</f>
        <v/>
      </c>
      <c r="D1442" t="str">
        <f>IF(ISBLANK(Record!D1443),"",Record!D1443)</f>
        <v/>
      </c>
      <c r="E1442" t="str">
        <f>IF(ISBLANK(Record!E1443),"",Record!E1443)</f>
        <v/>
      </c>
      <c r="M1442" t="str">
        <f t="shared" si="154"/>
        <v xml:space="preserve">          </v>
      </c>
      <c r="N1442" s="227" t="str">
        <f t="shared" si="155"/>
        <v/>
      </c>
      <c r="X1442" t="str">
        <f t="shared" si="156"/>
        <v xml:space="preserve">          </v>
      </c>
      <c r="Y1442" s="227" t="str">
        <f t="shared" si="157"/>
        <v/>
      </c>
      <c r="Z1442" t="str">
        <f t="shared" si="158"/>
        <v/>
      </c>
      <c r="AL1442" t="str">
        <f t="shared" si="159"/>
        <v/>
      </c>
      <c r="AM1442" t="str">
        <f t="shared" si="160"/>
        <v/>
      </c>
    </row>
    <row r="1443" spans="1:39">
      <c r="A1443" t="str">
        <f>IF(ISBLANK(Record!A1444),"",Record!A1444)</f>
        <v/>
      </c>
      <c r="B1443" t="str">
        <f>IF(ISBLANK(Record!B1444),"",Record!B1444)</f>
        <v/>
      </c>
      <c r="C1443" s="227" t="str">
        <f>IF(ISBLANK(Record!C1444),"",Record!C1444)</f>
        <v/>
      </c>
      <c r="D1443" t="str">
        <f>IF(ISBLANK(Record!D1444),"",Record!D1444)</f>
        <v/>
      </c>
      <c r="E1443" t="str">
        <f>IF(ISBLANK(Record!E1444),"",Record!E1444)</f>
        <v/>
      </c>
      <c r="M1443" t="str">
        <f t="shared" si="154"/>
        <v xml:space="preserve">          </v>
      </c>
      <c r="N1443" s="227" t="str">
        <f t="shared" si="155"/>
        <v/>
      </c>
      <c r="X1443" t="str">
        <f t="shared" si="156"/>
        <v xml:space="preserve">          </v>
      </c>
      <c r="Y1443" s="227" t="str">
        <f t="shared" si="157"/>
        <v/>
      </c>
      <c r="Z1443" t="str">
        <f t="shared" si="158"/>
        <v/>
      </c>
      <c r="AL1443" t="str">
        <f t="shared" si="159"/>
        <v/>
      </c>
      <c r="AM1443" t="str">
        <f t="shared" si="160"/>
        <v/>
      </c>
    </row>
    <row r="1444" spans="1:39">
      <c r="A1444" t="str">
        <f>IF(ISBLANK(Record!A1445),"",Record!A1445)</f>
        <v/>
      </c>
      <c r="B1444" t="str">
        <f>IF(ISBLANK(Record!B1445),"",Record!B1445)</f>
        <v/>
      </c>
      <c r="C1444" s="227" t="str">
        <f>IF(ISBLANK(Record!C1445),"",Record!C1445)</f>
        <v/>
      </c>
      <c r="D1444" t="str">
        <f>IF(ISBLANK(Record!D1445),"",Record!D1445)</f>
        <v/>
      </c>
      <c r="E1444" t="str">
        <f>IF(ISBLANK(Record!E1445),"",Record!E1445)</f>
        <v/>
      </c>
      <c r="M1444" t="str">
        <f t="shared" si="154"/>
        <v xml:space="preserve">          </v>
      </c>
      <c r="N1444" s="227" t="str">
        <f t="shared" si="155"/>
        <v/>
      </c>
      <c r="X1444" t="str">
        <f t="shared" si="156"/>
        <v xml:space="preserve">          </v>
      </c>
      <c r="Y1444" s="227" t="str">
        <f t="shared" si="157"/>
        <v/>
      </c>
      <c r="Z1444" t="str">
        <f t="shared" si="158"/>
        <v/>
      </c>
      <c r="AL1444" t="str">
        <f t="shared" si="159"/>
        <v/>
      </c>
      <c r="AM1444" t="str">
        <f t="shared" si="160"/>
        <v/>
      </c>
    </row>
    <row r="1445" spans="1:39">
      <c r="A1445" t="str">
        <f>IF(ISBLANK(Record!A1446),"",Record!A1446)</f>
        <v/>
      </c>
      <c r="B1445" t="str">
        <f>IF(ISBLANK(Record!B1446),"",Record!B1446)</f>
        <v/>
      </c>
      <c r="C1445" s="227" t="str">
        <f>IF(ISBLANK(Record!C1446),"",Record!C1446)</f>
        <v/>
      </c>
      <c r="D1445" t="str">
        <f>IF(ISBLANK(Record!D1446),"",Record!D1446)</f>
        <v/>
      </c>
      <c r="E1445" t="str">
        <f>IF(ISBLANK(Record!E1446),"",Record!E1446)</f>
        <v/>
      </c>
      <c r="M1445" t="str">
        <f t="shared" si="154"/>
        <v xml:space="preserve">          </v>
      </c>
      <c r="N1445" s="227" t="str">
        <f t="shared" si="155"/>
        <v/>
      </c>
      <c r="X1445" t="str">
        <f t="shared" si="156"/>
        <v xml:space="preserve">          </v>
      </c>
      <c r="Y1445" s="227" t="str">
        <f t="shared" si="157"/>
        <v/>
      </c>
      <c r="Z1445" t="str">
        <f t="shared" si="158"/>
        <v/>
      </c>
      <c r="AL1445" t="str">
        <f t="shared" si="159"/>
        <v/>
      </c>
      <c r="AM1445" t="str">
        <f t="shared" si="160"/>
        <v/>
      </c>
    </row>
    <row r="1446" spans="1:39">
      <c r="A1446" t="str">
        <f>IF(ISBLANK(Record!A1447),"",Record!A1447)</f>
        <v/>
      </c>
      <c r="B1446" t="str">
        <f>IF(ISBLANK(Record!B1447),"",Record!B1447)</f>
        <v/>
      </c>
      <c r="C1446" s="227" t="str">
        <f>IF(ISBLANK(Record!C1447),"",Record!C1447)</f>
        <v/>
      </c>
      <c r="D1446" t="str">
        <f>IF(ISBLANK(Record!D1447),"",Record!D1447)</f>
        <v/>
      </c>
      <c r="E1446" t="str">
        <f>IF(ISBLANK(Record!E1447),"",Record!E1447)</f>
        <v/>
      </c>
      <c r="M1446" t="str">
        <f t="shared" si="154"/>
        <v xml:space="preserve">          </v>
      </c>
      <c r="N1446" s="227" t="str">
        <f t="shared" si="155"/>
        <v/>
      </c>
      <c r="X1446" t="str">
        <f t="shared" si="156"/>
        <v xml:space="preserve">          </v>
      </c>
      <c r="Y1446" s="227" t="str">
        <f t="shared" si="157"/>
        <v/>
      </c>
      <c r="Z1446" t="str">
        <f t="shared" si="158"/>
        <v/>
      </c>
      <c r="AL1446" t="str">
        <f t="shared" si="159"/>
        <v/>
      </c>
      <c r="AM1446" t="str">
        <f t="shared" si="160"/>
        <v/>
      </c>
    </row>
    <row r="1447" spans="1:39">
      <c r="A1447" t="str">
        <f>IF(ISBLANK(Record!A1448),"",Record!A1448)</f>
        <v/>
      </c>
      <c r="B1447" t="str">
        <f>IF(ISBLANK(Record!B1448),"",Record!B1448)</f>
        <v/>
      </c>
      <c r="C1447" s="227" t="str">
        <f>IF(ISBLANK(Record!C1448),"",Record!C1448)</f>
        <v/>
      </c>
      <c r="D1447" t="str">
        <f>IF(ISBLANK(Record!D1448),"",Record!D1448)</f>
        <v/>
      </c>
      <c r="E1447" t="str">
        <f>IF(ISBLANK(Record!E1448),"",Record!E1448)</f>
        <v/>
      </c>
      <c r="M1447" t="str">
        <f t="shared" si="154"/>
        <v xml:space="preserve">          </v>
      </c>
      <c r="N1447" s="227" t="str">
        <f t="shared" si="155"/>
        <v/>
      </c>
      <c r="X1447" t="str">
        <f t="shared" si="156"/>
        <v xml:space="preserve">          </v>
      </c>
      <c r="Y1447" s="227" t="str">
        <f t="shared" si="157"/>
        <v/>
      </c>
      <c r="Z1447" t="str">
        <f t="shared" si="158"/>
        <v/>
      </c>
      <c r="AL1447" t="str">
        <f t="shared" si="159"/>
        <v/>
      </c>
      <c r="AM1447" t="str">
        <f t="shared" si="160"/>
        <v/>
      </c>
    </row>
    <row r="1448" spans="1:39">
      <c r="A1448" t="str">
        <f>IF(ISBLANK(Record!A1449),"",Record!A1449)</f>
        <v/>
      </c>
      <c r="B1448" t="str">
        <f>IF(ISBLANK(Record!B1449),"",Record!B1449)</f>
        <v/>
      </c>
      <c r="C1448" s="227" t="str">
        <f>IF(ISBLANK(Record!C1449),"",Record!C1449)</f>
        <v/>
      </c>
      <c r="D1448" t="str">
        <f>IF(ISBLANK(Record!D1449),"",Record!D1449)</f>
        <v/>
      </c>
      <c r="E1448" t="str">
        <f>IF(ISBLANK(Record!E1449),"",Record!E1449)</f>
        <v/>
      </c>
      <c r="M1448" t="str">
        <f t="shared" si="154"/>
        <v xml:space="preserve">          </v>
      </c>
      <c r="N1448" s="227" t="str">
        <f t="shared" si="155"/>
        <v/>
      </c>
      <c r="X1448" t="str">
        <f t="shared" si="156"/>
        <v xml:space="preserve">          </v>
      </c>
      <c r="Y1448" s="227" t="str">
        <f t="shared" si="157"/>
        <v/>
      </c>
      <c r="Z1448" t="str">
        <f t="shared" si="158"/>
        <v/>
      </c>
      <c r="AL1448" t="str">
        <f t="shared" si="159"/>
        <v/>
      </c>
      <c r="AM1448" t="str">
        <f t="shared" si="160"/>
        <v/>
      </c>
    </row>
    <row r="1449" spans="1:39">
      <c r="A1449" t="str">
        <f>IF(ISBLANK(Record!A1450),"",Record!A1450)</f>
        <v/>
      </c>
      <c r="B1449" t="str">
        <f>IF(ISBLANK(Record!B1450),"",Record!B1450)</f>
        <v/>
      </c>
      <c r="C1449" s="227" t="str">
        <f>IF(ISBLANK(Record!C1450),"",Record!C1450)</f>
        <v/>
      </c>
      <c r="D1449" t="str">
        <f>IF(ISBLANK(Record!D1450),"",Record!D1450)</f>
        <v/>
      </c>
      <c r="E1449" t="str">
        <f>IF(ISBLANK(Record!E1450),"",Record!E1450)</f>
        <v/>
      </c>
      <c r="M1449" t="str">
        <f t="shared" si="154"/>
        <v xml:space="preserve">          </v>
      </c>
      <c r="N1449" s="227" t="str">
        <f t="shared" si="155"/>
        <v/>
      </c>
      <c r="X1449" t="str">
        <f t="shared" si="156"/>
        <v xml:space="preserve">          </v>
      </c>
      <c r="Y1449" s="227" t="str">
        <f t="shared" si="157"/>
        <v/>
      </c>
      <c r="Z1449" t="str">
        <f t="shared" si="158"/>
        <v/>
      </c>
      <c r="AL1449" t="str">
        <f t="shared" si="159"/>
        <v/>
      </c>
      <c r="AM1449" t="str">
        <f t="shared" si="160"/>
        <v/>
      </c>
    </row>
    <row r="1450" spans="1:39">
      <c r="A1450" t="str">
        <f>IF(ISBLANK(Record!A1451),"",Record!A1451)</f>
        <v/>
      </c>
      <c r="B1450" t="str">
        <f>IF(ISBLANK(Record!B1451),"",Record!B1451)</f>
        <v/>
      </c>
      <c r="C1450" s="227" t="str">
        <f>IF(ISBLANK(Record!C1451),"",Record!C1451)</f>
        <v/>
      </c>
      <c r="D1450" t="str">
        <f>IF(ISBLANK(Record!D1451),"",Record!D1451)</f>
        <v/>
      </c>
      <c r="E1450" t="str">
        <f>IF(ISBLANK(Record!E1451),"",Record!E1451)</f>
        <v/>
      </c>
      <c r="M1450" t="str">
        <f t="shared" si="154"/>
        <v xml:space="preserve">          </v>
      </c>
      <c r="N1450" s="227" t="str">
        <f t="shared" si="155"/>
        <v/>
      </c>
      <c r="X1450" t="str">
        <f t="shared" si="156"/>
        <v xml:space="preserve">          </v>
      </c>
      <c r="Y1450" s="227" t="str">
        <f t="shared" si="157"/>
        <v/>
      </c>
      <c r="Z1450" t="str">
        <f t="shared" si="158"/>
        <v/>
      </c>
      <c r="AL1450" t="str">
        <f t="shared" si="159"/>
        <v/>
      </c>
      <c r="AM1450" t="str">
        <f t="shared" si="160"/>
        <v/>
      </c>
    </row>
    <row r="1451" spans="1:39">
      <c r="A1451" t="str">
        <f>IF(ISBLANK(Record!A1452),"",Record!A1452)</f>
        <v/>
      </c>
      <c r="B1451" t="str">
        <f>IF(ISBLANK(Record!B1452),"",Record!B1452)</f>
        <v/>
      </c>
      <c r="C1451" s="227" t="str">
        <f>IF(ISBLANK(Record!C1452),"",Record!C1452)</f>
        <v/>
      </c>
      <c r="D1451" t="str">
        <f>IF(ISBLANK(Record!D1452),"",Record!D1452)</f>
        <v/>
      </c>
      <c r="E1451" t="str">
        <f>IF(ISBLANK(Record!E1452),"",Record!E1452)</f>
        <v/>
      </c>
      <c r="M1451" t="str">
        <f t="shared" si="154"/>
        <v xml:space="preserve">          </v>
      </c>
      <c r="N1451" s="227" t="str">
        <f t="shared" si="155"/>
        <v/>
      </c>
      <c r="X1451" t="str">
        <f t="shared" si="156"/>
        <v xml:space="preserve">          </v>
      </c>
      <c r="Y1451" s="227" t="str">
        <f t="shared" si="157"/>
        <v/>
      </c>
      <c r="Z1451" t="str">
        <f t="shared" si="158"/>
        <v/>
      </c>
      <c r="AL1451" t="str">
        <f t="shared" si="159"/>
        <v/>
      </c>
      <c r="AM1451" t="str">
        <f t="shared" si="160"/>
        <v/>
      </c>
    </row>
    <row r="1452" spans="1:39">
      <c r="A1452" t="str">
        <f>IF(ISBLANK(Record!A1453),"",Record!A1453)</f>
        <v/>
      </c>
      <c r="B1452" t="str">
        <f>IF(ISBLANK(Record!B1453),"",Record!B1453)</f>
        <v/>
      </c>
      <c r="C1452" s="227" t="str">
        <f>IF(ISBLANK(Record!C1453),"",Record!C1453)</f>
        <v/>
      </c>
      <c r="D1452" t="str">
        <f>IF(ISBLANK(Record!D1453),"",Record!D1453)</f>
        <v/>
      </c>
      <c r="E1452" t="str">
        <f>IF(ISBLANK(Record!E1453),"",Record!E1453)</f>
        <v/>
      </c>
      <c r="M1452" t="str">
        <f t="shared" si="154"/>
        <v xml:space="preserve">          </v>
      </c>
      <c r="N1452" s="227" t="str">
        <f t="shared" si="155"/>
        <v/>
      </c>
      <c r="X1452" t="str">
        <f t="shared" si="156"/>
        <v xml:space="preserve">          </v>
      </c>
      <c r="Y1452" s="227" t="str">
        <f t="shared" si="157"/>
        <v/>
      </c>
      <c r="Z1452" t="str">
        <f t="shared" si="158"/>
        <v/>
      </c>
      <c r="AL1452" t="str">
        <f t="shared" si="159"/>
        <v/>
      </c>
      <c r="AM1452" t="str">
        <f t="shared" si="160"/>
        <v/>
      </c>
    </row>
    <row r="1453" spans="1:39">
      <c r="A1453" t="str">
        <f>IF(ISBLANK(Record!A1454),"",Record!A1454)</f>
        <v/>
      </c>
      <c r="B1453" t="str">
        <f>IF(ISBLANK(Record!B1454),"",Record!B1454)</f>
        <v/>
      </c>
      <c r="C1453" s="227" t="str">
        <f>IF(ISBLANK(Record!C1454),"",Record!C1454)</f>
        <v/>
      </c>
      <c r="D1453" t="str">
        <f>IF(ISBLANK(Record!D1454),"",Record!D1454)</f>
        <v/>
      </c>
      <c r="E1453" t="str">
        <f>IF(ISBLANK(Record!E1454),"",Record!E1454)</f>
        <v/>
      </c>
      <c r="M1453" t="str">
        <f t="shared" si="154"/>
        <v xml:space="preserve">          </v>
      </c>
      <c r="N1453" s="227" t="str">
        <f t="shared" si="155"/>
        <v/>
      </c>
      <c r="X1453" t="str">
        <f t="shared" si="156"/>
        <v xml:space="preserve">          </v>
      </c>
      <c r="Y1453" s="227" t="str">
        <f t="shared" si="157"/>
        <v/>
      </c>
      <c r="Z1453" t="str">
        <f t="shared" si="158"/>
        <v/>
      </c>
      <c r="AL1453" t="str">
        <f t="shared" si="159"/>
        <v/>
      </c>
      <c r="AM1453" t="str">
        <f t="shared" si="160"/>
        <v/>
      </c>
    </row>
    <row r="1454" spans="1:39">
      <c r="A1454" t="str">
        <f>IF(ISBLANK(Record!A1455),"",Record!A1455)</f>
        <v/>
      </c>
      <c r="B1454" t="str">
        <f>IF(ISBLANK(Record!B1455),"",Record!B1455)</f>
        <v/>
      </c>
      <c r="C1454" s="227" t="str">
        <f>IF(ISBLANK(Record!C1455),"",Record!C1455)</f>
        <v/>
      </c>
      <c r="D1454" t="str">
        <f>IF(ISBLANK(Record!D1455),"",Record!D1455)</f>
        <v/>
      </c>
      <c r="E1454" t="str">
        <f>IF(ISBLANK(Record!E1455),"",Record!E1455)</f>
        <v/>
      </c>
      <c r="M1454" t="str">
        <f t="shared" si="154"/>
        <v xml:space="preserve">          </v>
      </c>
      <c r="N1454" s="227" t="str">
        <f t="shared" si="155"/>
        <v/>
      </c>
      <c r="X1454" t="str">
        <f t="shared" si="156"/>
        <v xml:space="preserve">          </v>
      </c>
      <c r="Y1454" s="227" t="str">
        <f t="shared" si="157"/>
        <v/>
      </c>
      <c r="Z1454" t="str">
        <f t="shared" si="158"/>
        <v/>
      </c>
      <c r="AL1454" t="str">
        <f t="shared" si="159"/>
        <v/>
      </c>
      <c r="AM1454" t="str">
        <f t="shared" si="160"/>
        <v/>
      </c>
    </row>
    <row r="1455" spans="1:39">
      <c r="A1455" t="str">
        <f>IF(ISBLANK(Record!A1456),"",Record!A1456)</f>
        <v/>
      </c>
      <c r="B1455" t="str">
        <f>IF(ISBLANK(Record!B1456),"",Record!B1456)</f>
        <v/>
      </c>
      <c r="C1455" s="227" t="str">
        <f>IF(ISBLANK(Record!C1456),"",Record!C1456)</f>
        <v/>
      </c>
      <c r="D1455" t="str">
        <f>IF(ISBLANK(Record!D1456),"",Record!D1456)</f>
        <v/>
      </c>
      <c r="E1455" t="str">
        <f>IF(ISBLANK(Record!E1456),"",Record!E1456)</f>
        <v/>
      </c>
      <c r="M1455" t="str">
        <f t="shared" si="154"/>
        <v xml:space="preserve">          </v>
      </c>
      <c r="N1455" s="227" t="str">
        <f t="shared" si="155"/>
        <v/>
      </c>
      <c r="X1455" t="str">
        <f t="shared" si="156"/>
        <v xml:space="preserve">          </v>
      </c>
      <c r="Y1455" s="227" t="str">
        <f t="shared" si="157"/>
        <v/>
      </c>
      <c r="Z1455" t="str">
        <f t="shared" si="158"/>
        <v/>
      </c>
      <c r="AL1455" t="str">
        <f t="shared" si="159"/>
        <v/>
      </c>
      <c r="AM1455" t="str">
        <f t="shared" si="160"/>
        <v/>
      </c>
    </row>
    <row r="1456" spans="1:39">
      <c r="A1456" t="str">
        <f>IF(ISBLANK(Record!A1457),"",Record!A1457)</f>
        <v/>
      </c>
      <c r="B1456" t="str">
        <f>IF(ISBLANK(Record!B1457),"",Record!B1457)</f>
        <v/>
      </c>
      <c r="C1456" s="227" t="str">
        <f>IF(ISBLANK(Record!C1457),"",Record!C1457)</f>
        <v/>
      </c>
      <c r="D1456" t="str">
        <f>IF(ISBLANK(Record!D1457),"",Record!D1457)</f>
        <v/>
      </c>
      <c r="E1456" t="str">
        <f>IF(ISBLANK(Record!E1457),"",Record!E1457)</f>
        <v/>
      </c>
      <c r="M1456" t="str">
        <f t="shared" si="154"/>
        <v xml:space="preserve">          </v>
      </c>
      <c r="N1456" s="227" t="str">
        <f t="shared" si="155"/>
        <v/>
      </c>
      <c r="X1456" t="str">
        <f t="shared" si="156"/>
        <v xml:space="preserve">          </v>
      </c>
      <c r="Y1456" s="227" t="str">
        <f t="shared" si="157"/>
        <v/>
      </c>
      <c r="Z1456" t="str">
        <f t="shared" si="158"/>
        <v/>
      </c>
      <c r="AL1456" t="str">
        <f t="shared" si="159"/>
        <v/>
      </c>
      <c r="AM1456" t="str">
        <f t="shared" si="160"/>
        <v/>
      </c>
    </row>
    <row r="1457" spans="1:39">
      <c r="A1457" t="str">
        <f>IF(ISBLANK(Record!A1458),"",Record!A1458)</f>
        <v/>
      </c>
      <c r="B1457" t="str">
        <f>IF(ISBLANK(Record!B1458),"",Record!B1458)</f>
        <v/>
      </c>
      <c r="C1457" s="227" t="str">
        <f>IF(ISBLANK(Record!C1458),"",Record!C1458)</f>
        <v/>
      </c>
      <c r="D1457" t="str">
        <f>IF(ISBLANK(Record!D1458),"",Record!D1458)</f>
        <v/>
      </c>
      <c r="E1457" t="str">
        <f>IF(ISBLANK(Record!E1458),"",Record!E1458)</f>
        <v/>
      </c>
      <c r="M1457" t="str">
        <f t="shared" si="154"/>
        <v xml:space="preserve">          </v>
      </c>
      <c r="N1457" s="227" t="str">
        <f t="shared" si="155"/>
        <v/>
      </c>
      <c r="X1457" t="str">
        <f t="shared" si="156"/>
        <v xml:space="preserve">          </v>
      </c>
      <c r="Y1457" s="227" t="str">
        <f t="shared" si="157"/>
        <v/>
      </c>
      <c r="Z1457" t="str">
        <f t="shared" si="158"/>
        <v/>
      </c>
      <c r="AL1457" t="str">
        <f t="shared" si="159"/>
        <v/>
      </c>
      <c r="AM1457" t="str">
        <f t="shared" si="160"/>
        <v/>
      </c>
    </row>
    <row r="1458" spans="1:39">
      <c r="A1458" t="str">
        <f>IF(ISBLANK(Record!A1459),"",Record!A1459)</f>
        <v/>
      </c>
      <c r="B1458" t="str">
        <f>IF(ISBLANK(Record!B1459),"",Record!B1459)</f>
        <v/>
      </c>
      <c r="C1458" s="227" t="str">
        <f>IF(ISBLANK(Record!C1459),"",Record!C1459)</f>
        <v/>
      </c>
      <c r="D1458" t="str">
        <f>IF(ISBLANK(Record!D1459),"",Record!D1459)</f>
        <v/>
      </c>
      <c r="E1458" t="str">
        <f>IF(ISBLANK(Record!E1459),"",Record!E1459)</f>
        <v/>
      </c>
      <c r="M1458" t="str">
        <f t="shared" si="154"/>
        <v xml:space="preserve">          </v>
      </c>
      <c r="N1458" s="227" t="str">
        <f t="shared" si="155"/>
        <v/>
      </c>
      <c r="X1458" t="str">
        <f t="shared" si="156"/>
        <v xml:space="preserve">          </v>
      </c>
      <c r="Y1458" s="227" t="str">
        <f t="shared" si="157"/>
        <v/>
      </c>
      <c r="Z1458" t="str">
        <f t="shared" si="158"/>
        <v/>
      </c>
      <c r="AL1458" t="str">
        <f t="shared" si="159"/>
        <v/>
      </c>
      <c r="AM1458" t="str">
        <f t="shared" si="160"/>
        <v/>
      </c>
    </row>
    <row r="1459" spans="1:39">
      <c r="A1459" t="str">
        <f>IF(ISBLANK(Record!A1460),"",Record!A1460)</f>
        <v/>
      </c>
      <c r="B1459" t="str">
        <f>IF(ISBLANK(Record!B1460),"",Record!B1460)</f>
        <v/>
      </c>
      <c r="C1459" s="227" t="str">
        <f>IF(ISBLANK(Record!C1460),"",Record!C1460)</f>
        <v/>
      </c>
      <c r="D1459" t="str">
        <f>IF(ISBLANK(Record!D1460),"",Record!D1460)</f>
        <v/>
      </c>
      <c r="E1459" t="str">
        <f>IF(ISBLANK(Record!E1460),"",Record!E1460)</f>
        <v/>
      </c>
      <c r="M1459" t="str">
        <f t="shared" si="154"/>
        <v xml:space="preserve">          </v>
      </c>
      <c r="N1459" s="227" t="str">
        <f t="shared" si="155"/>
        <v/>
      </c>
      <c r="X1459" t="str">
        <f t="shared" si="156"/>
        <v xml:space="preserve">          </v>
      </c>
      <c r="Y1459" s="227" t="str">
        <f t="shared" si="157"/>
        <v/>
      </c>
      <c r="Z1459" t="str">
        <f t="shared" si="158"/>
        <v/>
      </c>
      <c r="AL1459" t="str">
        <f t="shared" si="159"/>
        <v/>
      </c>
      <c r="AM1459" t="str">
        <f t="shared" si="160"/>
        <v/>
      </c>
    </row>
    <row r="1460" spans="1:39">
      <c r="A1460" t="str">
        <f>IF(ISBLANK(Record!A1461),"",Record!A1461)</f>
        <v/>
      </c>
      <c r="B1460" t="str">
        <f>IF(ISBLANK(Record!B1461),"",Record!B1461)</f>
        <v/>
      </c>
      <c r="C1460" s="227" t="str">
        <f>IF(ISBLANK(Record!C1461),"",Record!C1461)</f>
        <v/>
      </c>
      <c r="D1460" t="str">
        <f>IF(ISBLANK(Record!D1461),"",Record!D1461)</f>
        <v/>
      </c>
      <c r="E1460" t="str">
        <f>IF(ISBLANK(Record!E1461),"",Record!E1461)</f>
        <v/>
      </c>
      <c r="M1460" t="str">
        <f t="shared" si="154"/>
        <v xml:space="preserve">          </v>
      </c>
      <c r="N1460" s="227" t="str">
        <f t="shared" si="155"/>
        <v/>
      </c>
      <c r="X1460" t="str">
        <f t="shared" si="156"/>
        <v xml:space="preserve">          </v>
      </c>
      <c r="Y1460" s="227" t="str">
        <f t="shared" si="157"/>
        <v/>
      </c>
      <c r="Z1460" t="str">
        <f t="shared" si="158"/>
        <v/>
      </c>
      <c r="AL1460" t="str">
        <f t="shared" si="159"/>
        <v/>
      </c>
      <c r="AM1460" t="str">
        <f t="shared" si="160"/>
        <v/>
      </c>
    </row>
    <row r="1461" spans="1:39">
      <c r="A1461" t="str">
        <f>IF(ISBLANK(Record!A1462),"",Record!A1462)</f>
        <v/>
      </c>
      <c r="B1461" t="str">
        <f>IF(ISBLANK(Record!B1462),"",Record!B1462)</f>
        <v/>
      </c>
      <c r="C1461" s="227" t="str">
        <f>IF(ISBLANK(Record!C1462),"",Record!C1462)</f>
        <v/>
      </c>
      <c r="D1461" t="str">
        <f>IF(ISBLANK(Record!D1462),"",Record!D1462)</f>
        <v/>
      </c>
      <c r="E1461" t="str">
        <f>IF(ISBLANK(Record!E1462),"",Record!E1462)</f>
        <v/>
      </c>
      <c r="M1461" t="str">
        <f t="shared" si="154"/>
        <v xml:space="preserve">          </v>
      </c>
      <c r="N1461" s="227" t="str">
        <f t="shared" si="155"/>
        <v/>
      </c>
      <c r="X1461" t="str">
        <f t="shared" si="156"/>
        <v xml:space="preserve">          </v>
      </c>
      <c r="Y1461" s="227" t="str">
        <f t="shared" si="157"/>
        <v/>
      </c>
      <c r="Z1461" t="str">
        <f t="shared" si="158"/>
        <v/>
      </c>
      <c r="AL1461" t="str">
        <f t="shared" si="159"/>
        <v/>
      </c>
      <c r="AM1461" t="str">
        <f t="shared" si="160"/>
        <v/>
      </c>
    </row>
    <row r="1462" spans="1:39">
      <c r="A1462" t="str">
        <f>IF(ISBLANK(Record!A1463),"",Record!A1463)</f>
        <v/>
      </c>
      <c r="B1462" t="str">
        <f>IF(ISBLANK(Record!B1463),"",Record!B1463)</f>
        <v/>
      </c>
      <c r="C1462" s="227" t="str">
        <f>IF(ISBLANK(Record!C1463),"",Record!C1463)</f>
        <v/>
      </c>
      <c r="D1462" t="str">
        <f>IF(ISBLANK(Record!D1463),"",Record!D1463)</f>
        <v/>
      </c>
      <c r="E1462" t="str">
        <f>IF(ISBLANK(Record!E1463),"",Record!E1463)</f>
        <v/>
      </c>
      <c r="M1462" t="str">
        <f t="shared" si="154"/>
        <v xml:space="preserve">          </v>
      </c>
      <c r="N1462" s="227" t="str">
        <f t="shared" si="155"/>
        <v/>
      </c>
      <c r="X1462" t="str">
        <f t="shared" si="156"/>
        <v xml:space="preserve">          </v>
      </c>
      <c r="Y1462" s="227" t="str">
        <f t="shared" si="157"/>
        <v/>
      </c>
      <c r="Z1462" t="str">
        <f t="shared" si="158"/>
        <v/>
      </c>
      <c r="AL1462" t="str">
        <f t="shared" si="159"/>
        <v/>
      </c>
      <c r="AM1462" t="str">
        <f t="shared" si="160"/>
        <v/>
      </c>
    </row>
    <row r="1463" spans="1:39">
      <c r="A1463" t="str">
        <f>IF(ISBLANK(Record!A1464),"",Record!A1464)</f>
        <v/>
      </c>
      <c r="B1463" t="str">
        <f>IF(ISBLANK(Record!B1464),"",Record!B1464)</f>
        <v/>
      </c>
      <c r="C1463" s="227" t="str">
        <f>IF(ISBLANK(Record!C1464),"",Record!C1464)</f>
        <v/>
      </c>
      <c r="D1463" t="str">
        <f>IF(ISBLANK(Record!D1464),"",Record!D1464)</f>
        <v/>
      </c>
      <c r="E1463" t="str">
        <f>IF(ISBLANK(Record!E1464),"",Record!E1464)</f>
        <v/>
      </c>
      <c r="M1463" t="str">
        <f t="shared" si="154"/>
        <v xml:space="preserve">          </v>
      </c>
      <c r="N1463" s="227" t="str">
        <f t="shared" si="155"/>
        <v/>
      </c>
      <c r="X1463" t="str">
        <f t="shared" si="156"/>
        <v xml:space="preserve">          </v>
      </c>
      <c r="Y1463" s="227" t="str">
        <f t="shared" si="157"/>
        <v/>
      </c>
      <c r="Z1463" t="str">
        <f t="shared" si="158"/>
        <v/>
      </c>
      <c r="AL1463" t="str">
        <f t="shared" si="159"/>
        <v/>
      </c>
      <c r="AM1463" t="str">
        <f t="shared" si="160"/>
        <v/>
      </c>
    </row>
    <row r="1464" spans="1:39">
      <c r="A1464" t="str">
        <f>IF(ISBLANK(Record!A1465),"",Record!A1465)</f>
        <v/>
      </c>
      <c r="B1464" t="str">
        <f>IF(ISBLANK(Record!B1465),"",Record!B1465)</f>
        <v/>
      </c>
      <c r="C1464" s="227" t="str">
        <f>IF(ISBLANK(Record!C1465),"",Record!C1465)</f>
        <v/>
      </c>
      <c r="D1464" t="str">
        <f>IF(ISBLANK(Record!D1465),"",Record!D1465)</f>
        <v/>
      </c>
      <c r="E1464" t="str">
        <f>IF(ISBLANK(Record!E1465),"",Record!E1465)</f>
        <v/>
      </c>
      <c r="M1464" t="str">
        <f t="shared" si="154"/>
        <v xml:space="preserve">          </v>
      </c>
      <c r="N1464" s="227" t="str">
        <f t="shared" si="155"/>
        <v/>
      </c>
      <c r="X1464" t="str">
        <f t="shared" si="156"/>
        <v xml:space="preserve">          </v>
      </c>
      <c r="Y1464" s="227" t="str">
        <f t="shared" si="157"/>
        <v/>
      </c>
      <c r="Z1464" t="str">
        <f t="shared" si="158"/>
        <v/>
      </c>
      <c r="AL1464" t="str">
        <f t="shared" si="159"/>
        <v/>
      </c>
      <c r="AM1464" t="str">
        <f t="shared" si="160"/>
        <v/>
      </c>
    </row>
    <row r="1465" spans="1:39">
      <c r="A1465" t="str">
        <f>IF(ISBLANK(Record!A1466),"",Record!A1466)</f>
        <v/>
      </c>
      <c r="B1465" t="str">
        <f>IF(ISBLANK(Record!B1466),"",Record!B1466)</f>
        <v/>
      </c>
      <c r="C1465" s="227" t="str">
        <f>IF(ISBLANK(Record!C1466),"",Record!C1466)</f>
        <v/>
      </c>
      <c r="D1465" t="str">
        <f>IF(ISBLANK(Record!D1466),"",Record!D1466)</f>
        <v/>
      </c>
      <c r="E1465" t="str">
        <f>IF(ISBLANK(Record!E1466),"",Record!E1466)</f>
        <v/>
      </c>
      <c r="M1465" t="str">
        <f t="shared" si="154"/>
        <v xml:space="preserve">          </v>
      </c>
      <c r="N1465" s="227" t="str">
        <f t="shared" si="155"/>
        <v/>
      </c>
      <c r="X1465" t="str">
        <f t="shared" si="156"/>
        <v xml:space="preserve">          </v>
      </c>
      <c r="Y1465" s="227" t="str">
        <f t="shared" si="157"/>
        <v/>
      </c>
      <c r="Z1465" t="str">
        <f t="shared" si="158"/>
        <v/>
      </c>
      <c r="AL1465" t="str">
        <f t="shared" si="159"/>
        <v/>
      </c>
      <c r="AM1465" t="str">
        <f t="shared" si="160"/>
        <v/>
      </c>
    </row>
    <row r="1466" spans="1:39">
      <c r="A1466" t="str">
        <f>IF(ISBLANK(Record!A1467),"",Record!A1467)</f>
        <v/>
      </c>
      <c r="B1466" t="str">
        <f>IF(ISBLANK(Record!B1467),"",Record!B1467)</f>
        <v/>
      </c>
      <c r="C1466" s="227" t="str">
        <f>IF(ISBLANK(Record!C1467),"",Record!C1467)</f>
        <v/>
      </c>
      <c r="D1466" t="str">
        <f>IF(ISBLANK(Record!D1467),"",Record!D1467)</f>
        <v/>
      </c>
      <c r="E1466" t="str">
        <f>IF(ISBLANK(Record!E1467),"",Record!E1467)</f>
        <v/>
      </c>
      <c r="M1466" t="str">
        <f t="shared" si="154"/>
        <v xml:space="preserve">          </v>
      </c>
      <c r="N1466" s="227" t="str">
        <f t="shared" si="155"/>
        <v/>
      </c>
      <c r="X1466" t="str">
        <f t="shared" si="156"/>
        <v xml:space="preserve">          </v>
      </c>
      <c r="Y1466" s="227" t="str">
        <f t="shared" si="157"/>
        <v/>
      </c>
      <c r="Z1466" t="str">
        <f t="shared" si="158"/>
        <v/>
      </c>
      <c r="AL1466" t="str">
        <f t="shared" si="159"/>
        <v/>
      </c>
      <c r="AM1466" t="str">
        <f t="shared" si="160"/>
        <v/>
      </c>
    </row>
    <row r="1467" spans="1:39">
      <c r="A1467" t="str">
        <f>IF(ISBLANK(Record!A1468),"",Record!A1468)</f>
        <v/>
      </c>
      <c r="B1467" t="str">
        <f>IF(ISBLANK(Record!B1468),"",Record!B1468)</f>
        <v/>
      </c>
      <c r="C1467" s="227" t="str">
        <f>IF(ISBLANK(Record!C1468),"",Record!C1468)</f>
        <v/>
      </c>
      <c r="D1467" t="str">
        <f>IF(ISBLANK(Record!D1468),"",Record!D1468)</f>
        <v/>
      </c>
      <c r="E1467" t="str">
        <f>IF(ISBLANK(Record!E1468),"",Record!E1468)</f>
        <v/>
      </c>
      <c r="M1467" t="str">
        <f t="shared" si="154"/>
        <v xml:space="preserve">          </v>
      </c>
      <c r="N1467" s="227" t="str">
        <f t="shared" si="155"/>
        <v/>
      </c>
      <c r="X1467" t="str">
        <f t="shared" si="156"/>
        <v xml:space="preserve">          </v>
      </c>
      <c r="Y1467" s="227" t="str">
        <f t="shared" si="157"/>
        <v/>
      </c>
      <c r="Z1467" t="str">
        <f t="shared" si="158"/>
        <v/>
      </c>
      <c r="AL1467" t="str">
        <f t="shared" si="159"/>
        <v/>
      </c>
      <c r="AM1467" t="str">
        <f t="shared" si="160"/>
        <v/>
      </c>
    </row>
    <row r="1468" spans="1:39">
      <c r="A1468" t="str">
        <f>IF(ISBLANK(Record!A1469),"",Record!A1469)</f>
        <v/>
      </c>
      <c r="B1468" t="str">
        <f>IF(ISBLANK(Record!B1469),"",Record!B1469)</f>
        <v/>
      </c>
      <c r="C1468" s="227" t="str">
        <f>IF(ISBLANK(Record!C1469),"",Record!C1469)</f>
        <v/>
      </c>
      <c r="D1468" t="str">
        <f>IF(ISBLANK(Record!D1469),"",Record!D1469)</f>
        <v/>
      </c>
      <c r="E1468" t="str">
        <f>IF(ISBLANK(Record!E1469),"",Record!E1469)</f>
        <v/>
      </c>
      <c r="M1468" t="str">
        <f t="shared" si="154"/>
        <v xml:space="preserve">          </v>
      </c>
      <c r="N1468" s="227" t="str">
        <f t="shared" si="155"/>
        <v/>
      </c>
      <c r="X1468" t="str">
        <f t="shared" si="156"/>
        <v xml:space="preserve">          </v>
      </c>
      <c r="Y1468" s="227" t="str">
        <f t="shared" si="157"/>
        <v/>
      </c>
      <c r="Z1468" t="str">
        <f t="shared" si="158"/>
        <v/>
      </c>
      <c r="AL1468" t="str">
        <f t="shared" si="159"/>
        <v/>
      </c>
      <c r="AM1468" t="str">
        <f t="shared" si="160"/>
        <v/>
      </c>
    </row>
    <row r="1469" spans="1:39">
      <c r="A1469" t="str">
        <f>IF(ISBLANK(Record!A1470),"",Record!A1470)</f>
        <v/>
      </c>
      <c r="B1469" t="str">
        <f>IF(ISBLANK(Record!B1470),"",Record!B1470)</f>
        <v/>
      </c>
      <c r="C1469" s="227" t="str">
        <f>IF(ISBLANK(Record!C1470),"",Record!C1470)</f>
        <v/>
      </c>
      <c r="D1469" t="str">
        <f>IF(ISBLANK(Record!D1470),"",Record!D1470)</f>
        <v/>
      </c>
      <c r="E1469" t="str">
        <f>IF(ISBLANK(Record!E1470),"",Record!E1470)</f>
        <v/>
      </c>
      <c r="M1469" t="str">
        <f t="shared" si="154"/>
        <v xml:space="preserve">          </v>
      </c>
      <c r="N1469" s="227" t="str">
        <f t="shared" si="155"/>
        <v/>
      </c>
      <c r="X1469" t="str">
        <f t="shared" si="156"/>
        <v xml:space="preserve">          </v>
      </c>
      <c r="Y1469" s="227" t="str">
        <f t="shared" si="157"/>
        <v/>
      </c>
      <c r="Z1469" t="str">
        <f t="shared" si="158"/>
        <v/>
      </c>
      <c r="AL1469" t="str">
        <f t="shared" si="159"/>
        <v/>
      </c>
      <c r="AM1469" t="str">
        <f t="shared" si="160"/>
        <v/>
      </c>
    </row>
    <row r="1470" spans="1:39">
      <c r="A1470" t="str">
        <f>IF(ISBLANK(Record!A1471),"",Record!A1471)</f>
        <v/>
      </c>
      <c r="B1470" t="str">
        <f>IF(ISBLANK(Record!B1471),"",Record!B1471)</f>
        <v/>
      </c>
      <c r="C1470" s="227" t="str">
        <f>IF(ISBLANK(Record!C1471),"",Record!C1471)</f>
        <v/>
      </c>
      <c r="D1470" t="str">
        <f>IF(ISBLANK(Record!D1471),"",Record!D1471)</f>
        <v/>
      </c>
      <c r="E1470" t="str">
        <f>IF(ISBLANK(Record!E1471),"",Record!E1471)</f>
        <v/>
      </c>
      <c r="M1470" t="str">
        <f t="shared" si="154"/>
        <v xml:space="preserve">          </v>
      </c>
      <c r="N1470" s="227" t="str">
        <f t="shared" si="155"/>
        <v/>
      </c>
      <c r="X1470" t="str">
        <f t="shared" si="156"/>
        <v xml:space="preserve">          </v>
      </c>
      <c r="Y1470" s="227" t="str">
        <f t="shared" si="157"/>
        <v/>
      </c>
      <c r="Z1470" t="str">
        <f t="shared" si="158"/>
        <v/>
      </c>
      <c r="AL1470" t="str">
        <f t="shared" si="159"/>
        <v/>
      </c>
      <c r="AM1470" t="str">
        <f t="shared" si="160"/>
        <v/>
      </c>
    </row>
    <row r="1471" spans="1:39">
      <c r="A1471" t="str">
        <f>IF(ISBLANK(Record!A1472),"",Record!A1472)</f>
        <v/>
      </c>
      <c r="B1471" t="str">
        <f>IF(ISBLANK(Record!B1472),"",Record!B1472)</f>
        <v/>
      </c>
      <c r="C1471" s="227" t="str">
        <f>IF(ISBLANK(Record!C1472),"",Record!C1472)</f>
        <v/>
      </c>
      <c r="D1471" t="str">
        <f>IF(ISBLANK(Record!D1472),"",Record!D1472)</f>
        <v/>
      </c>
      <c r="E1471" t="str">
        <f>IF(ISBLANK(Record!E1472),"",Record!E1472)</f>
        <v/>
      </c>
      <c r="M1471" t="str">
        <f t="shared" si="154"/>
        <v xml:space="preserve">          </v>
      </c>
      <c r="N1471" s="227" t="str">
        <f t="shared" si="155"/>
        <v/>
      </c>
      <c r="X1471" t="str">
        <f t="shared" si="156"/>
        <v xml:space="preserve">          </v>
      </c>
      <c r="Y1471" s="227" t="str">
        <f t="shared" si="157"/>
        <v/>
      </c>
      <c r="Z1471" t="str">
        <f t="shared" si="158"/>
        <v/>
      </c>
      <c r="AL1471" t="str">
        <f t="shared" si="159"/>
        <v/>
      </c>
      <c r="AM1471" t="str">
        <f t="shared" si="160"/>
        <v/>
      </c>
    </row>
    <row r="1472" spans="1:39">
      <c r="A1472" t="str">
        <f>IF(ISBLANK(Record!A1473),"",Record!A1473)</f>
        <v/>
      </c>
      <c r="B1472" t="str">
        <f>IF(ISBLANK(Record!B1473),"",Record!B1473)</f>
        <v/>
      </c>
      <c r="C1472" s="227" t="str">
        <f>IF(ISBLANK(Record!C1473),"",Record!C1473)</f>
        <v/>
      </c>
      <c r="D1472" t="str">
        <f>IF(ISBLANK(Record!D1473),"",Record!D1473)</f>
        <v/>
      </c>
      <c r="E1472" t="str">
        <f>IF(ISBLANK(Record!E1473),"",Record!E1473)</f>
        <v/>
      </c>
      <c r="M1472" t="str">
        <f t="shared" si="154"/>
        <v xml:space="preserve">          </v>
      </c>
      <c r="N1472" s="227" t="str">
        <f t="shared" si="155"/>
        <v/>
      </c>
      <c r="X1472" t="str">
        <f t="shared" si="156"/>
        <v xml:space="preserve">          </v>
      </c>
      <c r="Y1472" s="227" t="str">
        <f t="shared" si="157"/>
        <v/>
      </c>
      <c r="Z1472" t="str">
        <f t="shared" si="158"/>
        <v/>
      </c>
      <c r="AL1472" t="str">
        <f t="shared" si="159"/>
        <v/>
      </c>
      <c r="AM1472" t="str">
        <f t="shared" si="160"/>
        <v/>
      </c>
    </row>
    <row r="1473" spans="1:39">
      <c r="A1473" t="str">
        <f>IF(ISBLANK(Record!A1474),"",Record!A1474)</f>
        <v/>
      </c>
      <c r="B1473" t="str">
        <f>IF(ISBLANK(Record!B1474),"",Record!B1474)</f>
        <v/>
      </c>
      <c r="C1473" s="227" t="str">
        <f>IF(ISBLANK(Record!C1474),"",Record!C1474)</f>
        <v/>
      </c>
      <c r="D1473" t="str">
        <f>IF(ISBLANK(Record!D1474),"",Record!D1474)</f>
        <v/>
      </c>
      <c r="E1473" t="str">
        <f>IF(ISBLANK(Record!E1474),"",Record!E1474)</f>
        <v/>
      </c>
      <c r="M1473" t="str">
        <f t="shared" si="154"/>
        <v xml:space="preserve">          </v>
      </c>
      <c r="N1473" s="227" t="str">
        <f t="shared" si="155"/>
        <v/>
      </c>
      <c r="X1473" t="str">
        <f t="shared" si="156"/>
        <v xml:space="preserve">          </v>
      </c>
      <c r="Y1473" s="227" t="str">
        <f t="shared" si="157"/>
        <v/>
      </c>
      <c r="Z1473" t="str">
        <f t="shared" si="158"/>
        <v/>
      </c>
      <c r="AL1473" t="str">
        <f t="shared" si="159"/>
        <v/>
      </c>
      <c r="AM1473" t="str">
        <f t="shared" si="160"/>
        <v/>
      </c>
    </row>
    <row r="1474" spans="1:39">
      <c r="A1474" t="str">
        <f>IF(ISBLANK(Record!A1475),"",Record!A1475)</f>
        <v/>
      </c>
      <c r="B1474" t="str">
        <f>IF(ISBLANK(Record!B1475),"",Record!B1475)</f>
        <v/>
      </c>
      <c r="C1474" s="227" t="str">
        <f>IF(ISBLANK(Record!C1475),"",Record!C1475)</f>
        <v/>
      </c>
      <c r="D1474" t="str">
        <f>IF(ISBLANK(Record!D1475),"",Record!D1475)</f>
        <v/>
      </c>
      <c r="E1474" t="str">
        <f>IF(ISBLANK(Record!E1475),"",Record!E1475)</f>
        <v/>
      </c>
      <c r="M1474" t="str">
        <f t="shared" si="154"/>
        <v xml:space="preserve">          </v>
      </c>
      <c r="N1474" s="227" t="str">
        <f t="shared" si="155"/>
        <v/>
      </c>
      <c r="X1474" t="str">
        <f t="shared" si="156"/>
        <v xml:space="preserve">          </v>
      </c>
      <c r="Y1474" s="227" t="str">
        <f t="shared" si="157"/>
        <v/>
      </c>
      <c r="Z1474" t="str">
        <f t="shared" si="158"/>
        <v/>
      </c>
      <c r="AL1474" t="str">
        <f t="shared" si="159"/>
        <v/>
      </c>
      <c r="AM1474" t="str">
        <f t="shared" si="160"/>
        <v/>
      </c>
    </row>
    <row r="1475" spans="1:39">
      <c r="A1475" t="str">
        <f>IF(ISBLANK(Record!A1476),"",Record!A1476)</f>
        <v/>
      </c>
      <c r="B1475" t="str">
        <f>IF(ISBLANK(Record!B1476),"",Record!B1476)</f>
        <v/>
      </c>
      <c r="C1475" s="227" t="str">
        <f>IF(ISBLANK(Record!C1476),"",Record!C1476)</f>
        <v/>
      </c>
      <c r="D1475" t="str">
        <f>IF(ISBLANK(Record!D1476),"",Record!D1476)</f>
        <v/>
      </c>
      <c r="E1475" t="str">
        <f>IF(ISBLANK(Record!E1476),"",Record!E1476)</f>
        <v/>
      </c>
      <c r="M1475" t="str">
        <f t="shared" ref="M1475:M1538" si="161">RIGHT("                                   " &amp; A1475,10)</f>
        <v xml:space="preserve">          </v>
      </c>
      <c r="N1475" s="227" t="str">
        <f t="shared" ref="N1475:N1538" si="162">RIGHT(C1475,16)</f>
        <v/>
      </c>
      <c r="X1475" t="str">
        <f t="shared" ref="X1475:X1538" si="163">RIGHT("                                   " &amp; A1475,10)</f>
        <v xml:space="preserve">          </v>
      </c>
      <c r="Y1475" s="227" t="str">
        <f t="shared" ref="Y1475:Y1538" si="164">RIGHT(C1475,16)</f>
        <v/>
      </c>
      <c r="Z1475" t="str">
        <f t="shared" ref="Z1475:Z1538" si="165">RIGHT(D1475,8)</f>
        <v/>
      </c>
      <c r="AL1475" t="str">
        <f t="shared" ref="AL1475:AL1538" si="166">D1475</f>
        <v/>
      </c>
      <c r="AM1475" t="str">
        <f t="shared" ref="AM1475:AM1538" si="167">IF(E1475&lt;&gt;AL1475,E1475,E1475)</f>
        <v/>
      </c>
    </row>
    <row r="1476" spans="1:39">
      <c r="A1476" t="str">
        <f>IF(ISBLANK(Record!A1477),"",Record!A1477)</f>
        <v/>
      </c>
      <c r="B1476" t="str">
        <f>IF(ISBLANK(Record!B1477),"",Record!B1477)</f>
        <v/>
      </c>
      <c r="C1476" s="227" t="str">
        <f>IF(ISBLANK(Record!C1477),"",Record!C1477)</f>
        <v/>
      </c>
      <c r="D1476" t="str">
        <f>IF(ISBLANK(Record!D1477),"",Record!D1477)</f>
        <v/>
      </c>
      <c r="E1476" t="str">
        <f>IF(ISBLANK(Record!E1477),"",Record!E1477)</f>
        <v/>
      </c>
      <c r="M1476" t="str">
        <f t="shared" si="161"/>
        <v xml:space="preserve">          </v>
      </c>
      <c r="N1476" s="227" t="str">
        <f t="shared" si="162"/>
        <v/>
      </c>
      <c r="X1476" t="str">
        <f t="shared" si="163"/>
        <v xml:space="preserve">          </v>
      </c>
      <c r="Y1476" s="227" t="str">
        <f t="shared" si="164"/>
        <v/>
      </c>
      <c r="Z1476" t="str">
        <f t="shared" si="165"/>
        <v/>
      </c>
      <c r="AL1476" t="str">
        <f t="shared" si="166"/>
        <v/>
      </c>
      <c r="AM1476" t="str">
        <f t="shared" si="167"/>
        <v/>
      </c>
    </row>
    <row r="1477" spans="1:39">
      <c r="A1477" t="str">
        <f>IF(ISBLANK(Record!A1478),"",Record!A1478)</f>
        <v/>
      </c>
      <c r="B1477" t="str">
        <f>IF(ISBLANK(Record!B1478),"",Record!B1478)</f>
        <v/>
      </c>
      <c r="C1477" s="227" t="str">
        <f>IF(ISBLANK(Record!C1478),"",Record!C1478)</f>
        <v/>
      </c>
      <c r="D1477" t="str">
        <f>IF(ISBLANK(Record!D1478),"",Record!D1478)</f>
        <v/>
      </c>
      <c r="E1477" t="str">
        <f>IF(ISBLANK(Record!E1478),"",Record!E1478)</f>
        <v/>
      </c>
      <c r="M1477" t="str">
        <f t="shared" si="161"/>
        <v xml:space="preserve">          </v>
      </c>
      <c r="N1477" s="227" t="str">
        <f t="shared" si="162"/>
        <v/>
      </c>
      <c r="X1477" t="str">
        <f t="shared" si="163"/>
        <v xml:space="preserve">          </v>
      </c>
      <c r="Y1477" s="227" t="str">
        <f t="shared" si="164"/>
        <v/>
      </c>
      <c r="Z1477" t="str">
        <f t="shared" si="165"/>
        <v/>
      </c>
      <c r="AL1477" t="str">
        <f t="shared" si="166"/>
        <v/>
      </c>
      <c r="AM1477" t="str">
        <f t="shared" si="167"/>
        <v/>
      </c>
    </row>
    <row r="1478" spans="1:39">
      <c r="A1478" t="str">
        <f>IF(ISBLANK(Record!A1479),"",Record!A1479)</f>
        <v/>
      </c>
      <c r="B1478" t="str">
        <f>IF(ISBLANK(Record!B1479),"",Record!B1479)</f>
        <v/>
      </c>
      <c r="C1478" s="227" t="str">
        <f>IF(ISBLANK(Record!C1479),"",Record!C1479)</f>
        <v/>
      </c>
      <c r="D1478" t="str">
        <f>IF(ISBLANK(Record!D1479),"",Record!D1479)</f>
        <v/>
      </c>
      <c r="E1478" t="str">
        <f>IF(ISBLANK(Record!E1479),"",Record!E1479)</f>
        <v/>
      </c>
      <c r="M1478" t="str">
        <f t="shared" si="161"/>
        <v xml:space="preserve">          </v>
      </c>
      <c r="N1478" s="227" t="str">
        <f t="shared" si="162"/>
        <v/>
      </c>
      <c r="X1478" t="str">
        <f t="shared" si="163"/>
        <v xml:space="preserve">          </v>
      </c>
      <c r="Y1478" s="227" t="str">
        <f t="shared" si="164"/>
        <v/>
      </c>
      <c r="Z1478" t="str">
        <f t="shared" si="165"/>
        <v/>
      </c>
      <c r="AL1478" t="str">
        <f t="shared" si="166"/>
        <v/>
      </c>
      <c r="AM1478" t="str">
        <f t="shared" si="167"/>
        <v/>
      </c>
    </row>
    <row r="1479" spans="1:39">
      <c r="A1479" t="str">
        <f>IF(ISBLANK(Record!A1480),"",Record!A1480)</f>
        <v/>
      </c>
      <c r="B1479" t="str">
        <f>IF(ISBLANK(Record!B1480),"",Record!B1480)</f>
        <v/>
      </c>
      <c r="C1479" s="227" t="str">
        <f>IF(ISBLANK(Record!C1480),"",Record!C1480)</f>
        <v/>
      </c>
      <c r="D1479" t="str">
        <f>IF(ISBLANK(Record!D1480),"",Record!D1480)</f>
        <v/>
      </c>
      <c r="E1479" t="str">
        <f>IF(ISBLANK(Record!E1480),"",Record!E1480)</f>
        <v/>
      </c>
      <c r="M1479" t="str">
        <f t="shared" si="161"/>
        <v xml:space="preserve">          </v>
      </c>
      <c r="N1479" s="227" t="str">
        <f t="shared" si="162"/>
        <v/>
      </c>
      <c r="X1479" t="str">
        <f t="shared" si="163"/>
        <v xml:space="preserve">          </v>
      </c>
      <c r="Y1479" s="227" t="str">
        <f t="shared" si="164"/>
        <v/>
      </c>
      <c r="Z1479" t="str">
        <f t="shared" si="165"/>
        <v/>
      </c>
      <c r="AL1479" t="str">
        <f t="shared" si="166"/>
        <v/>
      </c>
      <c r="AM1479" t="str">
        <f t="shared" si="167"/>
        <v/>
      </c>
    </row>
    <row r="1480" spans="1:39">
      <c r="A1480" t="str">
        <f>IF(ISBLANK(Record!A1481),"",Record!A1481)</f>
        <v/>
      </c>
      <c r="B1480" t="str">
        <f>IF(ISBLANK(Record!B1481),"",Record!B1481)</f>
        <v/>
      </c>
      <c r="C1480" s="227" t="str">
        <f>IF(ISBLANK(Record!C1481),"",Record!C1481)</f>
        <v/>
      </c>
      <c r="D1480" t="str">
        <f>IF(ISBLANK(Record!D1481),"",Record!D1481)</f>
        <v/>
      </c>
      <c r="E1480" t="str">
        <f>IF(ISBLANK(Record!E1481),"",Record!E1481)</f>
        <v/>
      </c>
      <c r="M1480" t="str">
        <f t="shared" si="161"/>
        <v xml:space="preserve">          </v>
      </c>
      <c r="N1480" s="227" t="str">
        <f t="shared" si="162"/>
        <v/>
      </c>
      <c r="X1480" t="str">
        <f t="shared" si="163"/>
        <v xml:space="preserve">          </v>
      </c>
      <c r="Y1480" s="227" t="str">
        <f t="shared" si="164"/>
        <v/>
      </c>
      <c r="Z1480" t="str">
        <f t="shared" si="165"/>
        <v/>
      </c>
      <c r="AL1480" t="str">
        <f t="shared" si="166"/>
        <v/>
      </c>
      <c r="AM1480" t="str">
        <f t="shared" si="167"/>
        <v/>
      </c>
    </row>
    <row r="1481" spans="1:39">
      <c r="A1481" t="str">
        <f>IF(ISBLANK(Record!A1482),"",Record!A1482)</f>
        <v/>
      </c>
      <c r="B1481" t="str">
        <f>IF(ISBLANK(Record!B1482),"",Record!B1482)</f>
        <v/>
      </c>
      <c r="C1481" s="227" t="str">
        <f>IF(ISBLANK(Record!C1482),"",Record!C1482)</f>
        <v/>
      </c>
      <c r="D1481" t="str">
        <f>IF(ISBLANK(Record!D1482),"",Record!D1482)</f>
        <v/>
      </c>
      <c r="E1481" t="str">
        <f>IF(ISBLANK(Record!E1482),"",Record!E1482)</f>
        <v/>
      </c>
      <c r="M1481" t="str">
        <f t="shared" si="161"/>
        <v xml:space="preserve">          </v>
      </c>
      <c r="N1481" s="227" t="str">
        <f t="shared" si="162"/>
        <v/>
      </c>
      <c r="X1481" t="str">
        <f t="shared" si="163"/>
        <v xml:space="preserve">          </v>
      </c>
      <c r="Y1481" s="227" t="str">
        <f t="shared" si="164"/>
        <v/>
      </c>
      <c r="Z1481" t="str">
        <f t="shared" si="165"/>
        <v/>
      </c>
      <c r="AL1481" t="str">
        <f t="shared" si="166"/>
        <v/>
      </c>
      <c r="AM1481" t="str">
        <f t="shared" si="167"/>
        <v/>
      </c>
    </row>
    <row r="1482" spans="1:39">
      <c r="A1482" t="str">
        <f>IF(ISBLANK(Record!A1483),"",Record!A1483)</f>
        <v/>
      </c>
      <c r="B1482" t="str">
        <f>IF(ISBLANK(Record!B1483),"",Record!B1483)</f>
        <v/>
      </c>
      <c r="C1482" s="227" t="str">
        <f>IF(ISBLANK(Record!C1483),"",Record!C1483)</f>
        <v/>
      </c>
      <c r="D1482" t="str">
        <f>IF(ISBLANK(Record!D1483),"",Record!D1483)</f>
        <v/>
      </c>
      <c r="E1482" t="str">
        <f>IF(ISBLANK(Record!E1483),"",Record!E1483)</f>
        <v/>
      </c>
      <c r="M1482" t="str">
        <f t="shared" si="161"/>
        <v xml:space="preserve">          </v>
      </c>
      <c r="N1482" s="227" t="str">
        <f t="shared" si="162"/>
        <v/>
      </c>
      <c r="X1482" t="str">
        <f t="shared" si="163"/>
        <v xml:space="preserve">          </v>
      </c>
      <c r="Y1482" s="227" t="str">
        <f t="shared" si="164"/>
        <v/>
      </c>
      <c r="Z1482" t="str">
        <f t="shared" si="165"/>
        <v/>
      </c>
      <c r="AL1482" t="str">
        <f t="shared" si="166"/>
        <v/>
      </c>
      <c r="AM1482" t="str">
        <f t="shared" si="167"/>
        <v/>
      </c>
    </row>
    <row r="1483" spans="1:39">
      <c r="A1483" t="str">
        <f>IF(ISBLANK(Record!A1484),"",Record!A1484)</f>
        <v/>
      </c>
      <c r="B1483" t="str">
        <f>IF(ISBLANK(Record!B1484),"",Record!B1484)</f>
        <v/>
      </c>
      <c r="C1483" s="227" t="str">
        <f>IF(ISBLANK(Record!C1484),"",Record!C1484)</f>
        <v/>
      </c>
      <c r="D1483" t="str">
        <f>IF(ISBLANK(Record!D1484),"",Record!D1484)</f>
        <v/>
      </c>
      <c r="E1483" t="str">
        <f>IF(ISBLANK(Record!E1484),"",Record!E1484)</f>
        <v/>
      </c>
      <c r="M1483" t="str">
        <f t="shared" si="161"/>
        <v xml:space="preserve">          </v>
      </c>
      <c r="N1483" s="227" t="str">
        <f t="shared" si="162"/>
        <v/>
      </c>
      <c r="X1483" t="str">
        <f t="shared" si="163"/>
        <v xml:space="preserve">          </v>
      </c>
      <c r="Y1483" s="227" t="str">
        <f t="shared" si="164"/>
        <v/>
      </c>
      <c r="Z1483" t="str">
        <f t="shared" si="165"/>
        <v/>
      </c>
      <c r="AL1483" t="str">
        <f t="shared" si="166"/>
        <v/>
      </c>
      <c r="AM1483" t="str">
        <f t="shared" si="167"/>
        <v/>
      </c>
    </row>
    <row r="1484" spans="1:39">
      <c r="A1484" t="str">
        <f>IF(ISBLANK(Record!A1485),"",Record!A1485)</f>
        <v/>
      </c>
      <c r="B1484" t="str">
        <f>IF(ISBLANK(Record!B1485),"",Record!B1485)</f>
        <v/>
      </c>
      <c r="C1484" s="227" t="str">
        <f>IF(ISBLANK(Record!C1485),"",Record!C1485)</f>
        <v/>
      </c>
      <c r="D1484" t="str">
        <f>IF(ISBLANK(Record!D1485),"",Record!D1485)</f>
        <v/>
      </c>
      <c r="E1484" t="str">
        <f>IF(ISBLANK(Record!E1485),"",Record!E1485)</f>
        <v/>
      </c>
      <c r="M1484" t="str">
        <f t="shared" si="161"/>
        <v xml:space="preserve">          </v>
      </c>
      <c r="N1484" s="227" t="str">
        <f t="shared" si="162"/>
        <v/>
      </c>
      <c r="X1484" t="str">
        <f t="shared" si="163"/>
        <v xml:space="preserve">          </v>
      </c>
      <c r="Y1484" s="227" t="str">
        <f t="shared" si="164"/>
        <v/>
      </c>
      <c r="Z1484" t="str">
        <f t="shared" si="165"/>
        <v/>
      </c>
      <c r="AL1484" t="str">
        <f t="shared" si="166"/>
        <v/>
      </c>
      <c r="AM1484" t="str">
        <f t="shared" si="167"/>
        <v/>
      </c>
    </row>
    <row r="1485" spans="1:39">
      <c r="A1485" t="str">
        <f>IF(ISBLANK(Record!A1486),"",Record!A1486)</f>
        <v/>
      </c>
      <c r="B1485" t="str">
        <f>IF(ISBLANK(Record!B1486),"",Record!B1486)</f>
        <v/>
      </c>
      <c r="C1485" s="227" t="str">
        <f>IF(ISBLANK(Record!C1486),"",Record!C1486)</f>
        <v/>
      </c>
      <c r="D1485" t="str">
        <f>IF(ISBLANK(Record!D1486),"",Record!D1486)</f>
        <v/>
      </c>
      <c r="E1485" t="str">
        <f>IF(ISBLANK(Record!E1486),"",Record!E1486)</f>
        <v/>
      </c>
      <c r="M1485" t="str">
        <f t="shared" si="161"/>
        <v xml:space="preserve">          </v>
      </c>
      <c r="N1485" s="227" t="str">
        <f t="shared" si="162"/>
        <v/>
      </c>
      <c r="X1485" t="str">
        <f t="shared" si="163"/>
        <v xml:space="preserve">          </v>
      </c>
      <c r="Y1485" s="227" t="str">
        <f t="shared" si="164"/>
        <v/>
      </c>
      <c r="Z1485" t="str">
        <f t="shared" si="165"/>
        <v/>
      </c>
      <c r="AL1485" t="str">
        <f t="shared" si="166"/>
        <v/>
      </c>
      <c r="AM1485" t="str">
        <f t="shared" si="167"/>
        <v/>
      </c>
    </row>
    <row r="1486" spans="1:39">
      <c r="A1486" t="str">
        <f>IF(ISBLANK(Record!A1487),"",Record!A1487)</f>
        <v/>
      </c>
      <c r="B1486" t="str">
        <f>IF(ISBLANK(Record!B1487),"",Record!B1487)</f>
        <v/>
      </c>
      <c r="C1486" s="227" t="str">
        <f>IF(ISBLANK(Record!C1487),"",Record!C1487)</f>
        <v/>
      </c>
      <c r="D1486" t="str">
        <f>IF(ISBLANK(Record!D1487),"",Record!D1487)</f>
        <v/>
      </c>
      <c r="E1486" t="str">
        <f>IF(ISBLANK(Record!E1487),"",Record!E1487)</f>
        <v/>
      </c>
      <c r="M1486" t="str">
        <f t="shared" si="161"/>
        <v xml:space="preserve">          </v>
      </c>
      <c r="N1486" s="227" t="str">
        <f t="shared" si="162"/>
        <v/>
      </c>
      <c r="X1486" t="str">
        <f t="shared" si="163"/>
        <v xml:space="preserve">          </v>
      </c>
      <c r="Y1486" s="227" t="str">
        <f t="shared" si="164"/>
        <v/>
      </c>
      <c r="Z1486" t="str">
        <f t="shared" si="165"/>
        <v/>
      </c>
      <c r="AL1486" t="str">
        <f t="shared" si="166"/>
        <v/>
      </c>
      <c r="AM1486" t="str">
        <f t="shared" si="167"/>
        <v/>
      </c>
    </row>
    <row r="1487" spans="1:39">
      <c r="A1487" t="str">
        <f>IF(ISBLANK(Record!A1488),"",Record!A1488)</f>
        <v/>
      </c>
      <c r="B1487" t="str">
        <f>IF(ISBLANK(Record!B1488),"",Record!B1488)</f>
        <v/>
      </c>
      <c r="C1487" s="227" t="str">
        <f>IF(ISBLANK(Record!C1488),"",Record!C1488)</f>
        <v/>
      </c>
      <c r="D1487" t="str">
        <f>IF(ISBLANK(Record!D1488),"",Record!D1488)</f>
        <v/>
      </c>
      <c r="E1487" t="str">
        <f>IF(ISBLANK(Record!E1488),"",Record!E1488)</f>
        <v/>
      </c>
      <c r="M1487" t="str">
        <f t="shared" si="161"/>
        <v xml:space="preserve">          </v>
      </c>
      <c r="N1487" s="227" t="str">
        <f t="shared" si="162"/>
        <v/>
      </c>
      <c r="X1487" t="str">
        <f t="shared" si="163"/>
        <v xml:space="preserve">          </v>
      </c>
      <c r="Y1487" s="227" t="str">
        <f t="shared" si="164"/>
        <v/>
      </c>
      <c r="Z1487" t="str">
        <f t="shared" si="165"/>
        <v/>
      </c>
      <c r="AL1487" t="str">
        <f t="shared" si="166"/>
        <v/>
      </c>
      <c r="AM1487" t="str">
        <f t="shared" si="167"/>
        <v/>
      </c>
    </row>
    <row r="1488" spans="1:39">
      <c r="A1488" t="str">
        <f>IF(ISBLANK(Record!A1489),"",Record!A1489)</f>
        <v/>
      </c>
      <c r="B1488" t="str">
        <f>IF(ISBLANK(Record!B1489),"",Record!B1489)</f>
        <v/>
      </c>
      <c r="C1488" s="227" t="str">
        <f>IF(ISBLANK(Record!C1489),"",Record!C1489)</f>
        <v/>
      </c>
      <c r="D1488" t="str">
        <f>IF(ISBLANK(Record!D1489),"",Record!D1489)</f>
        <v/>
      </c>
      <c r="E1488" t="str">
        <f>IF(ISBLANK(Record!E1489),"",Record!E1489)</f>
        <v/>
      </c>
      <c r="M1488" t="str">
        <f t="shared" si="161"/>
        <v xml:space="preserve">          </v>
      </c>
      <c r="N1488" s="227" t="str">
        <f t="shared" si="162"/>
        <v/>
      </c>
      <c r="X1488" t="str">
        <f t="shared" si="163"/>
        <v xml:space="preserve">          </v>
      </c>
      <c r="Y1488" s="227" t="str">
        <f t="shared" si="164"/>
        <v/>
      </c>
      <c r="Z1488" t="str">
        <f t="shared" si="165"/>
        <v/>
      </c>
      <c r="AL1488" t="str">
        <f t="shared" si="166"/>
        <v/>
      </c>
      <c r="AM1488" t="str">
        <f t="shared" si="167"/>
        <v/>
      </c>
    </row>
    <row r="1489" spans="1:39">
      <c r="A1489" t="str">
        <f>IF(ISBLANK(Record!A1490),"",Record!A1490)</f>
        <v/>
      </c>
      <c r="B1489" t="str">
        <f>IF(ISBLANK(Record!B1490),"",Record!B1490)</f>
        <v/>
      </c>
      <c r="C1489" s="227" t="str">
        <f>IF(ISBLANK(Record!C1490),"",Record!C1490)</f>
        <v/>
      </c>
      <c r="D1489" t="str">
        <f>IF(ISBLANK(Record!D1490),"",Record!D1490)</f>
        <v/>
      </c>
      <c r="E1489" t="str">
        <f>IF(ISBLANK(Record!E1490),"",Record!E1490)</f>
        <v/>
      </c>
      <c r="M1489" t="str">
        <f t="shared" si="161"/>
        <v xml:space="preserve">          </v>
      </c>
      <c r="N1489" s="227" t="str">
        <f t="shared" si="162"/>
        <v/>
      </c>
      <c r="X1489" t="str">
        <f t="shared" si="163"/>
        <v xml:space="preserve">          </v>
      </c>
      <c r="Y1489" s="227" t="str">
        <f t="shared" si="164"/>
        <v/>
      </c>
      <c r="Z1489" t="str">
        <f t="shared" si="165"/>
        <v/>
      </c>
      <c r="AL1489" t="str">
        <f t="shared" si="166"/>
        <v/>
      </c>
      <c r="AM1489" t="str">
        <f t="shared" si="167"/>
        <v/>
      </c>
    </row>
    <row r="1490" spans="1:39">
      <c r="A1490" t="str">
        <f>IF(ISBLANK(Record!A1491),"",Record!A1491)</f>
        <v/>
      </c>
      <c r="B1490" t="str">
        <f>IF(ISBLANK(Record!B1491),"",Record!B1491)</f>
        <v/>
      </c>
      <c r="C1490" s="227" t="str">
        <f>IF(ISBLANK(Record!C1491),"",Record!C1491)</f>
        <v/>
      </c>
      <c r="D1490" t="str">
        <f>IF(ISBLANK(Record!D1491),"",Record!D1491)</f>
        <v/>
      </c>
      <c r="E1490" t="str">
        <f>IF(ISBLANK(Record!E1491),"",Record!E1491)</f>
        <v/>
      </c>
      <c r="M1490" t="str">
        <f t="shared" si="161"/>
        <v xml:space="preserve">          </v>
      </c>
      <c r="N1490" s="227" t="str">
        <f t="shared" si="162"/>
        <v/>
      </c>
      <c r="X1490" t="str">
        <f t="shared" si="163"/>
        <v xml:space="preserve">          </v>
      </c>
      <c r="Y1490" s="227" t="str">
        <f t="shared" si="164"/>
        <v/>
      </c>
      <c r="Z1490" t="str">
        <f t="shared" si="165"/>
        <v/>
      </c>
      <c r="AL1490" t="str">
        <f t="shared" si="166"/>
        <v/>
      </c>
      <c r="AM1490" t="str">
        <f t="shared" si="167"/>
        <v/>
      </c>
    </row>
    <row r="1491" spans="1:39">
      <c r="A1491" t="str">
        <f>IF(ISBLANK(Record!A1492),"",Record!A1492)</f>
        <v/>
      </c>
      <c r="B1491" t="str">
        <f>IF(ISBLANK(Record!B1492),"",Record!B1492)</f>
        <v/>
      </c>
      <c r="C1491" s="227" t="str">
        <f>IF(ISBLANK(Record!C1492),"",Record!C1492)</f>
        <v/>
      </c>
      <c r="D1491" t="str">
        <f>IF(ISBLANK(Record!D1492),"",Record!D1492)</f>
        <v/>
      </c>
      <c r="E1491" t="str">
        <f>IF(ISBLANK(Record!E1492),"",Record!E1492)</f>
        <v/>
      </c>
      <c r="M1491" t="str">
        <f t="shared" si="161"/>
        <v xml:space="preserve">          </v>
      </c>
      <c r="N1491" s="227" t="str">
        <f t="shared" si="162"/>
        <v/>
      </c>
      <c r="X1491" t="str">
        <f t="shared" si="163"/>
        <v xml:space="preserve">          </v>
      </c>
      <c r="Y1491" s="227" t="str">
        <f t="shared" si="164"/>
        <v/>
      </c>
      <c r="Z1491" t="str">
        <f t="shared" si="165"/>
        <v/>
      </c>
      <c r="AL1491" t="str">
        <f t="shared" si="166"/>
        <v/>
      </c>
      <c r="AM1491" t="str">
        <f t="shared" si="167"/>
        <v/>
      </c>
    </row>
    <row r="1492" spans="1:39">
      <c r="A1492" t="str">
        <f>IF(ISBLANK(Record!A1493),"",Record!A1493)</f>
        <v/>
      </c>
      <c r="B1492" t="str">
        <f>IF(ISBLANK(Record!B1493),"",Record!B1493)</f>
        <v/>
      </c>
      <c r="C1492" s="227" t="str">
        <f>IF(ISBLANK(Record!C1493),"",Record!C1493)</f>
        <v/>
      </c>
      <c r="D1492" t="str">
        <f>IF(ISBLANK(Record!D1493),"",Record!D1493)</f>
        <v/>
      </c>
      <c r="E1492" t="str">
        <f>IF(ISBLANK(Record!E1493),"",Record!E1493)</f>
        <v/>
      </c>
      <c r="M1492" t="str">
        <f t="shared" si="161"/>
        <v xml:space="preserve">          </v>
      </c>
      <c r="N1492" s="227" t="str">
        <f t="shared" si="162"/>
        <v/>
      </c>
      <c r="X1492" t="str">
        <f t="shared" si="163"/>
        <v xml:space="preserve">          </v>
      </c>
      <c r="Y1492" s="227" t="str">
        <f t="shared" si="164"/>
        <v/>
      </c>
      <c r="Z1492" t="str">
        <f t="shared" si="165"/>
        <v/>
      </c>
      <c r="AL1492" t="str">
        <f t="shared" si="166"/>
        <v/>
      </c>
      <c r="AM1492" t="str">
        <f t="shared" si="167"/>
        <v/>
      </c>
    </row>
    <row r="1493" spans="1:39">
      <c r="A1493" t="str">
        <f>IF(ISBLANK(Record!A1494),"",Record!A1494)</f>
        <v/>
      </c>
      <c r="B1493" t="str">
        <f>IF(ISBLANK(Record!B1494),"",Record!B1494)</f>
        <v/>
      </c>
      <c r="C1493" s="227" t="str">
        <f>IF(ISBLANK(Record!C1494),"",Record!C1494)</f>
        <v/>
      </c>
      <c r="D1493" t="str">
        <f>IF(ISBLANK(Record!D1494),"",Record!D1494)</f>
        <v/>
      </c>
      <c r="E1493" t="str">
        <f>IF(ISBLANK(Record!E1494),"",Record!E1494)</f>
        <v/>
      </c>
      <c r="M1493" t="str">
        <f t="shared" si="161"/>
        <v xml:space="preserve">          </v>
      </c>
      <c r="N1493" s="227" t="str">
        <f t="shared" si="162"/>
        <v/>
      </c>
      <c r="X1493" t="str">
        <f t="shared" si="163"/>
        <v xml:space="preserve">          </v>
      </c>
      <c r="Y1493" s="227" t="str">
        <f t="shared" si="164"/>
        <v/>
      </c>
      <c r="Z1493" t="str">
        <f t="shared" si="165"/>
        <v/>
      </c>
      <c r="AL1493" t="str">
        <f t="shared" si="166"/>
        <v/>
      </c>
      <c r="AM1493" t="str">
        <f t="shared" si="167"/>
        <v/>
      </c>
    </row>
    <row r="1494" spans="1:39">
      <c r="A1494" t="str">
        <f>IF(ISBLANK(Record!A1495),"",Record!A1495)</f>
        <v/>
      </c>
      <c r="B1494" t="str">
        <f>IF(ISBLANK(Record!B1495),"",Record!B1495)</f>
        <v/>
      </c>
      <c r="C1494" s="227" t="str">
        <f>IF(ISBLANK(Record!C1495),"",Record!C1495)</f>
        <v/>
      </c>
      <c r="D1494" t="str">
        <f>IF(ISBLANK(Record!D1495),"",Record!D1495)</f>
        <v/>
      </c>
      <c r="E1494" t="str">
        <f>IF(ISBLANK(Record!E1495),"",Record!E1495)</f>
        <v/>
      </c>
      <c r="M1494" t="str">
        <f t="shared" si="161"/>
        <v xml:space="preserve">          </v>
      </c>
      <c r="N1494" s="227" t="str">
        <f t="shared" si="162"/>
        <v/>
      </c>
      <c r="X1494" t="str">
        <f t="shared" si="163"/>
        <v xml:space="preserve">          </v>
      </c>
      <c r="Y1494" s="227" t="str">
        <f t="shared" si="164"/>
        <v/>
      </c>
      <c r="Z1494" t="str">
        <f t="shared" si="165"/>
        <v/>
      </c>
      <c r="AL1494" t="str">
        <f t="shared" si="166"/>
        <v/>
      </c>
      <c r="AM1494" t="str">
        <f t="shared" si="167"/>
        <v/>
      </c>
    </row>
    <row r="1495" spans="1:39">
      <c r="A1495" t="str">
        <f>IF(ISBLANK(Record!A1496),"",Record!A1496)</f>
        <v/>
      </c>
      <c r="B1495" t="str">
        <f>IF(ISBLANK(Record!B1496),"",Record!B1496)</f>
        <v/>
      </c>
      <c r="C1495" s="227" t="str">
        <f>IF(ISBLANK(Record!C1496),"",Record!C1496)</f>
        <v/>
      </c>
      <c r="D1495" t="str">
        <f>IF(ISBLANK(Record!D1496),"",Record!D1496)</f>
        <v/>
      </c>
      <c r="E1495" t="str">
        <f>IF(ISBLANK(Record!E1496),"",Record!E1496)</f>
        <v/>
      </c>
      <c r="M1495" t="str">
        <f t="shared" si="161"/>
        <v xml:space="preserve">          </v>
      </c>
      <c r="N1495" s="227" t="str">
        <f t="shared" si="162"/>
        <v/>
      </c>
      <c r="X1495" t="str">
        <f t="shared" si="163"/>
        <v xml:space="preserve">          </v>
      </c>
      <c r="Y1495" s="227" t="str">
        <f t="shared" si="164"/>
        <v/>
      </c>
      <c r="Z1495" t="str">
        <f t="shared" si="165"/>
        <v/>
      </c>
      <c r="AL1495" t="str">
        <f t="shared" si="166"/>
        <v/>
      </c>
      <c r="AM1495" t="str">
        <f t="shared" si="167"/>
        <v/>
      </c>
    </row>
    <row r="1496" spans="1:39">
      <c r="A1496" t="str">
        <f>IF(ISBLANK(Record!A1497),"",Record!A1497)</f>
        <v/>
      </c>
      <c r="B1496" t="str">
        <f>IF(ISBLANK(Record!B1497),"",Record!B1497)</f>
        <v/>
      </c>
      <c r="C1496" s="227" t="str">
        <f>IF(ISBLANK(Record!C1497),"",Record!C1497)</f>
        <v/>
      </c>
      <c r="D1496" t="str">
        <f>IF(ISBLANK(Record!D1497),"",Record!D1497)</f>
        <v/>
      </c>
      <c r="E1496" t="str">
        <f>IF(ISBLANK(Record!E1497),"",Record!E1497)</f>
        <v/>
      </c>
      <c r="M1496" t="str">
        <f t="shared" si="161"/>
        <v xml:space="preserve">          </v>
      </c>
      <c r="N1496" s="227" t="str">
        <f t="shared" si="162"/>
        <v/>
      </c>
      <c r="X1496" t="str">
        <f t="shared" si="163"/>
        <v xml:space="preserve">          </v>
      </c>
      <c r="Y1496" s="227" t="str">
        <f t="shared" si="164"/>
        <v/>
      </c>
      <c r="Z1496" t="str">
        <f t="shared" si="165"/>
        <v/>
      </c>
      <c r="AL1496" t="str">
        <f t="shared" si="166"/>
        <v/>
      </c>
      <c r="AM1496" t="str">
        <f t="shared" si="167"/>
        <v/>
      </c>
    </row>
    <row r="1497" spans="1:39">
      <c r="A1497" t="str">
        <f>IF(ISBLANK(Record!A1498),"",Record!A1498)</f>
        <v/>
      </c>
      <c r="B1497" t="str">
        <f>IF(ISBLANK(Record!B1498),"",Record!B1498)</f>
        <v/>
      </c>
      <c r="C1497" s="227" t="str">
        <f>IF(ISBLANK(Record!C1498),"",Record!C1498)</f>
        <v/>
      </c>
      <c r="D1497" t="str">
        <f>IF(ISBLANK(Record!D1498),"",Record!D1498)</f>
        <v/>
      </c>
      <c r="E1497" t="str">
        <f>IF(ISBLANK(Record!E1498),"",Record!E1498)</f>
        <v/>
      </c>
      <c r="M1497" t="str">
        <f t="shared" si="161"/>
        <v xml:space="preserve">          </v>
      </c>
      <c r="N1497" s="227" t="str">
        <f t="shared" si="162"/>
        <v/>
      </c>
      <c r="X1497" t="str">
        <f t="shared" si="163"/>
        <v xml:space="preserve">          </v>
      </c>
      <c r="Y1497" s="227" t="str">
        <f t="shared" si="164"/>
        <v/>
      </c>
      <c r="Z1497" t="str">
        <f t="shared" si="165"/>
        <v/>
      </c>
      <c r="AL1497" t="str">
        <f t="shared" si="166"/>
        <v/>
      </c>
      <c r="AM1497" t="str">
        <f t="shared" si="167"/>
        <v/>
      </c>
    </row>
    <row r="1498" spans="1:39">
      <c r="A1498" t="str">
        <f>IF(ISBLANK(Record!A1499),"",Record!A1499)</f>
        <v/>
      </c>
      <c r="B1498" t="str">
        <f>IF(ISBLANK(Record!B1499),"",Record!B1499)</f>
        <v/>
      </c>
      <c r="C1498" s="227" t="str">
        <f>IF(ISBLANK(Record!C1499),"",Record!C1499)</f>
        <v/>
      </c>
      <c r="D1498" t="str">
        <f>IF(ISBLANK(Record!D1499),"",Record!D1499)</f>
        <v/>
      </c>
      <c r="E1498" t="str">
        <f>IF(ISBLANK(Record!E1499),"",Record!E1499)</f>
        <v/>
      </c>
      <c r="M1498" t="str">
        <f t="shared" si="161"/>
        <v xml:space="preserve">          </v>
      </c>
      <c r="N1498" s="227" t="str">
        <f t="shared" si="162"/>
        <v/>
      </c>
      <c r="X1498" t="str">
        <f t="shared" si="163"/>
        <v xml:space="preserve">          </v>
      </c>
      <c r="Y1498" s="227" t="str">
        <f t="shared" si="164"/>
        <v/>
      </c>
      <c r="Z1498" t="str">
        <f t="shared" si="165"/>
        <v/>
      </c>
      <c r="AL1498" t="str">
        <f t="shared" si="166"/>
        <v/>
      </c>
      <c r="AM1498" t="str">
        <f t="shared" si="167"/>
        <v/>
      </c>
    </row>
    <row r="1499" spans="1:39">
      <c r="A1499" t="str">
        <f>IF(ISBLANK(Record!A1500),"",Record!A1500)</f>
        <v/>
      </c>
      <c r="B1499" t="str">
        <f>IF(ISBLANK(Record!B1500),"",Record!B1500)</f>
        <v/>
      </c>
      <c r="C1499" s="227" t="str">
        <f>IF(ISBLANK(Record!C1500),"",Record!C1500)</f>
        <v/>
      </c>
      <c r="D1499" t="str">
        <f>IF(ISBLANK(Record!D1500),"",Record!D1500)</f>
        <v/>
      </c>
      <c r="E1499" t="str">
        <f>IF(ISBLANK(Record!E1500),"",Record!E1500)</f>
        <v/>
      </c>
      <c r="M1499" t="str">
        <f t="shared" si="161"/>
        <v xml:space="preserve">          </v>
      </c>
      <c r="N1499" s="227" t="str">
        <f t="shared" si="162"/>
        <v/>
      </c>
      <c r="X1499" t="str">
        <f t="shared" si="163"/>
        <v xml:space="preserve">          </v>
      </c>
      <c r="Y1499" s="227" t="str">
        <f t="shared" si="164"/>
        <v/>
      </c>
      <c r="Z1499" t="str">
        <f t="shared" si="165"/>
        <v/>
      </c>
      <c r="AL1499" t="str">
        <f t="shared" si="166"/>
        <v/>
      </c>
      <c r="AM1499" t="str">
        <f t="shared" si="167"/>
        <v/>
      </c>
    </row>
    <row r="1500" spans="1:39">
      <c r="A1500" t="str">
        <f>IF(ISBLANK(Record!A1501),"",Record!A1501)</f>
        <v/>
      </c>
      <c r="B1500" t="str">
        <f>IF(ISBLANK(Record!B1501),"",Record!B1501)</f>
        <v/>
      </c>
      <c r="C1500" s="227" t="str">
        <f>IF(ISBLANK(Record!C1501),"",Record!C1501)</f>
        <v/>
      </c>
      <c r="D1500" t="str">
        <f>IF(ISBLANK(Record!D1501),"",Record!D1501)</f>
        <v/>
      </c>
      <c r="E1500" t="str">
        <f>IF(ISBLANK(Record!E1501),"",Record!E1501)</f>
        <v/>
      </c>
      <c r="M1500" t="str">
        <f t="shared" si="161"/>
        <v xml:space="preserve">          </v>
      </c>
      <c r="N1500" s="227" t="str">
        <f t="shared" si="162"/>
        <v/>
      </c>
      <c r="X1500" t="str">
        <f t="shared" si="163"/>
        <v xml:space="preserve">          </v>
      </c>
      <c r="Y1500" s="227" t="str">
        <f t="shared" si="164"/>
        <v/>
      </c>
      <c r="Z1500" t="str">
        <f t="shared" si="165"/>
        <v/>
      </c>
      <c r="AL1500" t="str">
        <f t="shared" si="166"/>
        <v/>
      </c>
      <c r="AM1500" t="str">
        <f t="shared" si="167"/>
        <v/>
      </c>
    </row>
    <row r="1501" spans="1:39">
      <c r="A1501" t="str">
        <f>IF(ISBLANK(Record!A1502),"",Record!A1502)</f>
        <v/>
      </c>
      <c r="B1501" t="str">
        <f>IF(ISBLANK(Record!B1502),"",Record!B1502)</f>
        <v/>
      </c>
      <c r="C1501" s="227" t="str">
        <f>IF(ISBLANK(Record!C1502),"",Record!C1502)</f>
        <v/>
      </c>
      <c r="D1501" t="str">
        <f>IF(ISBLANK(Record!D1502),"",Record!D1502)</f>
        <v/>
      </c>
      <c r="E1501" t="str">
        <f>IF(ISBLANK(Record!E1502),"",Record!E1502)</f>
        <v/>
      </c>
      <c r="M1501" t="str">
        <f t="shared" si="161"/>
        <v xml:space="preserve">          </v>
      </c>
      <c r="N1501" s="227" t="str">
        <f t="shared" si="162"/>
        <v/>
      </c>
      <c r="X1501" t="str">
        <f t="shared" si="163"/>
        <v xml:space="preserve">          </v>
      </c>
      <c r="Y1501" s="227" t="str">
        <f t="shared" si="164"/>
        <v/>
      </c>
      <c r="Z1501" t="str">
        <f t="shared" si="165"/>
        <v/>
      </c>
      <c r="AL1501" t="str">
        <f t="shared" si="166"/>
        <v/>
      </c>
      <c r="AM1501" t="str">
        <f t="shared" si="167"/>
        <v/>
      </c>
    </row>
    <row r="1502" spans="1:39">
      <c r="A1502" t="str">
        <f>IF(ISBLANK(Record!A1503),"",Record!A1503)</f>
        <v/>
      </c>
      <c r="B1502" t="str">
        <f>IF(ISBLANK(Record!B1503),"",Record!B1503)</f>
        <v/>
      </c>
      <c r="C1502" s="227" t="str">
        <f>IF(ISBLANK(Record!C1503),"",Record!C1503)</f>
        <v/>
      </c>
      <c r="D1502" t="str">
        <f>IF(ISBLANK(Record!D1503),"",Record!D1503)</f>
        <v/>
      </c>
      <c r="E1502" t="str">
        <f>IF(ISBLANK(Record!E1503),"",Record!E1503)</f>
        <v/>
      </c>
      <c r="M1502" t="str">
        <f t="shared" si="161"/>
        <v xml:space="preserve">          </v>
      </c>
      <c r="N1502" s="227" t="str">
        <f t="shared" si="162"/>
        <v/>
      </c>
      <c r="X1502" t="str">
        <f t="shared" si="163"/>
        <v xml:space="preserve">          </v>
      </c>
      <c r="Y1502" s="227" t="str">
        <f t="shared" si="164"/>
        <v/>
      </c>
      <c r="Z1502" t="str">
        <f t="shared" si="165"/>
        <v/>
      </c>
      <c r="AL1502" t="str">
        <f t="shared" si="166"/>
        <v/>
      </c>
      <c r="AM1502" t="str">
        <f t="shared" si="167"/>
        <v/>
      </c>
    </row>
    <row r="1503" spans="1:39">
      <c r="A1503" t="str">
        <f>IF(ISBLANK(Record!A1504),"",Record!A1504)</f>
        <v/>
      </c>
      <c r="B1503" t="str">
        <f>IF(ISBLANK(Record!B1504),"",Record!B1504)</f>
        <v/>
      </c>
      <c r="C1503" s="227" t="str">
        <f>IF(ISBLANK(Record!C1504),"",Record!C1504)</f>
        <v/>
      </c>
      <c r="D1503" t="str">
        <f>IF(ISBLANK(Record!D1504),"",Record!D1504)</f>
        <v/>
      </c>
      <c r="E1503" t="str">
        <f>IF(ISBLANK(Record!E1504),"",Record!E1504)</f>
        <v/>
      </c>
      <c r="M1503" t="str">
        <f t="shared" si="161"/>
        <v xml:space="preserve">          </v>
      </c>
      <c r="N1503" s="227" t="str">
        <f t="shared" si="162"/>
        <v/>
      </c>
      <c r="X1503" t="str">
        <f t="shared" si="163"/>
        <v xml:space="preserve">          </v>
      </c>
      <c r="Y1503" s="227" t="str">
        <f t="shared" si="164"/>
        <v/>
      </c>
      <c r="Z1503" t="str">
        <f t="shared" si="165"/>
        <v/>
      </c>
      <c r="AL1503" t="str">
        <f t="shared" si="166"/>
        <v/>
      </c>
      <c r="AM1503" t="str">
        <f t="shared" si="167"/>
        <v/>
      </c>
    </row>
    <row r="1504" spans="1:39">
      <c r="A1504" t="str">
        <f>IF(ISBLANK(Record!A1505),"",Record!A1505)</f>
        <v/>
      </c>
      <c r="B1504" t="str">
        <f>IF(ISBLANK(Record!B1505),"",Record!B1505)</f>
        <v/>
      </c>
      <c r="C1504" s="227" t="str">
        <f>IF(ISBLANK(Record!C1505),"",Record!C1505)</f>
        <v/>
      </c>
      <c r="D1504" t="str">
        <f>IF(ISBLANK(Record!D1505),"",Record!D1505)</f>
        <v/>
      </c>
      <c r="E1504" t="str">
        <f>IF(ISBLANK(Record!E1505),"",Record!E1505)</f>
        <v/>
      </c>
      <c r="M1504" t="str">
        <f t="shared" si="161"/>
        <v xml:space="preserve">          </v>
      </c>
      <c r="N1504" s="227" t="str">
        <f t="shared" si="162"/>
        <v/>
      </c>
      <c r="X1504" t="str">
        <f t="shared" si="163"/>
        <v xml:space="preserve">          </v>
      </c>
      <c r="Y1504" s="227" t="str">
        <f t="shared" si="164"/>
        <v/>
      </c>
      <c r="Z1504" t="str">
        <f t="shared" si="165"/>
        <v/>
      </c>
      <c r="AL1504" t="str">
        <f t="shared" si="166"/>
        <v/>
      </c>
      <c r="AM1504" t="str">
        <f t="shared" si="167"/>
        <v/>
      </c>
    </row>
    <row r="1505" spans="1:39">
      <c r="A1505" t="str">
        <f>IF(ISBLANK(Record!A1506),"",Record!A1506)</f>
        <v/>
      </c>
      <c r="B1505" t="str">
        <f>IF(ISBLANK(Record!B1506),"",Record!B1506)</f>
        <v/>
      </c>
      <c r="C1505" s="227" t="str">
        <f>IF(ISBLANK(Record!C1506),"",Record!C1506)</f>
        <v/>
      </c>
      <c r="D1505" t="str">
        <f>IF(ISBLANK(Record!D1506),"",Record!D1506)</f>
        <v/>
      </c>
      <c r="E1505" t="str">
        <f>IF(ISBLANK(Record!E1506),"",Record!E1506)</f>
        <v/>
      </c>
      <c r="M1505" t="str">
        <f t="shared" si="161"/>
        <v xml:space="preserve">          </v>
      </c>
      <c r="N1505" s="227" t="str">
        <f t="shared" si="162"/>
        <v/>
      </c>
      <c r="X1505" t="str">
        <f t="shared" si="163"/>
        <v xml:space="preserve">          </v>
      </c>
      <c r="Y1505" s="227" t="str">
        <f t="shared" si="164"/>
        <v/>
      </c>
      <c r="Z1505" t="str">
        <f t="shared" si="165"/>
        <v/>
      </c>
      <c r="AL1505" t="str">
        <f t="shared" si="166"/>
        <v/>
      </c>
      <c r="AM1505" t="str">
        <f t="shared" si="167"/>
        <v/>
      </c>
    </row>
    <row r="1506" spans="1:39">
      <c r="A1506" t="str">
        <f>IF(ISBLANK(Record!A1507),"",Record!A1507)</f>
        <v/>
      </c>
      <c r="B1506" t="str">
        <f>IF(ISBLANK(Record!B1507),"",Record!B1507)</f>
        <v/>
      </c>
      <c r="C1506" s="227" t="str">
        <f>IF(ISBLANK(Record!C1507),"",Record!C1507)</f>
        <v/>
      </c>
      <c r="D1506" t="str">
        <f>IF(ISBLANK(Record!D1507),"",Record!D1507)</f>
        <v/>
      </c>
      <c r="E1506" t="str">
        <f>IF(ISBLANK(Record!E1507),"",Record!E1507)</f>
        <v/>
      </c>
      <c r="M1506" t="str">
        <f t="shared" si="161"/>
        <v xml:space="preserve">          </v>
      </c>
      <c r="N1506" s="227" t="str">
        <f t="shared" si="162"/>
        <v/>
      </c>
      <c r="X1506" t="str">
        <f t="shared" si="163"/>
        <v xml:space="preserve">          </v>
      </c>
      <c r="Y1506" s="227" t="str">
        <f t="shared" si="164"/>
        <v/>
      </c>
      <c r="Z1506" t="str">
        <f t="shared" si="165"/>
        <v/>
      </c>
      <c r="AL1506" t="str">
        <f t="shared" si="166"/>
        <v/>
      </c>
      <c r="AM1506" t="str">
        <f t="shared" si="167"/>
        <v/>
      </c>
    </row>
    <row r="1507" spans="1:39">
      <c r="A1507" t="str">
        <f>IF(ISBLANK(Record!A1508),"",Record!A1508)</f>
        <v/>
      </c>
      <c r="B1507" t="str">
        <f>IF(ISBLANK(Record!B1508),"",Record!B1508)</f>
        <v/>
      </c>
      <c r="C1507" s="227" t="str">
        <f>IF(ISBLANK(Record!C1508),"",Record!C1508)</f>
        <v/>
      </c>
      <c r="D1507" t="str">
        <f>IF(ISBLANK(Record!D1508),"",Record!D1508)</f>
        <v/>
      </c>
      <c r="E1507" t="str">
        <f>IF(ISBLANK(Record!E1508),"",Record!E1508)</f>
        <v/>
      </c>
      <c r="M1507" t="str">
        <f t="shared" si="161"/>
        <v xml:space="preserve">          </v>
      </c>
      <c r="N1507" s="227" t="str">
        <f t="shared" si="162"/>
        <v/>
      </c>
      <c r="X1507" t="str">
        <f t="shared" si="163"/>
        <v xml:space="preserve">          </v>
      </c>
      <c r="Y1507" s="227" t="str">
        <f t="shared" si="164"/>
        <v/>
      </c>
      <c r="Z1507" t="str">
        <f t="shared" si="165"/>
        <v/>
      </c>
      <c r="AL1507" t="str">
        <f t="shared" si="166"/>
        <v/>
      </c>
      <c r="AM1507" t="str">
        <f t="shared" si="167"/>
        <v/>
      </c>
    </row>
    <row r="1508" spans="1:39">
      <c r="A1508" t="str">
        <f>IF(ISBLANK(Record!A1509),"",Record!A1509)</f>
        <v/>
      </c>
      <c r="B1508" t="str">
        <f>IF(ISBLANK(Record!B1509),"",Record!B1509)</f>
        <v/>
      </c>
      <c r="C1508" s="227" t="str">
        <f>IF(ISBLANK(Record!C1509),"",Record!C1509)</f>
        <v/>
      </c>
      <c r="D1508" t="str">
        <f>IF(ISBLANK(Record!D1509),"",Record!D1509)</f>
        <v/>
      </c>
      <c r="E1508" t="str">
        <f>IF(ISBLANK(Record!E1509),"",Record!E1509)</f>
        <v/>
      </c>
      <c r="M1508" t="str">
        <f t="shared" si="161"/>
        <v xml:space="preserve">          </v>
      </c>
      <c r="N1508" s="227" t="str">
        <f t="shared" si="162"/>
        <v/>
      </c>
      <c r="X1508" t="str">
        <f t="shared" si="163"/>
        <v xml:space="preserve">          </v>
      </c>
      <c r="Y1508" s="227" t="str">
        <f t="shared" si="164"/>
        <v/>
      </c>
      <c r="Z1508" t="str">
        <f t="shared" si="165"/>
        <v/>
      </c>
      <c r="AL1508" t="str">
        <f t="shared" si="166"/>
        <v/>
      </c>
      <c r="AM1508" t="str">
        <f t="shared" si="167"/>
        <v/>
      </c>
    </row>
    <row r="1509" spans="1:39">
      <c r="A1509" t="str">
        <f>IF(ISBLANK(Record!A1510),"",Record!A1510)</f>
        <v/>
      </c>
      <c r="B1509" t="str">
        <f>IF(ISBLANK(Record!B1510),"",Record!B1510)</f>
        <v/>
      </c>
      <c r="C1509" s="227" t="str">
        <f>IF(ISBLANK(Record!C1510),"",Record!C1510)</f>
        <v/>
      </c>
      <c r="D1509" t="str">
        <f>IF(ISBLANK(Record!D1510),"",Record!D1510)</f>
        <v/>
      </c>
      <c r="E1509" t="str">
        <f>IF(ISBLANK(Record!E1510),"",Record!E1510)</f>
        <v/>
      </c>
      <c r="M1509" t="str">
        <f t="shared" si="161"/>
        <v xml:space="preserve">          </v>
      </c>
      <c r="N1509" s="227" t="str">
        <f t="shared" si="162"/>
        <v/>
      </c>
      <c r="X1509" t="str">
        <f t="shared" si="163"/>
        <v xml:space="preserve">          </v>
      </c>
      <c r="Y1509" s="227" t="str">
        <f t="shared" si="164"/>
        <v/>
      </c>
      <c r="Z1509" t="str">
        <f t="shared" si="165"/>
        <v/>
      </c>
      <c r="AL1509" t="str">
        <f t="shared" si="166"/>
        <v/>
      </c>
      <c r="AM1509" t="str">
        <f t="shared" si="167"/>
        <v/>
      </c>
    </row>
    <row r="1510" spans="1:39">
      <c r="A1510" t="str">
        <f>IF(ISBLANK(Record!A1511),"",Record!A1511)</f>
        <v/>
      </c>
      <c r="B1510" t="str">
        <f>IF(ISBLANK(Record!B1511),"",Record!B1511)</f>
        <v/>
      </c>
      <c r="C1510" s="227" t="str">
        <f>IF(ISBLANK(Record!C1511),"",Record!C1511)</f>
        <v/>
      </c>
      <c r="D1510" t="str">
        <f>IF(ISBLANK(Record!D1511),"",Record!D1511)</f>
        <v/>
      </c>
      <c r="E1510" t="str">
        <f>IF(ISBLANK(Record!E1511),"",Record!E1511)</f>
        <v/>
      </c>
      <c r="M1510" t="str">
        <f t="shared" si="161"/>
        <v xml:space="preserve">          </v>
      </c>
      <c r="N1510" s="227" t="str">
        <f t="shared" si="162"/>
        <v/>
      </c>
      <c r="X1510" t="str">
        <f t="shared" si="163"/>
        <v xml:space="preserve">          </v>
      </c>
      <c r="Y1510" s="227" t="str">
        <f t="shared" si="164"/>
        <v/>
      </c>
      <c r="Z1510" t="str">
        <f t="shared" si="165"/>
        <v/>
      </c>
      <c r="AL1510" t="str">
        <f t="shared" si="166"/>
        <v/>
      </c>
      <c r="AM1510" t="str">
        <f t="shared" si="167"/>
        <v/>
      </c>
    </row>
    <row r="1511" spans="1:39">
      <c r="A1511" t="str">
        <f>IF(ISBLANK(Record!A1512),"",Record!A1512)</f>
        <v/>
      </c>
      <c r="B1511" t="str">
        <f>IF(ISBLANK(Record!B1512),"",Record!B1512)</f>
        <v/>
      </c>
      <c r="C1511" s="227" t="str">
        <f>IF(ISBLANK(Record!C1512),"",Record!C1512)</f>
        <v/>
      </c>
      <c r="D1511" t="str">
        <f>IF(ISBLANK(Record!D1512),"",Record!D1512)</f>
        <v/>
      </c>
      <c r="E1511" t="str">
        <f>IF(ISBLANK(Record!E1512),"",Record!E1512)</f>
        <v/>
      </c>
      <c r="M1511" t="str">
        <f t="shared" si="161"/>
        <v xml:space="preserve">          </v>
      </c>
      <c r="N1511" s="227" t="str">
        <f t="shared" si="162"/>
        <v/>
      </c>
      <c r="X1511" t="str">
        <f t="shared" si="163"/>
        <v xml:space="preserve">          </v>
      </c>
      <c r="Y1511" s="227" t="str">
        <f t="shared" si="164"/>
        <v/>
      </c>
      <c r="Z1511" t="str">
        <f t="shared" si="165"/>
        <v/>
      </c>
      <c r="AL1511" t="str">
        <f t="shared" si="166"/>
        <v/>
      </c>
      <c r="AM1511" t="str">
        <f t="shared" si="167"/>
        <v/>
      </c>
    </row>
    <row r="1512" spans="1:39">
      <c r="A1512" t="str">
        <f>IF(ISBLANK(Record!A1513),"",Record!A1513)</f>
        <v/>
      </c>
      <c r="B1512" t="str">
        <f>IF(ISBLANK(Record!B1513),"",Record!B1513)</f>
        <v/>
      </c>
      <c r="C1512" s="227" t="str">
        <f>IF(ISBLANK(Record!C1513),"",Record!C1513)</f>
        <v/>
      </c>
      <c r="D1512" t="str">
        <f>IF(ISBLANK(Record!D1513),"",Record!D1513)</f>
        <v/>
      </c>
      <c r="E1512" t="str">
        <f>IF(ISBLANK(Record!E1513),"",Record!E1513)</f>
        <v/>
      </c>
      <c r="M1512" t="str">
        <f t="shared" si="161"/>
        <v xml:space="preserve">          </v>
      </c>
      <c r="N1512" s="227" t="str">
        <f t="shared" si="162"/>
        <v/>
      </c>
      <c r="X1512" t="str">
        <f t="shared" si="163"/>
        <v xml:space="preserve">          </v>
      </c>
      <c r="Y1512" s="227" t="str">
        <f t="shared" si="164"/>
        <v/>
      </c>
      <c r="Z1512" t="str">
        <f t="shared" si="165"/>
        <v/>
      </c>
      <c r="AL1512" t="str">
        <f t="shared" si="166"/>
        <v/>
      </c>
      <c r="AM1512" t="str">
        <f t="shared" si="167"/>
        <v/>
      </c>
    </row>
    <row r="1513" spans="1:39">
      <c r="A1513" t="str">
        <f>IF(ISBLANK(Record!A1514),"",Record!A1514)</f>
        <v/>
      </c>
      <c r="B1513" t="str">
        <f>IF(ISBLANK(Record!B1514),"",Record!B1514)</f>
        <v/>
      </c>
      <c r="C1513" s="227" t="str">
        <f>IF(ISBLANK(Record!C1514),"",Record!C1514)</f>
        <v/>
      </c>
      <c r="D1513" t="str">
        <f>IF(ISBLANK(Record!D1514),"",Record!D1514)</f>
        <v/>
      </c>
      <c r="E1513" t="str">
        <f>IF(ISBLANK(Record!E1514),"",Record!E1514)</f>
        <v/>
      </c>
      <c r="M1513" t="str">
        <f t="shared" si="161"/>
        <v xml:space="preserve">          </v>
      </c>
      <c r="N1513" s="227" t="str">
        <f t="shared" si="162"/>
        <v/>
      </c>
      <c r="X1513" t="str">
        <f t="shared" si="163"/>
        <v xml:space="preserve">          </v>
      </c>
      <c r="Y1513" s="227" t="str">
        <f t="shared" si="164"/>
        <v/>
      </c>
      <c r="Z1513" t="str">
        <f t="shared" si="165"/>
        <v/>
      </c>
      <c r="AL1513" t="str">
        <f t="shared" si="166"/>
        <v/>
      </c>
      <c r="AM1513" t="str">
        <f t="shared" si="167"/>
        <v/>
      </c>
    </row>
    <row r="1514" spans="1:39">
      <c r="A1514" t="str">
        <f>IF(ISBLANK(Record!A1515),"",Record!A1515)</f>
        <v/>
      </c>
      <c r="B1514" t="str">
        <f>IF(ISBLANK(Record!B1515),"",Record!B1515)</f>
        <v/>
      </c>
      <c r="C1514" s="227" t="str">
        <f>IF(ISBLANK(Record!C1515),"",Record!C1515)</f>
        <v/>
      </c>
      <c r="D1514" t="str">
        <f>IF(ISBLANK(Record!D1515),"",Record!D1515)</f>
        <v/>
      </c>
      <c r="E1514" t="str">
        <f>IF(ISBLANK(Record!E1515),"",Record!E1515)</f>
        <v/>
      </c>
      <c r="M1514" t="str">
        <f t="shared" si="161"/>
        <v xml:space="preserve">          </v>
      </c>
      <c r="N1514" s="227" t="str">
        <f t="shared" si="162"/>
        <v/>
      </c>
      <c r="X1514" t="str">
        <f t="shared" si="163"/>
        <v xml:space="preserve">          </v>
      </c>
      <c r="Y1514" s="227" t="str">
        <f t="shared" si="164"/>
        <v/>
      </c>
      <c r="Z1514" t="str">
        <f t="shared" si="165"/>
        <v/>
      </c>
      <c r="AL1514" t="str">
        <f t="shared" si="166"/>
        <v/>
      </c>
      <c r="AM1514" t="str">
        <f t="shared" si="167"/>
        <v/>
      </c>
    </row>
    <row r="1515" spans="1:39">
      <c r="A1515" t="str">
        <f>IF(ISBLANK(Record!A1516),"",Record!A1516)</f>
        <v/>
      </c>
      <c r="B1515" t="str">
        <f>IF(ISBLANK(Record!B1516),"",Record!B1516)</f>
        <v/>
      </c>
      <c r="C1515" s="227" t="str">
        <f>IF(ISBLANK(Record!C1516),"",Record!C1516)</f>
        <v/>
      </c>
      <c r="D1515" t="str">
        <f>IF(ISBLANK(Record!D1516),"",Record!D1516)</f>
        <v/>
      </c>
      <c r="E1515" t="str">
        <f>IF(ISBLANK(Record!E1516),"",Record!E1516)</f>
        <v/>
      </c>
      <c r="M1515" t="str">
        <f t="shared" si="161"/>
        <v xml:space="preserve">          </v>
      </c>
      <c r="N1515" s="227" t="str">
        <f t="shared" si="162"/>
        <v/>
      </c>
      <c r="X1515" t="str">
        <f t="shared" si="163"/>
        <v xml:space="preserve">          </v>
      </c>
      <c r="Y1515" s="227" t="str">
        <f t="shared" si="164"/>
        <v/>
      </c>
      <c r="Z1515" t="str">
        <f t="shared" si="165"/>
        <v/>
      </c>
      <c r="AL1515" t="str">
        <f t="shared" si="166"/>
        <v/>
      </c>
      <c r="AM1515" t="str">
        <f t="shared" si="167"/>
        <v/>
      </c>
    </row>
    <row r="1516" spans="1:39">
      <c r="A1516" t="str">
        <f>IF(ISBLANK(Record!A1517),"",Record!A1517)</f>
        <v/>
      </c>
      <c r="B1516" t="str">
        <f>IF(ISBLANK(Record!B1517),"",Record!B1517)</f>
        <v/>
      </c>
      <c r="C1516" s="227" t="str">
        <f>IF(ISBLANK(Record!C1517),"",Record!C1517)</f>
        <v/>
      </c>
      <c r="D1516" t="str">
        <f>IF(ISBLANK(Record!D1517),"",Record!D1517)</f>
        <v/>
      </c>
      <c r="E1516" t="str">
        <f>IF(ISBLANK(Record!E1517),"",Record!E1517)</f>
        <v/>
      </c>
      <c r="M1516" t="str">
        <f t="shared" si="161"/>
        <v xml:space="preserve">          </v>
      </c>
      <c r="N1516" s="227" t="str">
        <f t="shared" si="162"/>
        <v/>
      </c>
      <c r="X1516" t="str">
        <f t="shared" si="163"/>
        <v xml:space="preserve">          </v>
      </c>
      <c r="Y1516" s="227" t="str">
        <f t="shared" si="164"/>
        <v/>
      </c>
      <c r="Z1516" t="str">
        <f t="shared" si="165"/>
        <v/>
      </c>
      <c r="AL1516" t="str">
        <f t="shared" si="166"/>
        <v/>
      </c>
      <c r="AM1516" t="str">
        <f t="shared" si="167"/>
        <v/>
      </c>
    </row>
    <row r="1517" spans="1:39">
      <c r="A1517" t="str">
        <f>IF(ISBLANK(Record!A1518),"",Record!A1518)</f>
        <v/>
      </c>
      <c r="B1517" t="str">
        <f>IF(ISBLANK(Record!B1518),"",Record!B1518)</f>
        <v/>
      </c>
      <c r="C1517" s="227" t="str">
        <f>IF(ISBLANK(Record!C1518),"",Record!C1518)</f>
        <v/>
      </c>
      <c r="D1517" t="str">
        <f>IF(ISBLANK(Record!D1518),"",Record!D1518)</f>
        <v/>
      </c>
      <c r="E1517" t="str">
        <f>IF(ISBLANK(Record!E1518),"",Record!E1518)</f>
        <v/>
      </c>
      <c r="M1517" t="str">
        <f t="shared" si="161"/>
        <v xml:space="preserve">          </v>
      </c>
      <c r="N1517" s="227" t="str">
        <f t="shared" si="162"/>
        <v/>
      </c>
      <c r="X1517" t="str">
        <f t="shared" si="163"/>
        <v xml:space="preserve">          </v>
      </c>
      <c r="Y1517" s="227" t="str">
        <f t="shared" si="164"/>
        <v/>
      </c>
      <c r="Z1517" t="str">
        <f t="shared" si="165"/>
        <v/>
      </c>
      <c r="AL1517" t="str">
        <f t="shared" si="166"/>
        <v/>
      </c>
      <c r="AM1517" t="str">
        <f t="shared" si="167"/>
        <v/>
      </c>
    </row>
    <row r="1518" spans="1:39">
      <c r="A1518" t="str">
        <f>IF(ISBLANK(Record!A1519),"",Record!A1519)</f>
        <v/>
      </c>
      <c r="B1518" t="str">
        <f>IF(ISBLANK(Record!B1519),"",Record!B1519)</f>
        <v/>
      </c>
      <c r="C1518" s="227" t="str">
        <f>IF(ISBLANK(Record!C1519),"",Record!C1519)</f>
        <v/>
      </c>
      <c r="D1518" t="str">
        <f>IF(ISBLANK(Record!D1519),"",Record!D1519)</f>
        <v/>
      </c>
      <c r="E1518" t="str">
        <f>IF(ISBLANK(Record!E1519),"",Record!E1519)</f>
        <v/>
      </c>
      <c r="M1518" t="str">
        <f t="shared" si="161"/>
        <v xml:space="preserve">          </v>
      </c>
      <c r="N1518" s="227" t="str">
        <f t="shared" si="162"/>
        <v/>
      </c>
      <c r="X1518" t="str">
        <f t="shared" si="163"/>
        <v xml:space="preserve">          </v>
      </c>
      <c r="Y1518" s="227" t="str">
        <f t="shared" si="164"/>
        <v/>
      </c>
      <c r="Z1518" t="str">
        <f t="shared" si="165"/>
        <v/>
      </c>
      <c r="AL1518" t="str">
        <f t="shared" si="166"/>
        <v/>
      </c>
      <c r="AM1518" t="str">
        <f t="shared" si="167"/>
        <v/>
      </c>
    </row>
    <row r="1519" spans="1:39">
      <c r="A1519" t="str">
        <f>IF(ISBLANK(Record!A1520),"",Record!A1520)</f>
        <v/>
      </c>
      <c r="B1519" t="str">
        <f>IF(ISBLANK(Record!B1520),"",Record!B1520)</f>
        <v/>
      </c>
      <c r="C1519" s="227" t="str">
        <f>IF(ISBLANK(Record!C1520),"",Record!C1520)</f>
        <v/>
      </c>
      <c r="D1519" t="str">
        <f>IF(ISBLANK(Record!D1520),"",Record!D1520)</f>
        <v/>
      </c>
      <c r="E1519" t="str">
        <f>IF(ISBLANK(Record!E1520),"",Record!E1520)</f>
        <v/>
      </c>
      <c r="M1519" t="str">
        <f t="shared" si="161"/>
        <v xml:space="preserve">          </v>
      </c>
      <c r="N1519" s="227" t="str">
        <f t="shared" si="162"/>
        <v/>
      </c>
      <c r="X1519" t="str">
        <f t="shared" si="163"/>
        <v xml:space="preserve">          </v>
      </c>
      <c r="Y1519" s="227" t="str">
        <f t="shared" si="164"/>
        <v/>
      </c>
      <c r="Z1519" t="str">
        <f t="shared" si="165"/>
        <v/>
      </c>
      <c r="AL1519" t="str">
        <f t="shared" si="166"/>
        <v/>
      </c>
      <c r="AM1519" t="str">
        <f t="shared" si="167"/>
        <v/>
      </c>
    </row>
    <row r="1520" spans="1:39">
      <c r="A1520" t="str">
        <f>IF(ISBLANK(Record!A1521),"",Record!A1521)</f>
        <v/>
      </c>
      <c r="B1520" t="str">
        <f>IF(ISBLANK(Record!B1521),"",Record!B1521)</f>
        <v/>
      </c>
      <c r="C1520" s="227" t="str">
        <f>IF(ISBLANK(Record!C1521),"",Record!C1521)</f>
        <v/>
      </c>
      <c r="D1520" t="str">
        <f>IF(ISBLANK(Record!D1521),"",Record!D1521)</f>
        <v/>
      </c>
      <c r="E1520" t="str">
        <f>IF(ISBLANK(Record!E1521),"",Record!E1521)</f>
        <v/>
      </c>
      <c r="M1520" t="str">
        <f t="shared" si="161"/>
        <v xml:space="preserve">          </v>
      </c>
      <c r="N1520" s="227" t="str">
        <f t="shared" si="162"/>
        <v/>
      </c>
      <c r="X1520" t="str">
        <f t="shared" si="163"/>
        <v xml:space="preserve">          </v>
      </c>
      <c r="Y1520" s="227" t="str">
        <f t="shared" si="164"/>
        <v/>
      </c>
      <c r="Z1520" t="str">
        <f t="shared" si="165"/>
        <v/>
      </c>
      <c r="AL1520" t="str">
        <f t="shared" si="166"/>
        <v/>
      </c>
      <c r="AM1520" t="str">
        <f t="shared" si="167"/>
        <v/>
      </c>
    </row>
    <row r="1521" spans="1:39">
      <c r="A1521" t="str">
        <f>IF(ISBLANK(Record!A1522),"",Record!A1522)</f>
        <v/>
      </c>
      <c r="B1521" t="str">
        <f>IF(ISBLANK(Record!B1522),"",Record!B1522)</f>
        <v/>
      </c>
      <c r="C1521" s="227" t="str">
        <f>IF(ISBLANK(Record!C1522),"",Record!C1522)</f>
        <v/>
      </c>
      <c r="D1521" t="str">
        <f>IF(ISBLANK(Record!D1522),"",Record!D1522)</f>
        <v/>
      </c>
      <c r="E1521" t="str">
        <f>IF(ISBLANK(Record!E1522),"",Record!E1522)</f>
        <v/>
      </c>
      <c r="M1521" t="str">
        <f t="shared" si="161"/>
        <v xml:space="preserve">          </v>
      </c>
      <c r="N1521" s="227" t="str">
        <f t="shared" si="162"/>
        <v/>
      </c>
      <c r="X1521" t="str">
        <f t="shared" si="163"/>
        <v xml:space="preserve">          </v>
      </c>
      <c r="Y1521" s="227" t="str">
        <f t="shared" si="164"/>
        <v/>
      </c>
      <c r="Z1521" t="str">
        <f t="shared" si="165"/>
        <v/>
      </c>
      <c r="AL1521" t="str">
        <f t="shared" si="166"/>
        <v/>
      </c>
      <c r="AM1521" t="str">
        <f t="shared" si="167"/>
        <v/>
      </c>
    </row>
    <row r="1522" spans="1:39">
      <c r="A1522" t="str">
        <f>IF(ISBLANK(Record!A1523),"",Record!A1523)</f>
        <v/>
      </c>
      <c r="B1522" t="str">
        <f>IF(ISBLANK(Record!B1523),"",Record!B1523)</f>
        <v/>
      </c>
      <c r="C1522" s="227" t="str">
        <f>IF(ISBLANK(Record!C1523),"",Record!C1523)</f>
        <v/>
      </c>
      <c r="D1522" t="str">
        <f>IF(ISBLANK(Record!D1523),"",Record!D1523)</f>
        <v/>
      </c>
      <c r="E1522" t="str">
        <f>IF(ISBLANK(Record!E1523),"",Record!E1523)</f>
        <v/>
      </c>
      <c r="M1522" t="str">
        <f t="shared" si="161"/>
        <v xml:space="preserve">          </v>
      </c>
      <c r="N1522" s="227" t="str">
        <f t="shared" si="162"/>
        <v/>
      </c>
      <c r="X1522" t="str">
        <f t="shared" si="163"/>
        <v xml:space="preserve">          </v>
      </c>
      <c r="Y1522" s="227" t="str">
        <f t="shared" si="164"/>
        <v/>
      </c>
      <c r="Z1522" t="str">
        <f t="shared" si="165"/>
        <v/>
      </c>
      <c r="AL1522" t="str">
        <f t="shared" si="166"/>
        <v/>
      </c>
      <c r="AM1522" t="str">
        <f t="shared" si="167"/>
        <v/>
      </c>
    </row>
    <row r="1523" spans="1:39">
      <c r="A1523" t="str">
        <f>IF(ISBLANK(Record!A1524),"",Record!A1524)</f>
        <v/>
      </c>
      <c r="B1523" t="str">
        <f>IF(ISBLANK(Record!B1524),"",Record!B1524)</f>
        <v/>
      </c>
      <c r="C1523" s="227" t="str">
        <f>IF(ISBLANK(Record!C1524),"",Record!C1524)</f>
        <v/>
      </c>
      <c r="D1523" t="str">
        <f>IF(ISBLANK(Record!D1524),"",Record!D1524)</f>
        <v/>
      </c>
      <c r="E1523" t="str">
        <f>IF(ISBLANK(Record!E1524),"",Record!E1524)</f>
        <v/>
      </c>
      <c r="M1523" t="str">
        <f t="shared" si="161"/>
        <v xml:space="preserve">          </v>
      </c>
      <c r="N1523" s="227" t="str">
        <f t="shared" si="162"/>
        <v/>
      </c>
      <c r="X1523" t="str">
        <f t="shared" si="163"/>
        <v xml:space="preserve">          </v>
      </c>
      <c r="Y1523" s="227" t="str">
        <f t="shared" si="164"/>
        <v/>
      </c>
      <c r="Z1523" t="str">
        <f t="shared" si="165"/>
        <v/>
      </c>
      <c r="AL1523" t="str">
        <f t="shared" si="166"/>
        <v/>
      </c>
      <c r="AM1523" t="str">
        <f t="shared" si="167"/>
        <v/>
      </c>
    </row>
    <row r="1524" spans="1:39">
      <c r="A1524" t="str">
        <f>IF(ISBLANK(Record!A1525),"",Record!A1525)</f>
        <v/>
      </c>
      <c r="B1524" t="str">
        <f>IF(ISBLANK(Record!B1525),"",Record!B1525)</f>
        <v/>
      </c>
      <c r="C1524" s="227" t="str">
        <f>IF(ISBLANK(Record!C1525),"",Record!C1525)</f>
        <v/>
      </c>
      <c r="D1524" t="str">
        <f>IF(ISBLANK(Record!D1525),"",Record!D1525)</f>
        <v/>
      </c>
      <c r="E1524" t="str">
        <f>IF(ISBLANK(Record!E1525),"",Record!E1525)</f>
        <v/>
      </c>
      <c r="M1524" t="str">
        <f t="shared" si="161"/>
        <v xml:space="preserve">          </v>
      </c>
      <c r="N1524" s="227" t="str">
        <f t="shared" si="162"/>
        <v/>
      </c>
      <c r="X1524" t="str">
        <f t="shared" si="163"/>
        <v xml:space="preserve">          </v>
      </c>
      <c r="Y1524" s="227" t="str">
        <f t="shared" si="164"/>
        <v/>
      </c>
      <c r="Z1524" t="str">
        <f t="shared" si="165"/>
        <v/>
      </c>
      <c r="AL1524" t="str">
        <f t="shared" si="166"/>
        <v/>
      </c>
      <c r="AM1524" t="str">
        <f t="shared" si="167"/>
        <v/>
      </c>
    </row>
    <row r="1525" spans="1:39">
      <c r="A1525" t="str">
        <f>IF(ISBLANK(Record!A1526),"",Record!A1526)</f>
        <v/>
      </c>
      <c r="B1525" t="str">
        <f>IF(ISBLANK(Record!B1526),"",Record!B1526)</f>
        <v/>
      </c>
      <c r="C1525" s="227" t="str">
        <f>IF(ISBLANK(Record!C1526),"",Record!C1526)</f>
        <v/>
      </c>
      <c r="D1525" t="str">
        <f>IF(ISBLANK(Record!D1526),"",Record!D1526)</f>
        <v/>
      </c>
      <c r="E1525" t="str">
        <f>IF(ISBLANK(Record!E1526),"",Record!E1526)</f>
        <v/>
      </c>
      <c r="M1525" t="str">
        <f t="shared" si="161"/>
        <v xml:space="preserve">          </v>
      </c>
      <c r="N1525" s="227" t="str">
        <f t="shared" si="162"/>
        <v/>
      </c>
      <c r="X1525" t="str">
        <f t="shared" si="163"/>
        <v xml:space="preserve">          </v>
      </c>
      <c r="Y1525" s="227" t="str">
        <f t="shared" si="164"/>
        <v/>
      </c>
      <c r="Z1525" t="str">
        <f t="shared" si="165"/>
        <v/>
      </c>
      <c r="AL1525" t="str">
        <f t="shared" si="166"/>
        <v/>
      </c>
      <c r="AM1525" t="str">
        <f t="shared" si="167"/>
        <v/>
      </c>
    </row>
    <row r="1526" spans="1:39">
      <c r="A1526" t="str">
        <f>IF(ISBLANK(Record!A1527),"",Record!A1527)</f>
        <v/>
      </c>
      <c r="B1526" t="str">
        <f>IF(ISBLANK(Record!B1527),"",Record!B1527)</f>
        <v/>
      </c>
      <c r="C1526" s="227" t="str">
        <f>IF(ISBLANK(Record!C1527),"",Record!C1527)</f>
        <v/>
      </c>
      <c r="D1526" t="str">
        <f>IF(ISBLANK(Record!D1527),"",Record!D1527)</f>
        <v/>
      </c>
      <c r="E1526" t="str">
        <f>IF(ISBLANK(Record!E1527),"",Record!E1527)</f>
        <v/>
      </c>
      <c r="M1526" t="str">
        <f t="shared" si="161"/>
        <v xml:space="preserve">          </v>
      </c>
      <c r="N1526" s="227" t="str">
        <f t="shared" si="162"/>
        <v/>
      </c>
      <c r="X1526" t="str">
        <f t="shared" si="163"/>
        <v xml:space="preserve">          </v>
      </c>
      <c r="Y1526" s="227" t="str">
        <f t="shared" si="164"/>
        <v/>
      </c>
      <c r="Z1526" t="str">
        <f t="shared" si="165"/>
        <v/>
      </c>
      <c r="AL1526" t="str">
        <f t="shared" si="166"/>
        <v/>
      </c>
      <c r="AM1526" t="str">
        <f t="shared" si="167"/>
        <v/>
      </c>
    </row>
    <row r="1527" spans="1:39">
      <c r="A1527" t="str">
        <f>IF(ISBLANK(Record!A1528),"",Record!A1528)</f>
        <v/>
      </c>
      <c r="B1527" t="str">
        <f>IF(ISBLANK(Record!B1528),"",Record!B1528)</f>
        <v/>
      </c>
      <c r="C1527" s="227" t="str">
        <f>IF(ISBLANK(Record!C1528),"",Record!C1528)</f>
        <v/>
      </c>
      <c r="D1527" t="str">
        <f>IF(ISBLANK(Record!D1528),"",Record!D1528)</f>
        <v/>
      </c>
      <c r="E1527" t="str">
        <f>IF(ISBLANK(Record!E1528),"",Record!E1528)</f>
        <v/>
      </c>
      <c r="M1527" t="str">
        <f t="shared" si="161"/>
        <v xml:space="preserve">          </v>
      </c>
      <c r="N1527" s="227" t="str">
        <f t="shared" si="162"/>
        <v/>
      </c>
      <c r="X1527" t="str">
        <f t="shared" si="163"/>
        <v xml:space="preserve">          </v>
      </c>
      <c r="Y1527" s="227" t="str">
        <f t="shared" si="164"/>
        <v/>
      </c>
      <c r="Z1527" t="str">
        <f t="shared" si="165"/>
        <v/>
      </c>
      <c r="AL1527" t="str">
        <f t="shared" si="166"/>
        <v/>
      </c>
      <c r="AM1527" t="str">
        <f t="shared" si="167"/>
        <v/>
      </c>
    </row>
    <row r="1528" spans="1:39">
      <c r="A1528" t="str">
        <f>IF(ISBLANK(Record!A1529),"",Record!A1529)</f>
        <v/>
      </c>
      <c r="B1528" t="str">
        <f>IF(ISBLANK(Record!B1529),"",Record!B1529)</f>
        <v/>
      </c>
      <c r="C1528" s="227" t="str">
        <f>IF(ISBLANK(Record!C1529),"",Record!C1529)</f>
        <v/>
      </c>
      <c r="D1528" t="str">
        <f>IF(ISBLANK(Record!D1529),"",Record!D1529)</f>
        <v/>
      </c>
      <c r="E1528" t="str">
        <f>IF(ISBLANK(Record!E1529),"",Record!E1529)</f>
        <v/>
      </c>
      <c r="M1528" t="str">
        <f t="shared" si="161"/>
        <v xml:space="preserve">          </v>
      </c>
      <c r="N1528" s="227" t="str">
        <f t="shared" si="162"/>
        <v/>
      </c>
      <c r="X1528" t="str">
        <f t="shared" si="163"/>
        <v xml:space="preserve">          </v>
      </c>
      <c r="Y1528" s="227" t="str">
        <f t="shared" si="164"/>
        <v/>
      </c>
      <c r="Z1528" t="str">
        <f t="shared" si="165"/>
        <v/>
      </c>
      <c r="AL1528" t="str">
        <f t="shared" si="166"/>
        <v/>
      </c>
      <c r="AM1528" t="str">
        <f t="shared" si="167"/>
        <v/>
      </c>
    </row>
    <row r="1529" spans="1:39">
      <c r="A1529" t="str">
        <f>IF(ISBLANK(Record!A1530),"",Record!A1530)</f>
        <v/>
      </c>
      <c r="B1529" t="str">
        <f>IF(ISBLANK(Record!B1530),"",Record!B1530)</f>
        <v/>
      </c>
      <c r="C1529" s="227" t="str">
        <f>IF(ISBLANK(Record!C1530),"",Record!C1530)</f>
        <v/>
      </c>
      <c r="D1529" t="str">
        <f>IF(ISBLANK(Record!D1530),"",Record!D1530)</f>
        <v/>
      </c>
      <c r="E1529" t="str">
        <f>IF(ISBLANK(Record!E1530),"",Record!E1530)</f>
        <v/>
      </c>
      <c r="M1529" t="str">
        <f t="shared" si="161"/>
        <v xml:space="preserve">          </v>
      </c>
      <c r="N1529" s="227" t="str">
        <f t="shared" si="162"/>
        <v/>
      </c>
      <c r="X1529" t="str">
        <f t="shared" si="163"/>
        <v xml:space="preserve">          </v>
      </c>
      <c r="Y1529" s="227" t="str">
        <f t="shared" si="164"/>
        <v/>
      </c>
      <c r="Z1529" t="str">
        <f t="shared" si="165"/>
        <v/>
      </c>
      <c r="AL1529" t="str">
        <f t="shared" si="166"/>
        <v/>
      </c>
      <c r="AM1529" t="str">
        <f t="shared" si="167"/>
        <v/>
      </c>
    </row>
    <row r="1530" spans="1:39">
      <c r="A1530" t="str">
        <f>IF(ISBLANK(Record!A1531),"",Record!A1531)</f>
        <v/>
      </c>
      <c r="B1530" t="str">
        <f>IF(ISBLANK(Record!B1531),"",Record!B1531)</f>
        <v/>
      </c>
      <c r="C1530" s="227" t="str">
        <f>IF(ISBLANK(Record!C1531),"",Record!C1531)</f>
        <v/>
      </c>
      <c r="D1530" t="str">
        <f>IF(ISBLANK(Record!D1531),"",Record!D1531)</f>
        <v/>
      </c>
      <c r="E1530" t="str">
        <f>IF(ISBLANK(Record!E1531),"",Record!E1531)</f>
        <v/>
      </c>
      <c r="M1530" t="str">
        <f t="shared" si="161"/>
        <v xml:space="preserve">          </v>
      </c>
      <c r="N1530" s="227" t="str">
        <f t="shared" si="162"/>
        <v/>
      </c>
      <c r="X1530" t="str">
        <f t="shared" si="163"/>
        <v xml:space="preserve">          </v>
      </c>
      <c r="Y1530" s="227" t="str">
        <f t="shared" si="164"/>
        <v/>
      </c>
      <c r="Z1530" t="str">
        <f t="shared" si="165"/>
        <v/>
      </c>
      <c r="AL1530" t="str">
        <f t="shared" si="166"/>
        <v/>
      </c>
      <c r="AM1530" t="str">
        <f t="shared" si="167"/>
        <v/>
      </c>
    </row>
    <row r="1531" spans="1:39">
      <c r="A1531" t="str">
        <f>IF(ISBLANK(Record!A1532),"",Record!A1532)</f>
        <v/>
      </c>
      <c r="B1531" t="str">
        <f>IF(ISBLANK(Record!B1532),"",Record!B1532)</f>
        <v/>
      </c>
      <c r="C1531" s="227" t="str">
        <f>IF(ISBLANK(Record!C1532),"",Record!C1532)</f>
        <v/>
      </c>
      <c r="D1531" t="str">
        <f>IF(ISBLANK(Record!D1532),"",Record!D1532)</f>
        <v/>
      </c>
      <c r="E1531" t="str">
        <f>IF(ISBLANK(Record!E1532),"",Record!E1532)</f>
        <v/>
      </c>
      <c r="M1531" t="str">
        <f t="shared" si="161"/>
        <v xml:space="preserve">          </v>
      </c>
      <c r="N1531" s="227" t="str">
        <f t="shared" si="162"/>
        <v/>
      </c>
      <c r="X1531" t="str">
        <f t="shared" si="163"/>
        <v xml:space="preserve">          </v>
      </c>
      <c r="Y1531" s="227" t="str">
        <f t="shared" si="164"/>
        <v/>
      </c>
      <c r="Z1531" t="str">
        <f t="shared" si="165"/>
        <v/>
      </c>
      <c r="AL1531" t="str">
        <f t="shared" si="166"/>
        <v/>
      </c>
      <c r="AM1531" t="str">
        <f t="shared" si="167"/>
        <v/>
      </c>
    </row>
    <row r="1532" spans="1:39">
      <c r="A1532" t="str">
        <f>IF(ISBLANK(Record!A1533),"",Record!A1533)</f>
        <v/>
      </c>
      <c r="B1532" t="str">
        <f>IF(ISBLANK(Record!B1533),"",Record!B1533)</f>
        <v/>
      </c>
      <c r="C1532" s="227" t="str">
        <f>IF(ISBLANK(Record!C1533),"",Record!C1533)</f>
        <v/>
      </c>
      <c r="D1532" t="str">
        <f>IF(ISBLANK(Record!D1533),"",Record!D1533)</f>
        <v/>
      </c>
      <c r="E1532" t="str">
        <f>IF(ISBLANK(Record!E1533),"",Record!E1533)</f>
        <v/>
      </c>
      <c r="M1532" t="str">
        <f t="shared" si="161"/>
        <v xml:space="preserve">          </v>
      </c>
      <c r="N1532" s="227" t="str">
        <f t="shared" si="162"/>
        <v/>
      </c>
      <c r="X1532" t="str">
        <f t="shared" si="163"/>
        <v xml:space="preserve">          </v>
      </c>
      <c r="Y1532" s="227" t="str">
        <f t="shared" si="164"/>
        <v/>
      </c>
      <c r="Z1532" t="str">
        <f t="shared" si="165"/>
        <v/>
      </c>
      <c r="AL1532" t="str">
        <f t="shared" si="166"/>
        <v/>
      </c>
      <c r="AM1532" t="str">
        <f t="shared" si="167"/>
        <v/>
      </c>
    </row>
    <row r="1533" spans="1:39">
      <c r="A1533" t="str">
        <f>IF(ISBLANK(Record!A1534),"",Record!A1534)</f>
        <v/>
      </c>
      <c r="B1533" t="str">
        <f>IF(ISBLANK(Record!B1534),"",Record!B1534)</f>
        <v/>
      </c>
      <c r="C1533" s="227" t="str">
        <f>IF(ISBLANK(Record!C1534),"",Record!C1534)</f>
        <v/>
      </c>
      <c r="D1533" t="str">
        <f>IF(ISBLANK(Record!D1534),"",Record!D1534)</f>
        <v/>
      </c>
      <c r="E1533" t="str">
        <f>IF(ISBLANK(Record!E1534),"",Record!E1534)</f>
        <v/>
      </c>
      <c r="M1533" t="str">
        <f t="shared" si="161"/>
        <v xml:space="preserve">          </v>
      </c>
      <c r="N1533" s="227" t="str">
        <f t="shared" si="162"/>
        <v/>
      </c>
      <c r="X1533" t="str">
        <f t="shared" si="163"/>
        <v xml:space="preserve">          </v>
      </c>
      <c r="Y1533" s="227" t="str">
        <f t="shared" si="164"/>
        <v/>
      </c>
      <c r="Z1533" t="str">
        <f t="shared" si="165"/>
        <v/>
      </c>
      <c r="AL1533" t="str">
        <f t="shared" si="166"/>
        <v/>
      </c>
      <c r="AM1533" t="str">
        <f t="shared" si="167"/>
        <v/>
      </c>
    </row>
    <row r="1534" spans="1:39">
      <c r="A1534" t="str">
        <f>IF(ISBLANK(Record!A1535),"",Record!A1535)</f>
        <v/>
      </c>
      <c r="B1534" t="str">
        <f>IF(ISBLANK(Record!B1535),"",Record!B1535)</f>
        <v/>
      </c>
      <c r="C1534" s="227" t="str">
        <f>IF(ISBLANK(Record!C1535),"",Record!C1535)</f>
        <v/>
      </c>
      <c r="D1534" t="str">
        <f>IF(ISBLANK(Record!D1535),"",Record!D1535)</f>
        <v/>
      </c>
      <c r="E1534" t="str">
        <f>IF(ISBLANK(Record!E1535),"",Record!E1535)</f>
        <v/>
      </c>
      <c r="M1534" t="str">
        <f t="shared" si="161"/>
        <v xml:space="preserve">          </v>
      </c>
      <c r="N1534" s="227" t="str">
        <f t="shared" si="162"/>
        <v/>
      </c>
      <c r="X1534" t="str">
        <f t="shared" si="163"/>
        <v xml:space="preserve">          </v>
      </c>
      <c r="Y1534" s="227" t="str">
        <f t="shared" si="164"/>
        <v/>
      </c>
      <c r="Z1534" t="str">
        <f t="shared" si="165"/>
        <v/>
      </c>
      <c r="AL1534" t="str">
        <f t="shared" si="166"/>
        <v/>
      </c>
      <c r="AM1534" t="str">
        <f t="shared" si="167"/>
        <v/>
      </c>
    </row>
    <row r="1535" spans="1:39">
      <c r="A1535" t="str">
        <f>IF(ISBLANK(Record!A1536),"",Record!A1536)</f>
        <v/>
      </c>
      <c r="B1535" t="str">
        <f>IF(ISBLANK(Record!B1536),"",Record!B1536)</f>
        <v/>
      </c>
      <c r="C1535" s="227" t="str">
        <f>IF(ISBLANK(Record!C1536),"",Record!C1536)</f>
        <v/>
      </c>
      <c r="D1535" t="str">
        <f>IF(ISBLANK(Record!D1536),"",Record!D1536)</f>
        <v/>
      </c>
      <c r="E1535" t="str">
        <f>IF(ISBLANK(Record!E1536),"",Record!E1536)</f>
        <v/>
      </c>
      <c r="M1535" t="str">
        <f t="shared" si="161"/>
        <v xml:space="preserve">          </v>
      </c>
      <c r="N1535" s="227" t="str">
        <f t="shared" si="162"/>
        <v/>
      </c>
      <c r="X1535" t="str">
        <f t="shared" si="163"/>
        <v xml:space="preserve">          </v>
      </c>
      <c r="Y1535" s="227" t="str">
        <f t="shared" si="164"/>
        <v/>
      </c>
      <c r="Z1535" t="str">
        <f t="shared" si="165"/>
        <v/>
      </c>
      <c r="AL1535" t="str">
        <f t="shared" si="166"/>
        <v/>
      </c>
      <c r="AM1535" t="str">
        <f t="shared" si="167"/>
        <v/>
      </c>
    </row>
    <row r="1536" spans="1:39">
      <c r="A1536" t="str">
        <f>IF(ISBLANK(Record!A1537),"",Record!A1537)</f>
        <v/>
      </c>
      <c r="B1536" t="str">
        <f>IF(ISBLANK(Record!B1537),"",Record!B1537)</f>
        <v/>
      </c>
      <c r="C1536" s="227" t="str">
        <f>IF(ISBLANK(Record!C1537),"",Record!C1537)</f>
        <v/>
      </c>
      <c r="D1536" t="str">
        <f>IF(ISBLANK(Record!D1537),"",Record!D1537)</f>
        <v/>
      </c>
      <c r="E1536" t="str">
        <f>IF(ISBLANK(Record!E1537),"",Record!E1537)</f>
        <v/>
      </c>
      <c r="M1536" t="str">
        <f t="shared" si="161"/>
        <v xml:space="preserve">          </v>
      </c>
      <c r="N1536" s="227" t="str">
        <f t="shared" si="162"/>
        <v/>
      </c>
      <c r="X1536" t="str">
        <f t="shared" si="163"/>
        <v xml:space="preserve">          </v>
      </c>
      <c r="Y1536" s="227" t="str">
        <f t="shared" si="164"/>
        <v/>
      </c>
      <c r="Z1536" t="str">
        <f t="shared" si="165"/>
        <v/>
      </c>
      <c r="AL1536" t="str">
        <f t="shared" si="166"/>
        <v/>
      </c>
      <c r="AM1536" t="str">
        <f t="shared" si="167"/>
        <v/>
      </c>
    </row>
    <row r="1537" spans="1:39">
      <c r="A1537" t="str">
        <f>IF(ISBLANK(Record!A1538),"",Record!A1538)</f>
        <v/>
      </c>
      <c r="B1537" t="str">
        <f>IF(ISBLANK(Record!B1538),"",Record!B1538)</f>
        <v/>
      </c>
      <c r="C1537" s="227" t="str">
        <f>IF(ISBLANK(Record!C1538),"",Record!C1538)</f>
        <v/>
      </c>
      <c r="D1537" t="str">
        <f>IF(ISBLANK(Record!D1538),"",Record!D1538)</f>
        <v/>
      </c>
      <c r="E1537" t="str">
        <f>IF(ISBLANK(Record!E1538),"",Record!E1538)</f>
        <v/>
      </c>
      <c r="M1537" t="str">
        <f t="shared" si="161"/>
        <v xml:space="preserve">          </v>
      </c>
      <c r="N1537" s="227" t="str">
        <f t="shared" si="162"/>
        <v/>
      </c>
      <c r="X1537" t="str">
        <f t="shared" si="163"/>
        <v xml:space="preserve">          </v>
      </c>
      <c r="Y1537" s="227" t="str">
        <f t="shared" si="164"/>
        <v/>
      </c>
      <c r="Z1537" t="str">
        <f t="shared" si="165"/>
        <v/>
      </c>
      <c r="AL1537" t="str">
        <f t="shared" si="166"/>
        <v/>
      </c>
      <c r="AM1537" t="str">
        <f t="shared" si="167"/>
        <v/>
      </c>
    </row>
    <row r="1538" spans="1:39">
      <c r="A1538" t="str">
        <f>IF(ISBLANK(Record!A1539),"",Record!A1539)</f>
        <v/>
      </c>
      <c r="B1538" t="str">
        <f>IF(ISBLANK(Record!B1539),"",Record!B1539)</f>
        <v/>
      </c>
      <c r="C1538" s="227" t="str">
        <f>IF(ISBLANK(Record!C1539),"",Record!C1539)</f>
        <v/>
      </c>
      <c r="D1538" t="str">
        <f>IF(ISBLANK(Record!D1539),"",Record!D1539)</f>
        <v/>
      </c>
      <c r="E1538" t="str">
        <f>IF(ISBLANK(Record!E1539),"",Record!E1539)</f>
        <v/>
      </c>
      <c r="M1538" t="str">
        <f t="shared" si="161"/>
        <v xml:space="preserve">          </v>
      </c>
      <c r="N1538" s="227" t="str">
        <f t="shared" si="162"/>
        <v/>
      </c>
      <c r="X1538" t="str">
        <f t="shared" si="163"/>
        <v xml:space="preserve">          </v>
      </c>
      <c r="Y1538" s="227" t="str">
        <f t="shared" si="164"/>
        <v/>
      </c>
      <c r="Z1538" t="str">
        <f t="shared" si="165"/>
        <v/>
      </c>
      <c r="AL1538" t="str">
        <f t="shared" si="166"/>
        <v/>
      </c>
      <c r="AM1538" t="str">
        <f t="shared" si="167"/>
        <v/>
      </c>
    </row>
    <row r="1539" spans="1:39">
      <c r="A1539" t="str">
        <f>IF(ISBLANK(Record!A1540),"",Record!A1540)</f>
        <v/>
      </c>
      <c r="B1539" t="str">
        <f>IF(ISBLANK(Record!B1540),"",Record!B1540)</f>
        <v/>
      </c>
      <c r="C1539" s="227" t="str">
        <f>IF(ISBLANK(Record!C1540),"",Record!C1540)</f>
        <v/>
      </c>
      <c r="D1539" t="str">
        <f>IF(ISBLANK(Record!D1540),"",Record!D1540)</f>
        <v/>
      </c>
      <c r="E1539" t="str">
        <f>IF(ISBLANK(Record!E1540),"",Record!E1540)</f>
        <v/>
      </c>
      <c r="M1539" t="str">
        <f t="shared" ref="M1539:M1602" si="168">RIGHT("                                   " &amp; A1539,10)</f>
        <v xml:space="preserve">          </v>
      </c>
      <c r="N1539" s="227" t="str">
        <f t="shared" ref="N1539:N1602" si="169">RIGHT(C1539,16)</f>
        <v/>
      </c>
      <c r="X1539" t="str">
        <f t="shared" ref="X1539:X1602" si="170">RIGHT("                                   " &amp; A1539,10)</f>
        <v xml:space="preserve">          </v>
      </c>
      <c r="Y1539" s="227" t="str">
        <f t="shared" ref="Y1539:Y1602" si="171">RIGHT(C1539,16)</f>
        <v/>
      </c>
      <c r="Z1539" t="str">
        <f t="shared" ref="Z1539:Z1602" si="172">RIGHT(D1539,8)</f>
        <v/>
      </c>
      <c r="AL1539" t="str">
        <f t="shared" ref="AL1539:AL1602" si="173">D1539</f>
        <v/>
      </c>
      <c r="AM1539" t="str">
        <f t="shared" ref="AM1539:AM1602" si="174">IF(E1539&lt;&gt;AL1539,E1539,E1539)</f>
        <v/>
      </c>
    </row>
    <row r="1540" spans="1:39">
      <c r="A1540" t="str">
        <f>IF(ISBLANK(Record!A1541),"",Record!A1541)</f>
        <v/>
      </c>
      <c r="B1540" t="str">
        <f>IF(ISBLANK(Record!B1541),"",Record!B1541)</f>
        <v/>
      </c>
      <c r="C1540" s="227" t="str">
        <f>IF(ISBLANK(Record!C1541),"",Record!C1541)</f>
        <v/>
      </c>
      <c r="D1540" t="str">
        <f>IF(ISBLANK(Record!D1541),"",Record!D1541)</f>
        <v/>
      </c>
      <c r="E1540" t="str">
        <f>IF(ISBLANK(Record!E1541),"",Record!E1541)</f>
        <v/>
      </c>
      <c r="M1540" t="str">
        <f t="shared" si="168"/>
        <v xml:space="preserve">          </v>
      </c>
      <c r="N1540" s="227" t="str">
        <f t="shared" si="169"/>
        <v/>
      </c>
      <c r="X1540" t="str">
        <f t="shared" si="170"/>
        <v xml:space="preserve">          </v>
      </c>
      <c r="Y1540" s="227" t="str">
        <f t="shared" si="171"/>
        <v/>
      </c>
      <c r="Z1540" t="str">
        <f t="shared" si="172"/>
        <v/>
      </c>
      <c r="AL1540" t="str">
        <f t="shared" si="173"/>
        <v/>
      </c>
      <c r="AM1540" t="str">
        <f t="shared" si="174"/>
        <v/>
      </c>
    </row>
    <row r="1541" spans="1:39">
      <c r="A1541" t="str">
        <f>IF(ISBLANK(Record!A1542),"",Record!A1542)</f>
        <v/>
      </c>
      <c r="B1541" t="str">
        <f>IF(ISBLANK(Record!B1542),"",Record!B1542)</f>
        <v/>
      </c>
      <c r="C1541" s="227" t="str">
        <f>IF(ISBLANK(Record!C1542),"",Record!C1542)</f>
        <v/>
      </c>
      <c r="D1541" t="str">
        <f>IF(ISBLANK(Record!D1542),"",Record!D1542)</f>
        <v/>
      </c>
      <c r="E1541" t="str">
        <f>IF(ISBLANK(Record!E1542),"",Record!E1542)</f>
        <v/>
      </c>
      <c r="M1541" t="str">
        <f t="shared" si="168"/>
        <v xml:space="preserve">          </v>
      </c>
      <c r="N1541" s="227" t="str">
        <f t="shared" si="169"/>
        <v/>
      </c>
      <c r="X1541" t="str">
        <f t="shared" si="170"/>
        <v xml:space="preserve">          </v>
      </c>
      <c r="Y1541" s="227" t="str">
        <f t="shared" si="171"/>
        <v/>
      </c>
      <c r="Z1541" t="str">
        <f t="shared" si="172"/>
        <v/>
      </c>
      <c r="AL1541" t="str">
        <f t="shared" si="173"/>
        <v/>
      </c>
      <c r="AM1541" t="str">
        <f t="shared" si="174"/>
        <v/>
      </c>
    </row>
    <row r="1542" spans="1:39">
      <c r="A1542" t="str">
        <f>IF(ISBLANK(Record!A1543),"",Record!A1543)</f>
        <v/>
      </c>
      <c r="B1542" t="str">
        <f>IF(ISBLANK(Record!B1543),"",Record!B1543)</f>
        <v/>
      </c>
      <c r="C1542" s="227" t="str">
        <f>IF(ISBLANK(Record!C1543),"",Record!C1543)</f>
        <v/>
      </c>
      <c r="D1542" t="str">
        <f>IF(ISBLANK(Record!D1543),"",Record!D1543)</f>
        <v/>
      </c>
      <c r="E1542" t="str">
        <f>IF(ISBLANK(Record!E1543),"",Record!E1543)</f>
        <v/>
      </c>
      <c r="M1542" t="str">
        <f t="shared" si="168"/>
        <v xml:space="preserve">          </v>
      </c>
      <c r="N1542" s="227" t="str">
        <f t="shared" si="169"/>
        <v/>
      </c>
      <c r="X1542" t="str">
        <f t="shared" si="170"/>
        <v xml:space="preserve">          </v>
      </c>
      <c r="Y1542" s="227" t="str">
        <f t="shared" si="171"/>
        <v/>
      </c>
      <c r="Z1542" t="str">
        <f t="shared" si="172"/>
        <v/>
      </c>
      <c r="AL1542" t="str">
        <f t="shared" si="173"/>
        <v/>
      </c>
      <c r="AM1542" t="str">
        <f t="shared" si="174"/>
        <v/>
      </c>
    </row>
    <row r="1543" spans="1:39">
      <c r="A1543" t="str">
        <f>IF(ISBLANK(Record!A1544),"",Record!A1544)</f>
        <v/>
      </c>
      <c r="B1543" t="str">
        <f>IF(ISBLANK(Record!B1544),"",Record!B1544)</f>
        <v/>
      </c>
      <c r="C1543" s="227" t="str">
        <f>IF(ISBLANK(Record!C1544),"",Record!C1544)</f>
        <v/>
      </c>
      <c r="D1543" t="str">
        <f>IF(ISBLANK(Record!D1544),"",Record!D1544)</f>
        <v/>
      </c>
      <c r="E1543" t="str">
        <f>IF(ISBLANK(Record!E1544),"",Record!E1544)</f>
        <v/>
      </c>
      <c r="M1543" t="str">
        <f t="shared" si="168"/>
        <v xml:space="preserve">          </v>
      </c>
      <c r="N1543" s="227" t="str">
        <f t="shared" si="169"/>
        <v/>
      </c>
      <c r="X1543" t="str">
        <f t="shared" si="170"/>
        <v xml:space="preserve">          </v>
      </c>
      <c r="Y1543" s="227" t="str">
        <f t="shared" si="171"/>
        <v/>
      </c>
      <c r="Z1543" t="str">
        <f t="shared" si="172"/>
        <v/>
      </c>
      <c r="AL1543" t="str">
        <f t="shared" si="173"/>
        <v/>
      </c>
      <c r="AM1543" t="str">
        <f t="shared" si="174"/>
        <v/>
      </c>
    </row>
    <row r="1544" spans="1:39">
      <c r="A1544" t="str">
        <f>IF(ISBLANK(Record!A1545),"",Record!A1545)</f>
        <v/>
      </c>
      <c r="B1544" t="str">
        <f>IF(ISBLANK(Record!B1545),"",Record!B1545)</f>
        <v/>
      </c>
      <c r="C1544" s="227" t="str">
        <f>IF(ISBLANK(Record!C1545),"",Record!C1545)</f>
        <v/>
      </c>
      <c r="D1544" t="str">
        <f>IF(ISBLANK(Record!D1545),"",Record!D1545)</f>
        <v/>
      </c>
      <c r="E1544" t="str">
        <f>IF(ISBLANK(Record!E1545),"",Record!E1545)</f>
        <v/>
      </c>
      <c r="M1544" t="str">
        <f t="shared" si="168"/>
        <v xml:space="preserve">          </v>
      </c>
      <c r="N1544" s="227" t="str">
        <f t="shared" si="169"/>
        <v/>
      </c>
      <c r="X1544" t="str">
        <f t="shared" si="170"/>
        <v xml:space="preserve">          </v>
      </c>
      <c r="Y1544" s="227" t="str">
        <f t="shared" si="171"/>
        <v/>
      </c>
      <c r="Z1544" t="str">
        <f t="shared" si="172"/>
        <v/>
      </c>
      <c r="AL1544" t="str">
        <f t="shared" si="173"/>
        <v/>
      </c>
      <c r="AM1544" t="str">
        <f t="shared" si="174"/>
        <v/>
      </c>
    </row>
    <row r="1545" spans="1:39">
      <c r="A1545" t="str">
        <f>IF(ISBLANK(Record!A1546),"",Record!A1546)</f>
        <v/>
      </c>
      <c r="B1545" t="str">
        <f>IF(ISBLANK(Record!B1546),"",Record!B1546)</f>
        <v/>
      </c>
      <c r="C1545" s="227" t="str">
        <f>IF(ISBLANK(Record!C1546),"",Record!C1546)</f>
        <v/>
      </c>
      <c r="D1545" t="str">
        <f>IF(ISBLANK(Record!D1546),"",Record!D1546)</f>
        <v/>
      </c>
      <c r="E1545" t="str">
        <f>IF(ISBLANK(Record!E1546),"",Record!E1546)</f>
        <v/>
      </c>
      <c r="M1545" t="str">
        <f t="shared" si="168"/>
        <v xml:space="preserve">          </v>
      </c>
      <c r="N1545" s="227" t="str">
        <f t="shared" si="169"/>
        <v/>
      </c>
      <c r="X1545" t="str">
        <f t="shared" si="170"/>
        <v xml:space="preserve">          </v>
      </c>
      <c r="Y1545" s="227" t="str">
        <f t="shared" si="171"/>
        <v/>
      </c>
      <c r="Z1545" t="str">
        <f t="shared" si="172"/>
        <v/>
      </c>
      <c r="AL1545" t="str">
        <f t="shared" si="173"/>
        <v/>
      </c>
      <c r="AM1545" t="str">
        <f t="shared" si="174"/>
        <v/>
      </c>
    </row>
    <row r="1546" spans="1:39">
      <c r="A1546" t="str">
        <f>IF(ISBLANK(Record!A1547),"",Record!A1547)</f>
        <v/>
      </c>
      <c r="B1546" t="str">
        <f>IF(ISBLANK(Record!B1547),"",Record!B1547)</f>
        <v/>
      </c>
      <c r="C1546" s="227" t="str">
        <f>IF(ISBLANK(Record!C1547),"",Record!C1547)</f>
        <v/>
      </c>
      <c r="D1546" t="str">
        <f>IF(ISBLANK(Record!D1547),"",Record!D1547)</f>
        <v/>
      </c>
      <c r="E1546" t="str">
        <f>IF(ISBLANK(Record!E1547),"",Record!E1547)</f>
        <v/>
      </c>
      <c r="M1546" t="str">
        <f t="shared" si="168"/>
        <v xml:space="preserve">          </v>
      </c>
      <c r="N1546" s="227" t="str">
        <f t="shared" si="169"/>
        <v/>
      </c>
      <c r="X1546" t="str">
        <f t="shared" si="170"/>
        <v xml:space="preserve">          </v>
      </c>
      <c r="Y1546" s="227" t="str">
        <f t="shared" si="171"/>
        <v/>
      </c>
      <c r="Z1546" t="str">
        <f t="shared" si="172"/>
        <v/>
      </c>
      <c r="AL1546" t="str">
        <f t="shared" si="173"/>
        <v/>
      </c>
      <c r="AM1546" t="str">
        <f t="shared" si="174"/>
        <v/>
      </c>
    </row>
    <row r="1547" spans="1:39">
      <c r="A1547" t="str">
        <f>IF(ISBLANK(Record!A1548),"",Record!A1548)</f>
        <v/>
      </c>
      <c r="B1547" t="str">
        <f>IF(ISBLANK(Record!B1548),"",Record!B1548)</f>
        <v/>
      </c>
      <c r="C1547" s="227" t="str">
        <f>IF(ISBLANK(Record!C1548),"",Record!C1548)</f>
        <v/>
      </c>
      <c r="D1547" t="str">
        <f>IF(ISBLANK(Record!D1548),"",Record!D1548)</f>
        <v/>
      </c>
      <c r="E1547" t="str">
        <f>IF(ISBLANK(Record!E1548),"",Record!E1548)</f>
        <v/>
      </c>
      <c r="M1547" t="str">
        <f t="shared" si="168"/>
        <v xml:space="preserve">          </v>
      </c>
      <c r="N1547" s="227" t="str">
        <f t="shared" si="169"/>
        <v/>
      </c>
      <c r="X1547" t="str">
        <f t="shared" si="170"/>
        <v xml:space="preserve">          </v>
      </c>
      <c r="Y1547" s="227" t="str">
        <f t="shared" si="171"/>
        <v/>
      </c>
      <c r="Z1547" t="str">
        <f t="shared" si="172"/>
        <v/>
      </c>
      <c r="AL1547" t="str">
        <f t="shared" si="173"/>
        <v/>
      </c>
      <c r="AM1547" t="str">
        <f t="shared" si="174"/>
        <v/>
      </c>
    </row>
    <row r="1548" spans="1:39">
      <c r="A1548" t="str">
        <f>IF(ISBLANK(Record!A1549),"",Record!A1549)</f>
        <v/>
      </c>
      <c r="B1548" t="str">
        <f>IF(ISBLANK(Record!B1549),"",Record!B1549)</f>
        <v/>
      </c>
      <c r="C1548" s="227" t="str">
        <f>IF(ISBLANK(Record!C1549),"",Record!C1549)</f>
        <v/>
      </c>
      <c r="D1548" t="str">
        <f>IF(ISBLANK(Record!D1549),"",Record!D1549)</f>
        <v/>
      </c>
      <c r="E1548" t="str">
        <f>IF(ISBLANK(Record!E1549),"",Record!E1549)</f>
        <v/>
      </c>
      <c r="M1548" t="str">
        <f t="shared" si="168"/>
        <v xml:space="preserve">          </v>
      </c>
      <c r="N1548" s="227" t="str">
        <f t="shared" si="169"/>
        <v/>
      </c>
      <c r="X1548" t="str">
        <f t="shared" si="170"/>
        <v xml:space="preserve">          </v>
      </c>
      <c r="Y1548" s="227" t="str">
        <f t="shared" si="171"/>
        <v/>
      </c>
      <c r="Z1548" t="str">
        <f t="shared" si="172"/>
        <v/>
      </c>
      <c r="AL1548" t="str">
        <f t="shared" si="173"/>
        <v/>
      </c>
      <c r="AM1548" t="str">
        <f t="shared" si="174"/>
        <v/>
      </c>
    </row>
    <row r="1549" spans="1:39">
      <c r="A1549" t="str">
        <f>IF(ISBLANK(Record!A1550),"",Record!A1550)</f>
        <v/>
      </c>
      <c r="B1549" t="str">
        <f>IF(ISBLANK(Record!B1550),"",Record!B1550)</f>
        <v/>
      </c>
      <c r="C1549" s="227" t="str">
        <f>IF(ISBLANK(Record!C1550),"",Record!C1550)</f>
        <v/>
      </c>
      <c r="D1549" t="str">
        <f>IF(ISBLANK(Record!D1550),"",Record!D1550)</f>
        <v/>
      </c>
      <c r="E1549" t="str">
        <f>IF(ISBLANK(Record!E1550),"",Record!E1550)</f>
        <v/>
      </c>
      <c r="M1549" t="str">
        <f t="shared" si="168"/>
        <v xml:space="preserve">          </v>
      </c>
      <c r="N1549" s="227" t="str">
        <f t="shared" si="169"/>
        <v/>
      </c>
      <c r="X1549" t="str">
        <f t="shared" si="170"/>
        <v xml:space="preserve">          </v>
      </c>
      <c r="Y1549" s="227" t="str">
        <f t="shared" si="171"/>
        <v/>
      </c>
      <c r="Z1549" t="str">
        <f t="shared" si="172"/>
        <v/>
      </c>
      <c r="AL1549" t="str">
        <f t="shared" si="173"/>
        <v/>
      </c>
      <c r="AM1549" t="str">
        <f t="shared" si="174"/>
        <v/>
      </c>
    </row>
    <row r="1550" spans="1:39">
      <c r="A1550" t="str">
        <f>IF(ISBLANK(Record!A1551),"",Record!A1551)</f>
        <v/>
      </c>
      <c r="B1550" t="str">
        <f>IF(ISBLANK(Record!B1551),"",Record!B1551)</f>
        <v/>
      </c>
      <c r="C1550" s="227" t="str">
        <f>IF(ISBLANK(Record!C1551),"",Record!C1551)</f>
        <v/>
      </c>
      <c r="D1550" t="str">
        <f>IF(ISBLANK(Record!D1551),"",Record!D1551)</f>
        <v/>
      </c>
      <c r="E1550" t="str">
        <f>IF(ISBLANK(Record!E1551),"",Record!E1551)</f>
        <v/>
      </c>
      <c r="M1550" t="str">
        <f t="shared" si="168"/>
        <v xml:space="preserve">          </v>
      </c>
      <c r="N1550" s="227" t="str">
        <f t="shared" si="169"/>
        <v/>
      </c>
      <c r="X1550" t="str">
        <f t="shared" si="170"/>
        <v xml:space="preserve">          </v>
      </c>
      <c r="Y1550" s="227" t="str">
        <f t="shared" si="171"/>
        <v/>
      </c>
      <c r="Z1550" t="str">
        <f t="shared" si="172"/>
        <v/>
      </c>
      <c r="AL1550" t="str">
        <f t="shared" si="173"/>
        <v/>
      </c>
      <c r="AM1550" t="str">
        <f t="shared" si="174"/>
        <v/>
      </c>
    </row>
    <row r="1551" spans="1:39">
      <c r="A1551" t="str">
        <f>IF(ISBLANK(Record!A1552),"",Record!A1552)</f>
        <v/>
      </c>
      <c r="B1551" t="str">
        <f>IF(ISBLANK(Record!B1552),"",Record!B1552)</f>
        <v/>
      </c>
      <c r="C1551" s="227" t="str">
        <f>IF(ISBLANK(Record!C1552),"",Record!C1552)</f>
        <v/>
      </c>
      <c r="D1551" t="str">
        <f>IF(ISBLANK(Record!D1552),"",Record!D1552)</f>
        <v/>
      </c>
      <c r="E1551" t="str">
        <f>IF(ISBLANK(Record!E1552),"",Record!E1552)</f>
        <v/>
      </c>
      <c r="M1551" t="str">
        <f t="shared" si="168"/>
        <v xml:space="preserve">          </v>
      </c>
      <c r="N1551" s="227" t="str">
        <f t="shared" si="169"/>
        <v/>
      </c>
      <c r="X1551" t="str">
        <f t="shared" si="170"/>
        <v xml:space="preserve">          </v>
      </c>
      <c r="Y1551" s="227" t="str">
        <f t="shared" si="171"/>
        <v/>
      </c>
      <c r="Z1551" t="str">
        <f t="shared" si="172"/>
        <v/>
      </c>
      <c r="AL1551" t="str">
        <f t="shared" si="173"/>
        <v/>
      </c>
      <c r="AM1551" t="str">
        <f t="shared" si="174"/>
        <v/>
      </c>
    </row>
    <row r="1552" spans="1:39">
      <c r="A1552" t="str">
        <f>IF(ISBLANK(Record!A1553),"",Record!A1553)</f>
        <v/>
      </c>
      <c r="B1552" t="str">
        <f>IF(ISBLANK(Record!B1553),"",Record!B1553)</f>
        <v/>
      </c>
      <c r="C1552" s="227" t="str">
        <f>IF(ISBLANK(Record!C1553),"",Record!C1553)</f>
        <v/>
      </c>
      <c r="D1552" t="str">
        <f>IF(ISBLANK(Record!D1553),"",Record!D1553)</f>
        <v/>
      </c>
      <c r="E1552" t="str">
        <f>IF(ISBLANK(Record!E1553),"",Record!E1553)</f>
        <v/>
      </c>
      <c r="M1552" t="str">
        <f t="shared" si="168"/>
        <v xml:space="preserve">          </v>
      </c>
      <c r="N1552" s="227" t="str">
        <f t="shared" si="169"/>
        <v/>
      </c>
      <c r="X1552" t="str">
        <f t="shared" si="170"/>
        <v xml:space="preserve">          </v>
      </c>
      <c r="Y1552" s="227" t="str">
        <f t="shared" si="171"/>
        <v/>
      </c>
      <c r="Z1552" t="str">
        <f t="shared" si="172"/>
        <v/>
      </c>
      <c r="AL1552" t="str">
        <f t="shared" si="173"/>
        <v/>
      </c>
      <c r="AM1552" t="str">
        <f t="shared" si="174"/>
        <v/>
      </c>
    </row>
    <row r="1553" spans="1:39">
      <c r="A1553" t="str">
        <f>IF(ISBLANK(Record!A1554),"",Record!A1554)</f>
        <v/>
      </c>
      <c r="B1553" t="str">
        <f>IF(ISBLANK(Record!B1554),"",Record!B1554)</f>
        <v/>
      </c>
      <c r="C1553" s="227" t="str">
        <f>IF(ISBLANK(Record!C1554),"",Record!C1554)</f>
        <v/>
      </c>
      <c r="D1553" t="str">
        <f>IF(ISBLANK(Record!D1554),"",Record!D1554)</f>
        <v/>
      </c>
      <c r="E1553" t="str">
        <f>IF(ISBLANK(Record!E1554),"",Record!E1554)</f>
        <v/>
      </c>
      <c r="M1553" t="str">
        <f t="shared" si="168"/>
        <v xml:space="preserve">          </v>
      </c>
      <c r="N1553" s="227" t="str">
        <f t="shared" si="169"/>
        <v/>
      </c>
      <c r="X1553" t="str">
        <f t="shared" si="170"/>
        <v xml:space="preserve">          </v>
      </c>
      <c r="Y1553" s="227" t="str">
        <f t="shared" si="171"/>
        <v/>
      </c>
      <c r="Z1553" t="str">
        <f t="shared" si="172"/>
        <v/>
      </c>
      <c r="AL1553" t="str">
        <f t="shared" si="173"/>
        <v/>
      </c>
      <c r="AM1553" t="str">
        <f t="shared" si="174"/>
        <v/>
      </c>
    </row>
    <row r="1554" spans="1:39">
      <c r="A1554" t="str">
        <f>IF(ISBLANK(Record!A1555),"",Record!A1555)</f>
        <v/>
      </c>
      <c r="B1554" t="str">
        <f>IF(ISBLANK(Record!B1555),"",Record!B1555)</f>
        <v/>
      </c>
      <c r="C1554" s="227" t="str">
        <f>IF(ISBLANK(Record!C1555),"",Record!C1555)</f>
        <v/>
      </c>
      <c r="D1554" t="str">
        <f>IF(ISBLANK(Record!D1555),"",Record!D1555)</f>
        <v/>
      </c>
      <c r="E1554" t="str">
        <f>IF(ISBLANK(Record!E1555),"",Record!E1555)</f>
        <v/>
      </c>
      <c r="M1554" t="str">
        <f t="shared" si="168"/>
        <v xml:space="preserve">          </v>
      </c>
      <c r="N1554" s="227" t="str">
        <f t="shared" si="169"/>
        <v/>
      </c>
      <c r="X1554" t="str">
        <f t="shared" si="170"/>
        <v xml:space="preserve">          </v>
      </c>
      <c r="Y1554" s="227" t="str">
        <f t="shared" si="171"/>
        <v/>
      </c>
      <c r="Z1554" t="str">
        <f t="shared" si="172"/>
        <v/>
      </c>
      <c r="AL1554" t="str">
        <f t="shared" si="173"/>
        <v/>
      </c>
      <c r="AM1554" t="str">
        <f t="shared" si="174"/>
        <v/>
      </c>
    </row>
    <row r="1555" spans="1:39">
      <c r="A1555" t="str">
        <f>IF(ISBLANK(Record!A1556),"",Record!A1556)</f>
        <v/>
      </c>
      <c r="B1555" t="str">
        <f>IF(ISBLANK(Record!B1556),"",Record!B1556)</f>
        <v/>
      </c>
      <c r="C1555" s="227" t="str">
        <f>IF(ISBLANK(Record!C1556),"",Record!C1556)</f>
        <v/>
      </c>
      <c r="D1555" t="str">
        <f>IF(ISBLANK(Record!D1556),"",Record!D1556)</f>
        <v/>
      </c>
      <c r="E1555" t="str">
        <f>IF(ISBLANK(Record!E1556),"",Record!E1556)</f>
        <v/>
      </c>
      <c r="M1555" t="str">
        <f t="shared" si="168"/>
        <v xml:space="preserve">          </v>
      </c>
      <c r="N1555" s="227" t="str">
        <f t="shared" si="169"/>
        <v/>
      </c>
      <c r="X1555" t="str">
        <f t="shared" si="170"/>
        <v xml:space="preserve">          </v>
      </c>
      <c r="Y1555" s="227" t="str">
        <f t="shared" si="171"/>
        <v/>
      </c>
      <c r="Z1555" t="str">
        <f t="shared" si="172"/>
        <v/>
      </c>
      <c r="AL1555" t="str">
        <f t="shared" si="173"/>
        <v/>
      </c>
      <c r="AM1555" t="str">
        <f t="shared" si="174"/>
        <v/>
      </c>
    </row>
    <row r="1556" spans="1:39">
      <c r="A1556" t="str">
        <f>IF(ISBLANK(Record!A1557),"",Record!A1557)</f>
        <v/>
      </c>
      <c r="B1556" t="str">
        <f>IF(ISBLANK(Record!B1557),"",Record!B1557)</f>
        <v/>
      </c>
      <c r="C1556" s="227" t="str">
        <f>IF(ISBLANK(Record!C1557),"",Record!C1557)</f>
        <v/>
      </c>
      <c r="D1556" t="str">
        <f>IF(ISBLANK(Record!D1557),"",Record!D1557)</f>
        <v/>
      </c>
      <c r="E1556" t="str">
        <f>IF(ISBLANK(Record!E1557),"",Record!E1557)</f>
        <v/>
      </c>
      <c r="M1556" t="str">
        <f t="shared" si="168"/>
        <v xml:space="preserve">          </v>
      </c>
      <c r="N1556" s="227" t="str">
        <f t="shared" si="169"/>
        <v/>
      </c>
      <c r="X1556" t="str">
        <f t="shared" si="170"/>
        <v xml:space="preserve">          </v>
      </c>
      <c r="Y1556" s="227" t="str">
        <f t="shared" si="171"/>
        <v/>
      </c>
      <c r="Z1556" t="str">
        <f t="shared" si="172"/>
        <v/>
      </c>
      <c r="AL1556" t="str">
        <f t="shared" si="173"/>
        <v/>
      </c>
      <c r="AM1556" t="str">
        <f t="shared" si="174"/>
        <v/>
      </c>
    </row>
    <row r="1557" spans="1:39">
      <c r="A1557" t="str">
        <f>IF(ISBLANK(Record!A1558),"",Record!A1558)</f>
        <v/>
      </c>
      <c r="B1557" t="str">
        <f>IF(ISBLANK(Record!B1558),"",Record!B1558)</f>
        <v/>
      </c>
      <c r="C1557" s="227" t="str">
        <f>IF(ISBLANK(Record!C1558),"",Record!C1558)</f>
        <v/>
      </c>
      <c r="D1557" t="str">
        <f>IF(ISBLANK(Record!D1558),"",Record!D1558)</f>
        <v/>
      </c>
      <c r="E1557" t="str">
        <f>IF(ISBLANK(Record!E1558),"",Record!E1558)</f>
        <v/>
      </c>
      <c r="M1557" t="str">
        <f t="shared" si="168"/>
        <v xml:space="preserve">          </v>
      </c>
      <c r="N1557" s="227" t="str">
        <f t="shared" si="169"/>
        <v/>
      </c>
      <c r="X1557" t="str">
        <f t="shared" si="170"/>
        <v xml:space="preserve">          </v>
      </c>
      <c r="Y1557" s="227" t="str">
        <f t="shared" si="171"/>
        <v/>
      </c>
      <c r="Z1557" t="str">
        <f t="shared" si="172"/>
        <v/>
      </c>
      <c r="AL1557" t="str">
        <f t="shared" si="173"/>
        <v/>
      </c>
      <c r="AM1557" t="str">
        <f t="shared" si="174"/>
        <v/>
      </c>
    </row>
    <row r="1558" spans="1:39">
      <c r="A1558" t="str">
        <f>IF(ISBLANK(Record!A1559),"",Record!A1559)</f>
        <v/>
      </c>
      <c r="B1558" t="str">
        <f>IF(ISBLANK(Record!B1559),"",Record!B1559)</f>
        <v/>
      </c>
      <c r="C1558" s="227" t="str">
        <f>IF(ISBLANK(Record!C1559),"",Record!C1559)</f>
        <v/>
      </c>
      <c r="D1558" t="str">
        <f>IF(ISBLANK(Record!D1559),"",Record!D1559)</f>
        <v/>
      </c>
      <c r="E1558" t="str">
        <f>IF(ISBLANK(Record!E1559),"",Record!E1559)</f>
        <v/>
      </c>
      <c r="M1558" t="str">
        <f t="shared" si="168"/>
        <v xml:space="preserve">          </v>
      </c>
      <c r="N1558" s="227" t="str">
        <f t="shared" si="169"/>
        <v/>
      </c>
      <c r="X1558" t="str">
        <f t="shared" si="170"/>
        <v xml:space="preserve">          </v>
      </c>
      <c r="Y1558" s="227" t="str">
        <f t="shared" si="171"/>
        <v/>
      </c>
      <c r="Z1558" t="str">
        <f t="shared" si="172"/>
        <v/>
      </c>
      <c r="AL1558" t="str">
        <f t="shared" si="173"/>
        <v/>
      </c>
      <c r="AM1558" t="str">
        <f t="shared" si="174"/>
        <v/>
      </c>
    </row>
    <row r="1559" spans="1:39">
      <c r="A1559" t="str">
        <f>IF(ISBLANK(Record!A1560),"",Record!A1560)</f>
        <v/>
      </c>
      <c r="B1559" t="str">
        <f>IF(ISBLANK(Record!B1560),"",Record!B1560)</f>
        <v/>
      </c>
      <c r="C1559" s="227" t="str">
        <f>IF(ISBLANK(Record!C1560),"",Record!C1560)</f>
        <v/>
      </c>
      <c r="D1559" t="str">
        <f>IF(ISBLANK(Record!D1560),"",Record!D1560)</f>
        <v/>
      </c>
      <c r="E1559" t="str">
        <f>IF(ISBLANK(Record!E1560),"",Record!E1560)</f>
        <v/>
      </c>
      <c r="M1559" t="str">
        <f t="shared" si="168"/>
        <v xml:space="preserve">          </v>
      </c>
      <c r="N1559" s="227" t="str">
        <f t="shared" si="169"/>
        <v/>
      </c>
      <c r="X1559" t="str">
        <f t="shared" si="170"/>
        <v xml:space="preserve">          </v>
      </c>
      <c r="Y1559" s="227" t="str">
        <f t="shared" si="171"/>
        <v/>
      </c>
      <c r="Z1559" t="str">
        <f t="shared" si="172"/>
        <v/>
      </c>
      <c r="AL1559" t="str">
        <f t="shared" si="173"/>
        <v/>
      </c>
      <c r="AM1559" t="str">
        <f t="shared" si="174"/>
        <v/>
      </c>
    </row>
    <row r="1560" spans="1:39">
      <c r="A1560" t="str">
        <f>IF(ISBLANK(Record!A1561),"",Record!A1561)</f>
        <v/>
      </c>
      <c r="B1560" t="str">
        <f>IF(ISBLANK(Record!B1561),"",Record!B1561)</f>
        <v/>
      </c>
      <c r="C1560" s="227" t="str">
        <f>IF(ISBLANK(Record!C1561),"",Record!C1561)</f>
        <v/>
      </c>
      <c r="D1560" t="str">
        <f>IF(ISBLANK(Record!D1561),"",Record!D1561)</f>
        <v/>
      </c>
      <c r="E1560" t="str">
        <f>IF(ISBLANK(Record!E1561),"",Record!E1561)</f>
        <v/>
      </c>
      <c r="M1560" t="str">
        <f t="shared" si="168"/>
        <v xml:space="preserve">          </v>
      </c>
      <c r="N1560" s="227" t="str">
        <f t="shared" si="169"/>
        <v/>
      </c>
      <c r="X1560" t="str">
        <f t="shared" si="170"/>
        <v xml:space="preserve">          </v>
      </c>
      <c r="Y1560" s="227" t="str">
        <f t="shared" si="171"/>
        <v/>
      </c>
      <c r="Z1560" t="str">
        <f t="shared" si="172"/>
        <v/>
      </c>
      <c r="AL1560" t="str">
        <f t="shared" si="173"/>
        <v/>
      </c>
      <c r="AM1560" t="str">
        <f t="shared" si="174"/>
        <v/>
      </c>
    </row>
    <row r="1561" spans="1:39">
      <c r="A1561" t="str">
        <f>IF(ISBLANK(Record!A1562),"",Record!A1562)</f>
        <v/>
      </c>
      <c r="B1561" t="str">
        <f>IF(ISBLANK(Record!B1562),"",Record!B1562)</f>
        <v/>
      </c>
      <c r="C1561" s="227" t="str">
        <f>IF(ISBLANK(Record!C1562),"",Record!C1562)</f>
        <v/>
      </c>
      <c r="D1561" t="str">
        <f>IF(ISBLANK(Record!D1562),"",Record!D1562)</f>
        <v/>
      </c>
      <c r="E1561" t="str">
        <f>IF(ISBLANK(Record!E1562),"",Record!E1562)</f>
        <v/>
      </c>
      <c r="M1561" t="str">
        <f t="shared" si="168"/>
        <v xml:space="preserve">          </v>
      </c>
      <c r="N1561" s="227" t="str">
        <f t="shared" si="169"/>
        <v/>
      </c>
      <c r="X1561" t="str">
        <f t="shared" si="170"/>
        <v xml:space="preserve">          </v>
      </c>
      <c r="Y1561" s="227" t="str">
        <f t="shared" si="171"/>
        <v/>
      </c>
      <c r="Z1561" t="str">
        <f t="shared" si="172"/>
        <v/>
      </c>
      <c r="AL1561" t="str">
        <f t="shared" si="173"/>
        <v/>
      </c>
      <c r="AM1561" t="str">
        <f t="shared" si="174"/>
        <v/>
      </c>
    </row>
    <row r="1562" spans="1:39">
      <c r="A1562" t="str">
        <f>IF(ISBLANK(Record!A1563),"",Record!A1563)</f>
        <v/>
      </c>
      <c r="B1562" t="str">
        <f>IF(ISBLANK(Record!B1563),"",Record!B1563)</f>
        <v/>
      </c>
      <c r="C1562" s="227" t="str">
        <f>IF(ISBLANK(Record!C1563),"",Record!C1563)</f>
        <v/>
      </c>
      <c r="D1562" t="str">
        <f>IF(ISBLANK(Record!D1563),"",Record!D1563)</f>
        <v/>
      </c>
      <c r="E1562" t="str">
        <f>IF(ISBLANK(Record!E1563),"",Record!E1563)</f>
        <v/>
      </c>
      <c r="M1562" t="str">
        <f t="shared" si="168"/>
        <v xml:space="preserve">          </v>
      </c>
      <c r="N1562" s="227" t="str">
        <f t="shared" si="169"/>
        <v/>
      </c>
      <c r="X1562" t="str">
        <f t="shared" si="170"/>
        <v xml:space="preserve">          </v>
      </c>
      <c r="Y1562" s="227" t="str">
        <f t="shared" si="171"/>
        <v/>
      </c>
      <c r="Z1562" t="str">
        <f t="shared" si="172"/>
        <v/>
      </c>
      <c r="AL1562" t="str">
        <f t="shared" si="173"/>
        <v/>
      </c>
      <c r="AM1562" t="str">
        <f t="shared" si="174"/>
        <v/>
      </c>
    </row>
    <row r="1563" spans="1:39">
      <c r="A1563" t="str">
        <f>IF(ISBLANK(Record!A1564),"",Record!A1564)</f>
        <v/>
      </c>
      <c r="B1563" t="str">
        <f>IF(ISBLANK(Record!B1564),"",Record!B1564)</f>
        <v/>
      </c>
      <c r="C1563" s="227" t="str">
        <f>IF(ISBLANK(Record!C1564),"",Record!C1564)</f>
        <v/>
      </c>
      <c r="D1563" t="str">
        <f>IF(ISBLANK(Record!D1564),"",Record!D1564)</f>
        <v/>
      </c>
      <c r="E1563" t="str">
        <f>IF(ISBLANK(Record!E1564),"",Record!E1564)</f>
        <v/>
      </c>
      <c r="M1563" t="str">
        <f t="shared" si="168"/>
        <v xml:space="preserve">          </v>
      </c>
      <c r="N1563" s="227" t="str">
        <f t="shared" si="169"/>
        <v/>
      </c>
      <c r="X1563" t="str">
        <f t="shared" si="170"/>
        <v xml:space="preserve">          </v>
      </c>
      <c r="Y1563" s="227" t="str">
        <f t="shared" si="171"/>
        <v/>
      </c>
      <c r="Z1563" t="str">
        <f t="shared" si="172"/>
        <v/>
      </c>
      <c r="AL1563" t="str">
        <f t="shared" si="173"/>
        <v/>
      </c>
      <c r="AM1563" t="str">
        <f t="shared" si="174"/>
        <v/>
      </c>
    </row>
    <row r="1564" spans="1:39">
      <c r="A1564" t="str">
        <f>IF(ISBLANK(Record!A1565),"",Record!A1565)</f>
        <v/>
      </c>
      <c r="B1564" t="str">
        <f>IF(ISBLANK(Record!B1565),"",Record!B1565)</f>
        <v/>
      </c>
      <c r="C1564" s="227" t="str">
        <f>IF(ISBLANK(Record!C1565),"",Record!C1565)</f>
        <v/>
      </c>
      <c r="D1564" t="str">
        <f>IF(ISBLANK(Record!D1565),"",Record!D1565)</f>
        <v/>
      </c>
      <c r="E1564" t="str">
        <f>IF(ISBLANK(Record!E1565),"",Record!E1565)</f>
        <v/>
      </c>
      <c r="M1564" t="str">
        <f t="shared" si="168"/>
        <v xml:space="preserve">          </v>
      </c>
      <c r="N1564" s="227" t="str">
        <f t="shared" si="169"/>
        <v/>
      </c>
      <c r="X1564" t="str">
        <f t="shared" si="170"/>
        <v xml:space="preserve">          </v>
      </c>
      <c r="Y1564" s="227" t="str">
        <f t="shared" si="171"/>
        <v/>
      </c>
      <c r="Z1564" t="str">
        <f t="shared" si="172"/>
        <v/>
      </c>
      <c r="AL1564" t="str">
        <f t="shared" si="173"/>
        <v/>
      </c>
      <c r="AM1564" t="str">
        <f t="shared" si="174"/>
        <v/>
      </c>
    </row>
    <row r="1565" spans="1:39">
      <c r="A1565" t="str">
        <f>IF(ISBLANK(Record!A1566),"",Record!A1566)</f>
        <v/>
      </c>
      <c r="B1565" t="str">
        <f>IF(ISBLANK(Record!B1566),"",Record!B1566)</f>
        <v/>
      </c>
      <c r="C1565" s="227" t="str">
        <f>IF(ISBLANK(Record!C1566),"",Record!C1566)</f>
        <v/>
      </c>
      <c r="D1565" t="str">
        <f>IF(ISBLANK(Record!D1566),"",Record!D1566)</f>
        <v/>
      </c>
      <c r="E1565" t="str">
        <f>IF(ISBLANK(Record!E1566),"",Record!E1566)</f>
        <v/>
      </c>
      <c r="M1565" t="str">
        <f t="shared" si="168"/>
        <v xml:space="preserve">          </v>
      </c>
      <c r="N1565" s="227" t="str">
        <f t="shared" si="169"/>
        <v/>
      </c>
      <c r="X1565" t="str">
        <f t="shared" si="170"/>
        <v xml:space="preserve">          </v>
      </c>
      <c r="Y1565" s="227" t="str">
        <f t="shared" si="171"/>
        <v/>
      </c>
      <c r="Z1565" t="str">
        <f t="shared" si="172"/>
        <v/>
      </c>
      <c r="AL1565" t="str">
        <f t="shared" si="173"/>
        <v/>
      </c>
      <c r="AM1565" t="str">
        <f t="shared" si="174"/>
        <v/>
      </c>
    </row>
    <row r="1566" spans="1:39">
      <c r="A1566" t="str">
        <f>IF(ISBLANK(Record!A1567),"",Record!A1567)</f>
        <v/>
      </c>
      <c r="B1566" t="str">
        <f>IF(ISBLANK(Record!B1567),"",Record!B1567)</f>
        <v/>
      </c>
      <c r="C1566" s="227" t="str">
        <f>IF(ISBLANK(Record!C1567),"",Record!C1567)</f>
        <v/>
      </c>
      <c r="D1566" t="str">
        <f>IF(ISBLANK(Record!D1567),"",Record!D1567)</f>
        <v/>
      </c>
      <c r="E1566" t="str">
        <f>IF(ISBLANK(Record!E1567),"",Record!E1567)</f>
        <v/>
      </c>
      <c r="M1566" t="str">
        <f t="shared" si="168"/>
        <v xml:space="preserve">          </v>
      </c>
      <c r="N1566" s="227" t="str">
        <f t="shared" si="169"/>
        <v/>
      </c>
      <c r="X1566" t="str">
        <f t="shared" si="170"/>
        <v xml:space="preserve">          </v>
      </c>
      <c r="Y1566" s="227" t="str">
        <f t="shared" si="171"/>
        <v/>
      </c>
      <c r="Z1566" t="str">
        <f t="shared" si="172"/>
        <v/>
      </c>
      <c r="AL1566" t="str">
        <f t="shared" si="173"/>
        <v/>
      </c>
      <c r="AM1566" t="str">
        <f t="shared" si="174"/>
        <v/>
      </c>
    </row>
    <row r="1567" spans="1:39">
      <c r="A1567" t="str">
        <f>IF(ISBLANK(Record!A1568),"",Record!A1568)</f>
        <v/>
      </c>
      <c r="B1567" t="str">
        <f>IF(ISBLANK(Record!B1568),"",Record!B1568)</f>
        <v/>
      </c>
      <c r="C1567" s="227" t="str">
        <f>IF(ISBLANK(Record!C1568),"",Record!C1568)</f>
        <v/>
      </c>
      <c r="D1567" t="str">
        <f>IF(ISBLANK(Record!D1568),"",Record!D1568)</f>
        <v/>
      </c>
      <c r="E1567" t="str">
        <f>IF(ISBLANK(Record!E1568),"",Record!E1568)</f>
        <v/>
      </c>
      <c r="M1567" t="str">
        <f t="shared" si="168"/>
        <v xml:space="preserve">          </v>
      </c>
      <c r="N1567" s="227" t="str">
        <f t="shared" si="169"/>
        <v/>
      </c>
      <c r="X1567" t="str">
        <f t="shared" si="170"/>
        <v xml:space="preserve">          </v>
      </c>
      <c r="Y1567" s="227" t="str">
        <f t="shared" si="171"/>
        <v/>
      </c>
      <c r="Z1567" t="str">
        <f t="shared" si="172"/>
        <v/>
      </c>
      <c r="AL1567" t="str">
        <f t="shared" si="173"/>
        <v/>
      </c>
      <c r="AM1567" t="str">
        <f t="shared" si="174"/>
        <v/>
      </c>
    </row>
    <row r="1568" spans="1:39">
      <c r="A1568" t="str">
        <f>IF(ISBLANK(Record!A1569),"",Record!A1569)</f>
        <v/>
      </c>
      <c r="B1568" t="str">
        <f>IF(ISBLANK(Record!B1569),"",Record!B1569)</f>
        <v/>
      </c>
      <c r="C1568" s="227" t="str">
        <f>IF(ISBLANK(Record!C1569),"",Record!C1569)</f>
        <v/>
      </c>
      <c r="D1568" t="str">
        <f>IF(ISBLANK(Record!D1569),"",Record!D1569)</f>
        <v/>
      </c>
      <c r="E1568" t="str">
        <f>IF(ISBLANK(Record!E1569),"",Record!E1569)</f>
        <v/>
      </c>
      <c r="M1568" t="str">
        <f t="shared" si="168"/>
        <v xml:space="preserve">          </v>
      </c>
      <c r="N1568" s="227" t="str">
        <f t="shared" si="169"/>
        <v/>
      </c>
      <c r="X1568" t="str">
        <f t="shared" si="170"/>
        <v xml:space="preserve">          </v>
      </c>
      <c r="Y1568" s="227" t="str">
        <f t="shared" si="171"/>
        <v/>
      </c>
      <c r="Z1568" t="str">
        <f t="shared" si="172"/>
        <v/>
      </c>
      <c r="AL1568" t="str">
        <f t="shared" si="173"/>
        <v/>
      </c>
      <c r="AM1568" t="str">
        <f t="shared" si="174"/>
        <v/>
      </c>
    </row>
    <row r="1569" spans="1:39">
      <c r="A1569" t="str">
        <f>IF(ISBLANK(Record!A1570),"",Record!A1570)</f>
        <v/>
      </c>
      <c r="B1569" t="str">
        <f>IF(ISBLANK(Record!B1570),"",Record!B1570)</f>
        <v/>
      </c>
      <c r="C1569" s="227" t="str">
        <f>IF(ISBLANK(Record!C1570),"",Record!C1570)</f>
        <v/>
      </c>
      <c r="D1569" t="str">
        <f>IF(ISBLANK(Record!D1570),"",Record!D1570)</f>
        <v/>
      </c>
      <c r="E1569" t="str">
        <f>IF(ISBLANK(Record!E1570),"",Record!E1570)</f>
        <v/>
      </c>
      <c r="M1569" t="str">
        <f t="shared" si="168"/>
        <v xml:space="preserve">          </v>
      </c>
      <c r="N1569" s="227" t="str">
        <f t="shared" si="169"/>
        <v/>
      </c>
      <c r="X1569" t="str">
        <f t="shared" si="170"/>
        <v xml:space="preserve">          </v>
      </c>
      <c r="Y1569" s="227" t="str">
        <f t="shared" si="171"/>
        <v/>
      </c>
      <c r="Z1569" t="str">
        <f t="shared" si="172"/>
        <v/>
      </c>
      <c r="AL1569" t="str">
        <f t="shared" si="173"/>
        <v/>
      </c>
      <c r="AM1569" t="str">
        <f t="shared" si="174"/>
        <v/>
      </c>
    </row>
    <row r="1570" spans="1:39">
      <c r="A1570" t="str">
        <f>IF(ISBLANK(Record!A1571),"",Record!A1571)</f>
        <v/>
      </c>
      <c r="B1570" t="str">
        <f>IF(ISBLANK(Record!B1571),"",Record!B1571)</f>
        <v/>
      </c>
      <c r="C1570" s="227" t="str">
        <f>IF(ISBLANK(Record!C1571),"",Record!C1571)</f>
        <v/>
      </c>
      <c r="D1570" t="str">
        <f>IF(ISBLANK(Record!D1571),"",Record!D1571)</f>
        <v/>
      </c>
      <c r="E1570" t="str">
        <f>IF(ISBLANK(Record!E1571),"",Record!E1571)</f>
        <v/>
      </c>
      <c r="M1570" t="str">
        <f t="shared" si="168"/>
        <v xml:space="preserve">          </v>
      </c>
      <c r="N1570" s="227" t="str">
        <f t="shared" si="169"/>
        <v/>
      </c>
      <c r="X1570" t="str">
        <f t="shared" si="170"/>
        <v xml:space="preserve">          </v>
      </c>
      <c r="Y1570" s="227" t="str">
        <f t="shared" si="171"/>
        <v/>
      </c>
      <c r="Z1570" t="str">
        <f t="shared" si="172"/>
        <v/>
      </c>
      <c r="AL1570" t="str">
        <f t="shared" si="173"/>
        <v/>
      </c>
      <c r="AM1570" t="str">
        <f t="shared" si="174"/>
        <v/>
      </c>
    </row>
    <row r="1571" spans="1:39">
      <c r="A1571" t="str">
        <f>IF(ISBLANK(Record!A1572),"",Record!A1572)</f>
        <v/>
      </c>
      <c r="B1571" t="str">
        <f>IF(ISBLANK(Record!B1572),"",Record!B1572)</f>
        <v/>
      </c>
      <c r="C1571" s="227" t="str">
        <f>IF(ISBLANK(Record!C1572),"",Record!C1572)</f>
        <v/>
      </c>
      <c r="D1571" t="str">
        <f>IF(ISBLANK(Record!D1572),"",Record!D1572)</f>
        <v/>
      </c>
      <c r="E1571" t="str">
        <f>IF(ISBLANK(Record!E1572),"",Record!E1572)</f>
        <v/>
      </c>
      <c r="M1571" t="str">
        <f t="shared" si="168"/>
        <v xml:space="preserve">          </v>
      </c>
      <c r="N1571" s="227" t="str">
        <f t="shared" si="169"/>
        <v/>
      </c>
      <c r="X1571" t="str">
        <f t="shared" si="170"/>
        <v xml:space="preserve">          </v>
      </c>
      <c r="Y1571" s="227" t="str">
        <f t="shared" si="171"/>
        <v/>
      </c>
      <c r="Z1571" t="str">
        <f t="shared" si="172"/>
        <v/>
      </c>
      <c r="AL1571" t="str">
        <f t="shared" si="173"/>
        <v/>
      </c>
      <c r="AM1571" t="str">
        <f t="shared" si="174"/>
        <v/>
      </c>
    </row>
    <row r="1572" spans="1:39">
      <c r="A1572" t="str">
        <f>IF(ISBLANK(Record!A1573),"",Record!A1573)</f>
        <v/>
      </c>
      <c r="B1572" t="str">
        <f>IF(ISBLANK(Record!B1573),"",Record!B1573)</f>
        <v/>
      </c>
      <c r="C1572" s="227" t="str">
        <f>IF(ISBLANK(Record!C1573),"",Record!C1573)</f>
        <v/>
      </c>
      <c r="D1572" t="str">
        <f>IF(ISBLANK(Record!D1573),"",Record!D1573)</f>
        <v/>
      </c>
      <c r="E1572" t="str">
        <f>IF(ISBLANK(Record!E1573),"",Record!E1573)</f>
        <v/>
      </c>
      <c r="M1572" t="str">
        <f t="shared" si="168"/>
        <v xml:space="preserve">          </v>
      </c>
      <c r="N1572" s="227" t="str">
        <f t="shared" si="169"/>
        <v/>
      </c>
      <c r="X1572" t="str">
        <f t="shared" si="170"/>
        <v xml:space="preserve">          </v>
      </c>
      <c r="Y1572" s="227" t="str">
        <f t="shared" si="171"/>
        <v/>
      </c>
      <c r="Z1572" t="str">
        <f t="shared" si="172"/>
        <v/>
      </c>
      <c r="AL1572" t="str">
        <f t="shared" si="173"/>
        <v/>
      </c>
      <c r="AM1572" t="str">
        <f t="shared" si="174"/>
        <v/>
      </c>
    </row>
    <row r="1573" spans="1:39">
      <c r="A1573" t="str">
        <f>IF(ISBLANK(Record!A1574),"",Record!A1574)</f>
        <v/>
      </c>
      <c r="B1573" t="str">
        <f>IF(ISBLANK(Record!B1574),"",Record!B1574)</f>
        <v/>
      </c>
      <c r="C1573" s="227" t="str">
        <f>IF(ISBLANK(Record!C1574),"",Record!C1574)</f>
        <v/>
      </c>
      <c r="D1573" t="str">
        <f>IF(ISBLANK(Record!D1574),"",Record!D1574)</f>
        <v/>
      </c>
      <c r="E1573" t="str">
        <f>IF(ISBLANK(Record!E1574),"",Record!E1574)</f>
        <v/>
      </c>
      <c r="M1573" t="str">
        <f t="shared" si="168"/>
        <v xml:space="preserve">          </v>
      </c>
      <c r="N1573" s="227" t="str">
        <f t="shared" si="169"/>
        <v/>
      </c>
      <c r="X1573" t="str">
        <f t="shared" si="170"/>
        <v xml:space="preserve">          </v>
      </c>
      <c r="Y1573" s="227" t="str">
        <f t="shared" si="171"/>
        <v/>
      </c>
      <c r="Z1573" t="str">
        <f t="shared" si="172"/>
        <v/>
      </c>
      <c r="AL1573" t="str">
        <f t="shared" si="173"/>
        <v/>
      </c>
      <c r="AM1573" t="str">
        <f t="shared" si="174"/>
        <v/>
      </c>
    </row>
    <row r="1574" spans="1:39">
      <c r="A1574" t="str">
        <f>IF(ISBLANK(Record!A1575),"",Record!A1575)</f>
        <v/>
      </c>
      <c r="B1574" t="str">
        <f>IF(ISBLANK(Record!B1575),"",Record!B1575)</f>
        <v/>
      </c>
      <c r="C1574" s="227" t="str">
        <f>IF(ISBLANK(Record!C1575),"",Record!C1575)</f>
        <v/>
      </c>
      <c r="D1574" t="str">
        <f>IF(ISBLANK(Record!D1575),"",Record!D1575)</f>
        <v/>
      </c>
      <c r="E1574" t="str">
        <f>IF(ISBLANK(Record!E1575),"",Record!E1575)</f>
        <v/>
      </c>
      <c r="M1574" t="str">
        <f t="shared" si="168"/>
        <v xml:space="preserve">          </v>
      </c>
      <c r="N1574" s="227" t="str">
        <f t="shared" si="169"/>
        <v/>
      </c>
      <c r="X1574" t="str">
        <f t="shared" si="170"/>
        <v xml:space="preserve">          </v>
      </c>
      <c r="Y1574" s="227" t="str">
        <f t="shared" si="171"/>
        <v/>
      </c>
      <c r="Z1574" t="str">
        <f t="shared" si="172"/>
        <v/>
      </c>
      <c r="AL1574" t="str">
        <f t="shared" si="173"/>
        <v/>
      </c>
      <c r="AM1574" t="str">
        <f t="shared" si="174"/>
        <v/>
      </c>
    </row>
    <row r="1575" spans="1:39">
      <c r="A1575" t="str">
        <f>IF(ISBLANK(Record!A1576),"",Record!A1576)</f>
        <v/>
      </c>
      <c r="B1575" t="str">
        <f>IF(ISBLANK(Record!B1576),"",Record!B1576)</f>
        <v/>
      </c>
      <c r="C1575" s="227" t="str">
        <f>IF(ISBLANK(Record!C1576),"",Record!C1576)</f>
        <v/>
      </c>
      <c r="D1575" t="str">
        <f>IF(ISBLANK(Record!D1576),"",Record!D1576)</f>
        <v/>
      </c>
      <c r="E1575" t="str">
        <f>IF(ISBLANK(Record!E1576),"",Record!E1576)</f>
        <v/>
      </c>
      <c r="M1575" t="str">
        <f t="shared" si="168"/>
        <v xml:space="preserve">          </v>
      </c>
      <c r="N1575" s="227" t="str">
        <f t="shared" si="169"/>
        <v/>
      </c>
      <c r="X1575" t="str">
        <f t="shared" si="170"/>
        <v xml:space="preserve">          </v>
      </c>
      <c r="Y1575" s="227" t="str">
        <f t="shared" si="171"/>
        <v/>
      </c>
      <c r="Z1575" t="str">
        <f t="shared" si="172"/>
        <v/>
      </c>
      <c r="AL1575" t="str">
        <f t="shared" si="173"/>
        <v/>
      </c>
      <c r="AM1575" t="str">
        <f t="shared" si="174"/>
        <v/>
      </c>
    </row>
    <row r="1576" spans="1:39">
      <c r="A1576" t="str">
        <f>IF(ISBLANK(Record!A1577),"",Record!A1577)</f>
        <v/>
      </c>
      <c r="B1576" t="str">
        <f>IF(ISBLANK(Record!B1577),"",Record!B1577)</f>
        <v/>
      </c>
      <c r="C1576" s="227" t="str">
        <f>IF(ISBLANK(Record!C1577),"",Record!C1577)</f>
        <v/>
      </c>
      <c r="D1576" t="str">
        <f>IF(ISBLANK(Record!D1577),"",Record!D1577)</f>
        <v/>
      </c>
      <c r="E1576" t="str">
        <f>IF(ISBLANK(Record!E1577),"",Record!E1577)</f>
        <v/>
      </c>
      <c r="M1576" t="str">
        <f t="shared" si="168"/>
        <v xml:space="preserve">          </v>
      </c>
      <c r="N1576" s="227" t="str">
        <f t="shared" si="169"/>
        <v/>
      </c>
      <c r="X1576" t="str">
        <f t="shared" si="170"/>
        <v xml:space="preserve">          </v>
      </c>
      <c r="Y1576" s="227" t="str">
        <f t="shared" si="171"/>
        <v/>
      </c>
      <c r="Z1576" t="str">
        <f t="shared" si="172"/>
        <v/>
      </c>
      <c r="AL1576" t="str">
        <f t="shared" si="173"/>
        <v/>
      </c>
      <c r="AM1576" t="str">
        <f t="shared" si="174"/>
        <v/>
      </c>
    </row>
    <row r="1577" spans="1:39">
      <c r="A1577" t="str">
        <f>IF(ISBLANK(Record!A1578),"",Record!A1578)</f>
        <v/>
      </c>
      <c r="B1577" t="str">
        <f>IF(ISBLANK(Record!B1578),"",Record!B1578)</f>
        <v/>
      </c>
      <c r="C1577" s="227" t="str">
        <f>IF(ISBLANK(Record!C1578),"",Record!C1578)</f>
        <v/>
      </c>
      <c r="D1577" t="str">
        <f>IF(ISBLANK(Record!D1578),"",Record!D1578)</f>
        <v/>
      </c>
      <c r="E1577" t="str">
        <f>IF(ISBLANK(Record!E1578),"",Record!E1578)</f>
        <v/>
      </c>
      <c r="M1577" t="str">
        <f t="shared" si="168"/>
        <v xml:space="preserve">          </v>
      </c>
      <c r="N1577" s="227" t="str">
        <f t="shared" si="169"/>
        <v/>
      </c>
      <c r="X1577" t="str">
        <f t="shared" si="170"/>
        <v xml:space="preserve">          </v>
      </c>
      <c r="Y1577" s="227" t="str">
        <f t="shared" si="171"/>
        <v/>
      </c>
      <c r="Z1577" t="str">
        <f t="shared" si="172"/>
        <v/>
      </c>
      <c r="AL1577" t="str">
        <f t="shared" si="173"/>
        <v/>
      </c>
      <c r="AM1577" t="str">
        <f t="shared" si="174"/>
        <v/>
      </c>
    </row>
    <row r="1578" spans="1:39">
      <c r="A1578" t="str">
        <f>IF(ISBLANK(Record!A1579),"",Record!A1579)</f>
        <v/>
      </c>
      <c r="B1578" t="str">
        <f>IF(ISBLANK(Record!B1579),"",Record!B1579)</f>
        <v/>
      </c>
      <c r="C1578" s="227" t="str">
        <f>IF(ISBLANK(Record!C1579),"",Record!C1579)</f>
        <v/>
      </c>
      <c r="D1578" t="str">
        <f>IF(ISBLANK(Record!D1579),"",Record!D1579)</f>
        <v/>
      </c>
      <c r="E1578" t="str">
        <f>IF(ISBLANK(Record!E1579),"",Record!E1579)</f>
        <v/>
      </c>
      <c r="M1578" t="str">
        <f t="shared" si="168"/>
        <v xml:space="preserve">          </v>
      </c>
      <c r="N1578" s="227" t="str">
        <f t="shared" si="169"/>
        <v/>
      </c>
      <c r="X1578" t="str">
        <f t="shared" si="170"/>
        <v xml:space="preserve">          </v>
      </c>
      <c r="Y1578" s="227" t="str">
        <f t="shared" si="171"/>
        <v/>
      </c>
      <c r="Z1578" t="str">
        <f t="shared" si="172"/>
        <v/>
      </c>
      <c r="AL1578" t="str">
        <f t="shared" si="173"/>
        <v/>
      </c>
      <c r="AM1578" t="str">
        <f t="shared" si="174"/>
        <v/>
      </c>
    </row>
    <row r="1579" spans="1:39">
      <c r="A1579" t="str">
        <f>IF(ISBLANK(Record!A1580),"",Record!A1580)</f>
        <v/>
      </c>
      <c r="B1579" t="str">
        <f>IF(ISBLANK(Record!B1580),"",Record!B1580)</f>
        <v/>
      </c>
      <c r="C1579" s="227" t="str">
        <f>IF(ISBLANK(Record!C1580),"",Record!C1580)</f>
        <v/>
      </c>
      <c r="D1579" t="str">
        <f>IF(ISBLANK(Record!D1580),"",Record!D1580)</f>
        <v/>
      </c>
      <c r="E1579" t="str">
        <f>IF(ISBLANK(Record!E1580),"",Record!E1580)</f>
        <v/>
      </c>
      <c r="M1579" t="str">
        <f t="shared" si="168"/>
        <v xml:space="preserve">          </v>
      </c>
      <c r="N1579" s="227" t="str">
        <f t="shared" si="169"/>
        <v/>
      </c>
      <c r="X1579" t="str">
        <f t="shared" si="170"/>
        <v xml:space="preserve">          </v>
      </c>
      <c r="Y1579" s="227" t="str">
        <f t="shared" si="171"/>
        <v/>
      </c>
      <c r="Z1579" t="str">
        <f t="shared" si="172"/>
        <v/>
      </c>
      <c r="AL1579" t="str">
        <f t="shared" si="173"/>
        <v/>
      </c>
      <c r="AM1579" t="str">
        <f t="shared" si="174"/>
        <v/>
      </c>
    </row>
    <row r="1580" spans="1:39">
      <c r="A1580" t="str">
        <f>IF(ISBLANK(Record!A1581),"",Record!A1581)</f>
        <v/>
      </c>
      <c r="B1580" t="str">
        <f>IF(ISBLANK(Record!B1581),"",Record!B1581)</f>
        <v/>
      </c>
      <c r="C1580" s="227" t="str">
        <f>IF(ISBLANK(Record!C1581),"",Record!C1581)</f>
        <v/>
      </c>
      <c r="D1580" t="str">
        <f>IF(ISBLANK(Record!D1581),"",Record!D1581)</f>
        <v/>
      </c>
      <c r="E1580" t="str">
        <f>IF(ISBLANK(Record!E1581),"",Record!E1581)</f>
        <v/>
      </c>
      <c r="M1580" t="str">
        <f t="shared" si="168"/>
        <v xml:space="preserve">          </v>
      </c>
      <c r="N1580" s="227" t="str">
        <f t="shared" si="169"/>
        <v/>
      </c>
      <c r="X1580" t="str">
        <f t="shared" si="170"/>
        <v xml:space="preserve">          </v>
      </c>
      <c r="Y1580" s="227" t="str">
        <f t="shared" si="171"/>
        <v/>
      </c>
      <c r="Z1580" t="str">
        <f t="shared" si="172"/>
        <v/>
      </c>
      <c r="AL1580" t="str">
        <f t="shared" si="173"/>
        <v/>
      </c>
      <c r="AM1580" t="str">
        <f t="shared" si="174"/>
        <v/>
      </c>
    </row>
    <row r="1581" spans="1:39">
      <c r="A1581" t="str">
        <f>IF(ISBLANK(Record!A1582),"",Record!A1582)</f>
        <v/>
      </c>
      <c r="B1581" t="str">
        <f>IF(ISBLANK(Record!B1582),"",Record!B1582)</f>
        <v/>
      </c>
      <c r="C1581" s="227" t="str">
        <f>IF(ISBLANK(Record!C1582),"",Record!C1582)</f>
        <v/>
      </c>
      <c r="D1581" t="str">
        <f>IF(ISBLANK(Record!D1582),"",Record!D1582)</f>
        <v/>
      </c>
      <c r="E1581" t="str">
        <f>IF(ISBLANK(Record!E1582),"",Record!E1582)</f>
        <v/>
      </c>
      <c r="M1581" t="str">
        <f t="shared" si="168"/>
        <v xml:space="preserve">          </v>
      </c>
      <c r="N1581" s="227" t="str">
        <f t="shared" si="169"/>
        <v/>
      </c>
      <c r="X1581" t="str">
        <f t="shared" si="170"/>
        <v xml:space="preserve">          </v>
      </c>
      <c r="Y1581" s="227" t="str">
        <f t="shared" si="171"/>
        <v/>
      </c>
      <c r="Z1581" t="str">
        <f t="shared" si="172"/>
        <v/>
      </c>
      <c r="AL1581" t="str">
        <f t="shared" si="173"/>
        <v/>
      </c>
      <c r="AM1581" t="str">
        <f t="shared" si="174"/>
        <v/>
      </c>
    </row>
    <row r="1582" spans="1:39">
      <c r="A1582" t="str">
        <f>IF(ISBLANK(Record!A1583),"",Record!A1583)</f>
        <v/>
      </c>
      <c r="B1582" t="str">
        <f>IF(ISBLANK(Record!B1583),"",Record!B1583)</f>
        <v/>
      </c>
      <c r="C1582" s="227" t="str">
        <f>IF(ISBLANK(Record!C1583),"",Record!C1583)</f>
        <v/>
      </c>
      <c r="D1582" t="str">
        <f>IF(ISBLANK(Record!D1583),"",Record!D1583)</f>
        <v/>
      </c>
      <c r="E1582" t="str">
        <f>IF(ISBLANK(Record!E1583),"",Record!E1583)</f>
        <v/>
      </c>
      <c r="M1582" t="str">
        <f t="shared" si="168"/>
        <v xml:space="preserve">          </v>
      </c>
      <c r="N1582" s="227" t="str">
        <f t="shared" si="169"/>
        <v/>
      </c>
      <c r="X1582" t="str">
        <f t="shared" si="170"/>
        <v xml:space="preserve">          </v>
      </c>
      <c r="Y1582" s="227" t="str">
        <f t="shared" si="171"/>
        <v/>
      </c>
      <c r="Z1582" t="str">
        <f t="shared" si="172"/>
        <v/>
      </c>
      <c r="AL1582" t="str">
        <f t="shared" si="173"/>
        <v/>
      </c>
      <c r="AM1582" t="str">
        <f t="shared" si="174"/>
        <v/>
      </c>
    </row>
    <row r="1583" spans="1:39">
      <c r="A1583" t="str">
        <f>IF(ISBLANK(Record!A1584),"",Record!A1584)</f>
        <v/>
      </c>
      <c r="B1583" t="str">
        <f>IF(ISBLANK(Record!B1584),"",Record!B1584)</f>
        <v/>
      </c>
      <c r="C1583" s="227" t="str">
        <f>IF(ISBLANK(Record!C1584),"",Record!C1584)</f>
        <v/>
      </c>
      <c r="D1583" t="str">
        <f>IF(ISBLANK(Record!D1584),"",Record!D1584)</f>
        <v/>
      </c>
      <c r="E1583" t="str">
        <f>IF(ISBLANK(Record!E1584),"",Record!E1584)</f>
        <v/>
      </c>
      <c r="M1583" t="str">
        <f t="shared" si="168"/>
        <v xml:space="preserve">          </v>
      </c>
      <c r="N1583" s="227" t="str">
        <f t="shared" si="169"/>
        <v/>
      </c>
      <c r="X1583" t="str">
        <f t="shared" si="170"/>
        <v xml:space="preserve">          </v>
      </c>
      <c r="Y1583" s="227" t="str">
        <f t="shared" si="171"/>
        <v/>
      </c>
      <c r="Z1583" t="str">
        <f t="shared" si="172"/>
        <v/>
      </c>
      <c r="AL1583" t="str">
        <f t="shared" si="173"/>
        <v/>
      </c>
      <c r="AM1583" t="str">
        <f t="shared" si="174"/>
        <v/>
      </c>
    </row>
    <row r="1584" spans="1:39">
      <c r="A1584" t="str">
        <f>IF(ISBLANK(Record!A1585),"",Record!A1585)</f>
        <v/>
      </c>
      <c r="B1584" t="str">
        <f>IF(ISBLANK(Record!B1585),"",Record!B1585)</f>
        <v/>
      </c>
      <c r="C1584" s="227" t="str">
        <f>IF(ISBLANK(Record!C1585),"",Record!C1585)</f>
        <v/>
      </c>
      <c r="D1584" t="str">
        <f>IF(ISBLANK(Record!D1585),"",Record!D1585)</f>
        <v/>
      </c>
      <c r="E1584" t="str">
        <f>IF(ISBLANK(Record!E1585),"",Record!E1585)</f>
        <v/>
      </c>
      <c r="M1584" t="str">
        <f t="shared" si="168"/>
        <v xml:space="preserve">          </v>
      </c>
      <c r="N1584" s="227" t="str">
        <f t="shared" si="169"/>
        <v/>
      </c>
      <c r="X1584" t="str">
        <f t="shared" si="170"/>
        <v xml:space="preserve">          </v>
      </c>
      <c r="Y1584" s="227" t="str">
        <f t="shared" si="171"/>
        <v/>
      </c>
      <c r="Z1584" t="str">
        <f t="shared" si="172"/>
        <v/>
      </c>
      <c r="AL1584" t="str">
        <f t="shared" si="173"/>
        <v/>
      </c>
      <c r="AM1584" t="str">
        <f t="shared" si="174"/>
        <v/>
      </c>
    </row>
    <row r="1585" spans="1:39">
      <c r="A1585" t="str">
        <f>IF(ISBLANK(Record!A1586),"",Record!A1586)</f>
        <v/>
      </c>
      <c r="B1585" t="str">
        <f>IF(ISBLANK(Record!B1586),"",Record!B1586)</f>
        <v/>
      </c>
      <c r="C1585" s="227" t="str">
        <f>IF(ISBLANK(Record!C1586),"",Record!C1586)</f>
        <v/>
      </c>
      <c r="D1585" t="str">
        <f>IF(ISBLANK(Record!D1586),"",Record!D1586)</f>
        <v/>
      </c>
      <c r="E1585" t="str">
        <f>IF(ISBLANK(Record!E1586),"",Record!E1586)</f>
        <v/>
      </c>
      <c r="M1585" t="str">
        <f t="shared" si="168"/>
        <v xml:space="preserve">          </v>
      </c>
      <c r="N1585" s="227" t="str">
        <f t="shared" si="169"/>
        <v/>
      </c>
      <c r="X1585" t="str">
        <f t="shared" si="170"/>
        <v xml:space="preserve">          </v>
      </c>
      <c r="Y1585" s="227" t="str">
        <f t="shared" si="171"/>
        <v/>
      </c>
      <c r="Z1585" t="str">
        <f t="shared" si="172"/>
        <v/>
      </c>
      <c r="AL1585" t="str">
        <f t="shared" si="173"/>
        <v/>
      </c>
      <c r="AM1585" t="str">
        <f t="shared" si="174"/>
        <v/>
      </c>
    </row>
    <row r="1586" spans="1:39">
      <c r="A1586" t="str">
        <f>IF(ISBLANK(Record!A1587),"",Record!A1587)</f>
        <v/>
      </c>
      <c r="B1586" t="str">
        <f>IF(ISBLANK(Record!B1587),"",Record!B1587)</f>
        <v/>
      </c>
      <c r="C1586" s="227" t="str">
        <f>IF(ISBLANK(Record!C1587),"",Record!C1587)</f>
        <v/>
      </c>
      <c r="D1586" t="str">
        <f>IF(ISBLANK(Record!D1587),"",Record!D1587)</f>
        <v/>
      </c>
      <c r="E1586" t="str">
        <f>IF(ISBLANK(Record!E1587),"",Record!E1587)</f>
        <v/>
      </c>
      <c r="M1586" t="str">
        <f t="shared" si="168"/>
        <v xml:space="preserve">          </v>
      </c>
      <c r="N1586" s="227" t="str">
        <f t="shared" si="169"/>
        <v/>
      </c>
      <c r="X1586" t="str">
        <f t="shared" si="170"/>
        <v xml:space="preserve">          </v>
      </c>
      <c r="Y1586" s="227" t="str">
        <f t="shared" si="171"/>
        <v/>
      </c>
      <c r="Z1586" t="str">
        <f t="shared" si="172"/>
        <v/>
      </c>
      <c r="AL1586" t="str">
        <f t="shared" si="173"/>
        <v/>
      </c>
      <c r="AM1586" t="str">
        <f t="shared" si="174"/>
        <v/>
      </c>
    </row>
    <row r="1587" spans="1:39">
      <c r="A1587" t="str">
        <f>IF(ISBLANK(Record!A1588),"",Record!A1588)</f>
        <v/>
      </c>
      <c r="B1587" t="str">
        <f>IF(ISBLANK(Record!B1588),"",Record!B1588)</f>
        <v/>
      </c>
      <c r="C1587" s="227" t="str">
        <f>IF(ISBLANK(Record!C1588),"",Record!C1588)</f>
        <v/>
      </c>
      <c r="D1587" t="str">
        <f>IF(ISBLANK(Record!D1588),"",Record!D1588)</f>
        <v/>
      </c>
      <c r="E1587" t="str">
        <f>IF(ISBLANK(Record!E1588),"",Record!E1588)</f>
        <v/>
      </c>
      <c r="M1587" t="str">
        <f t="shared" si="168"/>
        <v xml:space="preserve">          </v>
      </c>
      <c r="N1587" s="227" t="str">
        <f t="shared" si="169"/>
        <v/>
      </c>
      <c r="X1587" t="str">
        <f t="shared" si="170"/>
        <v xml:space="preserve">          </v>
      </c>
      <c r="Y1587" s="227" t="str">
        <f t="shared" si="171"/>
        <v/>
      </c>
      <c r="Z1587" t="str">
        <f t="shared" si="172"/>
        <v/>
      </c>
      <c r="AL1587" t="str">
        <f t="shared" si="173"/>
        <v/>
      </c>
      <c r="AM1587" t="str">
        <f t="shared" si="174"/>
        <v/>
      </c>
    </row>
    <row r="1588" spans="1:39">
      <c r="A1588" t="str">
        <f>IF(ISBLANK(Record!A1589),"",Record!A1589)</f>
        <v/>
      </c>
      <c r="B1588" t="str">
        <f>IF(ISBLANK(Record!B1589),"",Record!B1589)</f>
        <v/>
      </c>
      <c r="C1588" s="227" t="str">
        <f>IF(ISBLANK(Record!C1589),"",Record!C1589)</f>
        <v/>
      </c>
      <c r="D1588" t="str">
        <f>IF(ISBLANK(Record!D1589),"",Record!D1589)</f>
        <v/>
      </c>
      <c r="E1588" t="str">
        <f>IF(ISBLANK(Record!E1589),"",Record!E1589)</f>
        <v/>
      </c>
      <c r="M1588" t="str">
        <f t="shared" si="168"/>
        <v xml:space="preserve">          </v>
      </c>
      <c r="N1588" s="227" t="str">
        <f t="shared" si="169"/>
        <v/>
      </c>
      <c r="X1588" t="str">
        <f t="shared" si="170"/>
        <v xml:space="preserve">          </v>
      </c>
      <c r="Y1588" s="227" t="str">
        <f t="shared" si="171"/>
        <v/>
      </c>
      <c r="Z1588" t="str">
        <f t="shared" si="172"/>
        <v/>
      </c>
      <c r="AL1588" t="str">
        <f t="shared" si="173"/>
        <v/>
      </c>
      <c r="AM1588" t="str">
        <f t="shared" si="174"/>
        <v/>
      </c>
    </row>
    <row r="1589" spans="1:39">
      <c r="A1589" t="str">
        <f>IF(ISBLANK(Record!A1590),"",Record!A1590)</f>
        <v/>
      </c>
      <c r="B1589" t="str">
        <f>IF(ISBLANK(Record!B1590),"",Record!B1590)</f>
        <v/>
      </c>
      <c r="C1589" s="227" t="str">
        <f>IF(ISBLANK(Record!C1590),"",Record!C1590)</f>
        <v/>
      </c>
      <c r="D1589" t="str">
        <f>IF(ISBLANK(Record!D1590),"",Record!D1590)</f>
        <v/>
      </c>
      <c r="E1589" t="str">
        <f>IF(ISBLANK(Record!E1590),"",Record!E1590)</f>
        <v/>
      </c>
      <c r="M1589" t="str">
        <f t="shared" si="168"/>
        <v xml:space="preserve">          </v>
      </c>
      <c r="N1589" s="227" t="str">
        <f t="shared" si="169"/>
        <v/>
      </c>
      <c r="X1589" t="str">
        <f t="shared" si="170"/>
        <v xml:space="preserve">          </v>
      </c>
      <c r="Y1589" s="227" t="str">
        <f t="shared" si="171"/>
        <v/>
      </c>
      <c r="Z1589" t="str">
        <f t="shared" si="172"/>
        <v/>
      </c>
      <c r="AL1589" t="str">
        <f t="shared" si="173"/>
        <v/>
      </c>
      <c r="AM1589" t="str">
        <f t="shared" si="174"/>
        <v/>
      </c>
    </row>
    <row r="1590" spans="1:39">
      <c r="A1590" t="str">
        <f>IF(ISBLANK(Record!A1591),"",Record!A1591)</f>
        <v/>
      </c>
      <c r="B1590" t="str">
        <f>IF(ISBLANK(Record!B1591),"",Record!B1591)</f>
        <v/>
      </c>
      <c r="C1590" s="227" t="str">
        <f>IF(ISBLANK(Record!C1591),"",Record!C1591)</f>
        <v/>
      </c>
      <c r="D1590" t="str">
        <f>IF(ISBLANK(Record!D1591),"",Record!D1591)</f>
        <v/>
      </c>
      <c r="E1590" t="str">
        <f>IF(ISBLANK(Record!E1591),"",Record!E1591)</f>
        <v/>
      </c>
      <c r="M1590" t="str">
        <f t="shared" si="168"/>
        <v xml:space="preserve">          </v>
      </c>
      <c r="N1590" s="227" t="str">
        <f t="shared" si="169"/>
        <v/>
      </c>
      <c r="X1590" t="str">
        <f t="shared" si="170"/>
        <v xml:space="preserve">          </v>
      </c>
      <c r="Y1590" s="227" t="str">
        <f t="shared" si="171"/>
        <v/>
      </c>
      <c r="Z1590" t="str">
        <f t="shared" si="172"/>
        <v/>
      </c>
      <c r="AL1590" t="str">
        <f t="shared" si="173"/>
        <v/>
      </c>
      <c r="AM1590" t="str">
        <f t="shared" si="174"/>
        <v/>
      </c>
    </row>
    <row r="1591" spans="1:39">
      <c r="A1591" t="str">
        <f>IF(ISBLANK(Record!A1592),"",Record!A1592)</f>
        <v/>
      </c>
      <c r="B1591" t="str">
        <f>IF(ISBLANK(Record!B1592),"",Record!B1592)</f>
        <v/>
      </c>
      <c r="C1591" s="227" t="str">
        <f>IF(ISBLANK(Record!C1592),"",Record!C1592)</f>
        <v/>
      </c>
      <c r="D1591" t="str">
        <f>IF(ISBLANK(Record!D1592),"",Record!D1592)</f>
        <v/>
      </c>
      <c r="E1591" t="str">
        <f>IF(ISBLANK(Record!E1592),"",Record!E1592)</f>
        <v/>
      </c>
      <c r="M1591" t="str">
        <f t="shared" si="168"/>
        <v xml:space="preserve">          </v>
      </c>
      <c r="N1591" s="227" t="str">
        <f t="shared" si="169"/>
        <v/>
      </c>
      <c r="X1591" t="str">
        <f t="shared" si="170"/>
        <v xml:space="preserve">          </v>
      </c>
      <c r="Y1591" s="227" t="str">
        <f t="shared" si="171"/>
        <v/>
      </c>
      <c r="Z1591" t="str">
        <f t="shared" si="172"/>
        <v/>
      </c>
      <c r="AL1591" t="str">
        <f t="shared" si="173"/>
        <v/>
      </c>
      <c r="AM1591" t="str">
        <f t="shared" si="174"/>
        <v/>
      </c>
    </row>
    <row r="1592" spans="1:39">
      <c r="A1592" t="str">
        <f>IF(ISBLANK(Record!A1593),"",Record!A1593)</f>
        <v/>
      </c>
      <c r="B1592" t="str">
        <f>IF(ISBLANK(Record!B1593),"",Record!B1593)</f>
        <v/>
      </c>
      <c r="C1592" s="227" t="str">
        <f>IF(ISBLANK(Record!C1593),"",Record!C1593)</f>
        <v/>
      </c>
      <c r="D1592" t="str">
        <f>IF(ISBLANK(Record!D1593),"",Record!D1593)</f>
        <v/>
      </c>
      <c r="E1592" t="str">
        <f>IF(ISBLANK(Record!E1593),"",Record!E1593)</f>
        <v/>
      </c>
      <c r="M1592" t="str">
        <f t="shared" si="168"/>
        <v xml:space="preserve">          </v>
      </c>
      <c r="N1592" s="227" t="str">
        <f t="shared" si="169"/>
        <v/>
      </c>
      <c r="X1592" t="str">
        <f t="shared" si="170"/>
        <v xml:space="preserve">          </v>
      </c>
      <c r="Y1592" s="227" t="str">
        <f t="shared" si="171"/>
        <v/>
      </c>
      <c r="Z1592" t="str">
        <f t="shared" si="172"/>
        <v/>
      </c>
      <c r="AL1592" t="str">
        <f t="shared" si="173"/>
        <v/>
      </c>
      <c r="AM1592" t="str">
        <f t="shared" si="174"/>
        <v/>
      </c>
    </row>
    <row r="1593" spans="1:39">
      <c r="A1593" t="str">
        <f>IF(ISBLANK(Record!A1594),"",Record!A1594)</f>
        <v/>
      </c>
      <c r="B1593" t="str">
        <f>IF(ISBLANK(Record!B1594),"",Record!B1594)</f>
        <v/>
      </c>
      <c r="C1593" s="227" t="str">
        <f>IF(ISBLANK(Record!C1594),"",Record!C1594)</f>
        <v/>
      </c>
      <c r="D1593" t="str">
        <f>IF(ISBLANK(Record!D1594),"",Record!D1594)</f>
        <v/>
      </c>
      <c r="E1593" t="str">
        <f>IF(ISBLANK(Record!E1594),"",Record!E1594)</f>
        <v/>
      </c>
      <c r="M1593" t="str">
        <f t="shared" si="168"/>
        <v xml:space="preserve">          </v>
      </c>
      <c r="N1593" s="227" t="str">
        <f t="shared" si="169"/>
        <v/>
      </c>
      <c r="X1593" t="str">
        <f t="shared" si="170"/>
        <v xml:space="preserve">          </v>
      </c>
      <c r="Y1593" s="227" t="str">
        <f t="shared" si="171"/>
        <v/>
      </c>
      <c r="Z1593" t="str">
        <f t="shared" si="172"/>
        <v/>
      </c>
      <c r="AL1593" t="str">
        <f t="shared" si="173"/>
        <v/>
      </c>
      <c r="AM1593" t="str">
        <f t="shared" si="174"/>
        <v/>
      </c>
    </row>
    <row r="1594" spans="1:39">
      <c r="A1594" t="str">
        <f>IF(ISBLANK(Record!A1595),"",Record!A1595)</f>
        <v/>
      </c>
      <c r="B1594" t="str">
        <f>IF(ISBLANK(Record!B1595),"",Record!B1595)</f>
        <v/>
      </c>
      <c r="C1594" s="227" t="str">
        <f>IF(ISBLANK(Record!C1595),"",Record!C1595)</f>
        <v/>
      </c>
      <c r="D1594" t="str">
        <f>IF(ISBLANK(Record!D1595),"",Record!D1595)</f>
        <v/>
      </c>
      <c r="E1594" t="str">
        <f>IF(ISBLANK(Record!E1595),"",Record!E1595)</f>
        <v/>
      </c>
      <c r="M1594" t="str">
        <f t="shared" si="168"/>
        <v xml:space="preserve">          </v>
      </c>
      <c r="N1594" s="227" t="str">
        <f t="shared" si="169"/>
        <v/>
      </c>
      <c r="X1594" t="str">
        <f t="shared" si="170"/>
        <v xml:space="preserve">          </v>
      </c>
      <c r="Y1594" s="227" t="str">
        <f t="shared" si="171"/>
        <v/>
      </c>
      <c r="Z1594" t="str">
        <f t="shared" si="172"/>
        <v/>
      </c>
      <c r="AL1594" t="str">
        <f t="shared" si="173"/>
        <v/>
      </c>
      <c r="AM1594" t="str">
        <f t="shared" si="174"/>
        <v/>
      </c>
    </row>
    <row r="1595" spans="1:39">
      <c r="A1595" t="str">
        <f>IF(ISBLANK(Record!A1596),"",Record!A1596)</f>
        <v/>
      </c>
      <c r="B1595" t="str">
        <f>IF(ISBLANK(Record!B1596),"",Record!B1596)</f>
        <v/>
      </c>
      <c r="C1595" s="227" t="str">
        <f>IF(ISBLANK(Record!C1596),"",Record!C1596)</f>
        <v/>
      </c>
      <c r="D1595" t="str">
        <f>IF(ISBLANK(Record!D1596),"",Record!D1596)</f>
        <v/>
      </c>
      <c r="E1595" t="str">
        <f>IF(ISBLANK(Record!E1596),"",Record!E1596)</f>
        <v/>
      </c>
      <c r="M1595" t="str">
        <f t="shared" si="168"/>
        <v xml:space="preserve">          </v>
      </c>
      <c r="N1595" s="227" t="str">
        <f t="shared" si="169"/>
        <v/>
      </c>
      <c r="X1595" t="str">
        <f t="shared" si="170"/>
        <v xml:space="preserve">          </v>
      </c>
      <c r="Y1595" s="227" t="str">
        <f t="shared" si="171"/>
        <v/>
      </c>
      <c r="Z1595" t="str">
        <f t="shared" si="172"/>
        <v/>
      </c>
      <c r="AL1595" t="str">
        <f t="shared" si="173"/>
        <v/>
      </c>
      <c r="AM1595" t="str">
        <f t="shared" si="174"/>
        <v/>
      </c>
    </row>
    <row r="1596" spans="1:39">
      <c r="A1596" t="str">
        <f>IF(ISBLANK(Record!A1597),"",Record!A1597)</f>
        <v/>
      </c>
      <c r="B1596" t="str">
        <f>IF(ISBLANK(Record!B1597),"",Record!B1597)</f>
        <v/>
      </c>
      <c r="C1596" s="227" t="str">
        <f>IF(ISBLANK(Record!C1597),"",Record!C1597)</f>
        <v/>
      </c>
      <c r="D1596" t="str">
        <f>IF(ISBLANK(Record!D1597),"",Record!D1597)</f>
        <v/>
      </c>
      <c r="E1596" t="str">
        <f>IF(ISBLANK(Record!E1597),"",Record!E1597)</f>
        <v/>
      </c>
      <c r="M1596" t="str">
        <f t="shared" si="168"/>
        <v xml:space="preserve">          </v>
      </c>
      <c r="N1596" s="227" t="str">
        <f t="shared" si="169"/>
        <v/>
      </c>
      <c r="X1596" t="str">
        <f t="shared" si="170"/>
        <v xml:space="preserve">          </v>
      </c>
      <c r="Y1596" s="227" t="str">
        <f t="shared" si="171"/>
        <v/>
      </c>
      <c r="Z1596" t="str">
        <f t="shared" si="172"/>
        <v/>
      </c>
      <c r="AL1596" t="str">
        <f t="shared" si="173"/>
        <v/>
      </c>
      <c r="AM1596" t="str">
        <f t="shared" si="174"/>
        <v/>
      </c>
    </row>
    <row r="1597" spans="1:39">
      <c r="A1597" t="str">
        <f>IF(ISBLANK(Record!A1598),"",Record!A1598)</f>
        <v/>
      </c>
      <c r="B1597" t="str">
        <f>IF(ISBLANK(Record!B1598),"",Record!B1598)</f>
        <v/>
      </c>
      <c r="C1597" s="227" t="str">
        <f>IF(ISBLANK(Record!C1598),"",Record!C1598)</f>
        <v/>
      </c>
      <c r="D1597" t="str">
        <f>IF(ISBLANK(Record!D1598),"",Record!D1598)</f>
        <v/>
      </c>
      <c r="E1597" t="str">
        <f>IF(ISBLANK(Record!E1598),"",Record!E1598)</f>
        <v/>
      </c>
      <c r="M1597" t="str">
        <f t="shared" si="168"/>
        <v xml:space="preserve">          </v>
      </c>
      <c r="N1597" s="227" t="str">
        <f t="shared" si="169"/>
        <v/>
      </c>
      <c r="X1597" t="str">
        <f t="shared" si="170"/>
        <v xml:space="preserve">          </v>
      </c>
      <c r="Y1597" s="227" t="str">
        <f t="shared" si="171"/>
        <v/>
      </c>
      <c r="Z1597" t="str">
        <f t="shared" si="172"/>
        <v/>
      </c>
      <c r="AL1597" t="str">
        <f t="shared" si="173"/>
        <v/>
      </c>
      <c r="AM1597" t="str">
        <f t="shared" si="174"/>
        <v/>
      </c>
    </row>
    <row r="1598" spans="1:39">
      <c r="A1598" t="str">
        <f>IF(ISBLANK(Record!A1599),"",Record!A1599)</f>
        <v/>
      </c>
      <c r="B1598" t="str">
        <f>IF(ISBLANK(Record!B1599),"",Record!B1599)</f>
        <v/>
      </c>
      <c r="C1598" s="227" t="str">
        <f>IF(ISBLANK(Record!C1599),"",Record!C1599)</f>
        <v/>
      </c>
      <c r="D1598" t="str">
        <f>IF(ISBLANK(Record!D1599),"",Record!D1599)</f>
        <v/>
      </c>
      <c r="E1598" t="str">
        <f>IF(ISBLANK(Record!E1599),"",Record!E1599)</f>
        <v/>
      </c>
      <c r="M1598" t="str">
        <f t="shared" si="168"/>
        <v xml:space="preserve">          </v>
      </c>
      <c r="N1598" s="227" t="str">
        <f t="shared" si="169"/>
        <v/>
      </c>
      <c r="X1598" t="str">
        <f t="shared" si="170"/>
        <v xml:space="preserve">          </v>
      </c>
      <c r="Y1598" s="227" t="str">
        <f t="shared" si="171"/>
        <v/>
      </c>
      <c r="Z1598" t="str">
        <f t="shared" si="172"/>
        <v/>
      </c>
      <c r="AL1598" t="str">
        <f t="shared" si="173"/>
        <v/>
      </c>
      <c r="AM1598" t="str">
        <f t="shared" si="174"/>
        <v/>
      </c>
    </row>
    <row r="1599" spans="1:39">
      <c r="A1599" t="str">
        <f>IF(ISBLANK(Record!A1600),"",Record!A1600)</f>
        <v/>
      </c>
      <c r="B1599" t="str">
        <f>IF(ISBLANK(Record!B1600),"",Record!B1600)</f>
        <v/>
      </c>
      <c r="C1599" s="227" t="str">
        <f>IF(ISBLANK(Record!C1600),"",Record!C1600)</f>
        <v/>
      </c>
      <c r="D1599" t="str">
        <f>IF(ISBLANK(Record!D1600),"",Record!D1600)</f>
        <v/>
      </c>
      <c r="E1599" t="str">
        <f>IF(ISBLANK(Record!E1600),"",Record!E1600)</f>
        <v/>
      </c>
      <c r="M1599" t="str">
        <f t="shared" si="168"/>
        <v xml:space="preserve">          </v>
      </c>
      <c r="N1599" s="227" t="str">
        <f t="shared" si="169"/>
        <v/>
      </c>
      <c r="X1599" t="str">
        <f t="shared" si="170"/>
        <v xml:space="preserve">          </v>
      </c>
      <c r="Y1599" s="227" t="str">
        <f t="shared" si="171"/>
        <v/>
      </c>
      <c r="Z1599" t="str">
        <f t="shared" si="172"/>
        <v/>
      </c>
      <c r="AL1599" t="str">
        <f t="shared" si="173"/>
        <v/>
      </c>
      <c r="AM1599" t="str">
        <f t="shared" si="174"/>
        <v/>
      </c>
    </row>
    <row r="1600" spans="1:39">
      <c r="A1600" t="str">
        <f>IF(ISBLANK(Record!A1601),"",Record!A1601)</f>
        <v/>
      </c>
      <c r="B1600" t="str">
        <f>IF(ISBLANK(Record!B1601),"",Record!B1601)</f>
        <v/>
      </c>
      <c r="C1600" s="227" t="str">
        <f>IF(ISBLANK(Record!C1601),"",Record!C1601)</f>
        <v/>
      </c>
      <c r="D1600" t="str">
        <f>IF(ISBLANK(Record!D1601),"",Record!D1601)</f>
        <v/>
      </c>
      <c r="E1600" t="str">
        <f>IF(ISBLANK(Record!E1601),"",Record!E1601)</f>
        <v/>
      </c>
      <c r="M1600" t="str">
        <f t="shared" si="168"/>
        <v xml:space="preserve">          </v>
      </c>
      <c r="N1600" s="227" t="str">
        <f t="shared" si="169"/>
        <v/>
      </c>
      <c r="X1600" t="str">
        <f t="shared" si="170"/>
        <v xml:space="preserve">          </v>
      </c>
      <c r="Y1600" s="227" t="str">
        <f t="shared" si="171"/>
        <v/>
      </c>
      <c r="Z1600" t="str">
        <f t="shared" si="172"/>
        <v/>
      </c>
      <c r="AL1600" t="str">
        <f t="shared" si="173"/>
        <v/>
      </c>
      <c r="AM1600" t="str">
        <f t="shared" si="174"/>
        <v/>
      </c>
    </row>
    <row r="1601" spans="1:39">
      <c r="A1601" t="str">
        <f>IF(ISBLANK(Record!A1602),"",Record!A1602)</f>
        <v/>
      </c>
      <c r="B1601" t="str">
        <f>IF(ISBLANK(Record!B1602),"",Record!B1602)</f>
        <v/>
      </c>
      <c r="C1601" s="227" t="str">
        <f>IF(ISBLANK(Record!C1602),"",Record!C1602)</f>
        <v/>
      </c>
      <c r="D1601" t="str">
        <f>IF(ISBLANK(Record!D1602),"",Record!D1602)</f>
        <v/>
      </c>
      <c r="E1601" t="str">
        <f>IF(ISBLANK(Record!E1602),"",Record!E1602)</f>
        <v/>
      </c>
      <c r="M1601" t="str">
        <f t="shared" si="168"/>
        <v xml:space="preserve">          </v>
      </c>
      <c r="N1601" s="227" t="str">
        <f t="shared" si="169"/>
        <v/>
      </c>
      <c r="X1601" t="str">
        <f t="shared" si="170"/>
        <v xml:space="preserve">          </v>
      </c>
      <c r="Y1601" s="227" t="str">
        <f t="shared" si="171"/>
        <v/>
      </c>
      <c r="Z1601" t="str">
        <f t="shared" si="172"/>
        <v/>
      </c>
      <c r="AL1601" t="str">
        <f t="shared" si="173"/>
        <v/>
      </c>
      <c r="AM1601" t="str">
        <f t="shared" si="174"/>
        <v/>
      </c>
    </row>
    <row r="1602" spans="1:39">
      <c r="A1602" t="str">
        <f>IF(ISBLANK(Record!A1603),"",Record!A1603)</f>
        <v/>
      </c>
      <c r="B1602" t="str">
        <f>IF(ISBLANK(Record!B1603),"",Record!B1603)</f>
        <v/>
      </c>
      <c r="C1602" s="227" t="str">
        <f>IF(ISBLANK(Record!C1603),"",Record!C1603)</f>
        <v/>
      </c>
      <c r="D1602" t="str">
        <f>IF(ISBLANK(Record!D1603),"",Record!D1603)</f>
        <v/>
      </c>
      <c r="E1602" t="str">
        <f>IF(ISBLANK(Record!E1603),"",Record!E1603)</f>
        <v/>
      </c>
      <c r="M1602" t="str">
        <f t="shared" si="168"/>
        <v xml:space="preserve">          </v>
      </c>
      <c r="N1602" s="227" t="str">
        <f t="shared" si="169"/>
        <v/>
      </c>
      <c r="X1602" t="str">
        <f t="shared" si="170"/>
        <v xml:space="preserve">          </v>
      </c>
      <c r="Y1602" s="227" t="str">
        <f t="shared" si="171"/>
        <v/>
      </c>
      <c r="Z1602" t="str">
        <f t="shared" si="172"/>
        <v/>
      </c>
      <c r="AL1602" t="str">
        <f t="shared" si="173"/>
        <v/>
      </c>
      <c r="AM1602" t="str">
        <f t="shared" si="174"/>
        <v/>
      </c>
    </row>
    <row r="1603" spans="1:39">
      <c r="A1603" t="str">
        <f>IF(ISBLANK(Record!A1604),"",Record!A1604)</f>
        <v/>
      </c>
      <c r="B1603" t="str">
        <f>IF(ISBLANK(Record!B1604),"",Record!B1604)</f>
        <v/>
      </c>
      <c r="C1603" s="227" t="str">
        <f>IF(ISBLANK(Record!C1604),"",Record!C1604)</f>
        <v/>
      </c>
      <c r="D1603" t="str">
        <f>IF(ISBLANK(Record!D1604),"",Record!D1604)</f>
        <v/>
      </c>
      <c r="E1603" t="str">
        <f>IF(ISBLANK(Record!E1604),"",Record!E1604)</f>
        <v/>
      </c>
      <c r="M1603" t="str">
        <f t="shared" ref="M1603:M1651" si="175">RIGHT("                                   " &amp; A1603,10)</f>
        <v xml:space="preserve">          </v>
      </c>
      <c r="N1603" s="227" t="str">
        <f t="shared" ref="N1603:N1651" si="176">RIGHT(C1603,16)</f>
        <v/>
      </c>
      <c r="X1603" t="str">
        <f t="shared" ref="X1603:X1651" si="177">RIGHT("                                   " &amp; A1603,10)</f>
        <v xml:space="preserve">          </v>
      </c>
      <c r="Y1603" s="227" t="str">
        <f t="shared" ref="Y1603:Y1651" si="178">RIGHT(C1603,16)</f>
        <v/>
      </c>
      <c r="Z1603" t="str">
        <f t="shared" ref="Z1603:Z1651" si="179">RIGHT(D1603,8)</f>
        <v/>
      </c>
      <c r="AL1603" t="str">
        <f t="shared" ref="AL1603:AL1650" si="180">D1603</f>
        <v/>
      </c>
      <c r="AM1603" t="str">
        <f t="shared" ref="AM1603:AM1650" si="181">IF(E1603&lt;&gt;AL1603,E1603,E1603)</f>
        <v/>
      </c>
    </row>
    <row r="1604" spans="1:39">
      <c r="A1604" t="str">
        <f>IF(ISBLANK(Record!A1605),"",Record!A1605)</f>
        <v/>
      </c>
      <c r="B1604" t="str">
        <f>IF(ISBLANK(Record!B1605),"",Record!B1605)</f>
        <v/>
      </c>
      <c r="C1604" s="227" t="str">
        <f>IF(ISBLANK(Record!C1605),"",Record!C1605)</f>
        <v/>
      </c>
      <c r="D1604" t="str">
        <f>IF(ISBLANK(Record!D1605),"",Record!D1605)</f>
        <v/>
      </c>
      <c r="E1604" t="str">
        <f>IF(ISBLANK(Record!E1605),"",Record!E1605)</f>
        <v/>
      </c>
      <c r="M1604" t="str">
        <f t="shared" si="175"/>
        <v xml:space="preserve">          </v>
      </c>
      <c r="N1604" s="227" t="str">
        <f t="shared" si="176"/>
        <v/>
      </c>
      <c r="X1604" t="str">
        <f t="shared" si="177"/>
        <v xml:space="preserve">          </v>
      </c>
      <c r="Y1604" s="227" t="str">
        <f t="shared" si="178"/>
        <v/>
      </c>
      <c r="Z1604" t="str">
        <f t="shared" si="179"/>
        <v/>
      </c>
      <c r="AL1604" t="str">
        <f t="shared" si="180"/>
        <v/>
      </c>
      <c r="AM1604" t="str">
        <f t="shared" si="181"/>
        <v/>
      </c>
    </row>
    <row r="1605" spans="1:39">
      <c r="A1605" t="str">
        <f>IF(ISBLANK(Record!A1606),"",Record!A1606)</f>
        <v/>
      </c>
      <c r="B1605" t="str">
        <f>IF(ISBLANK(Record!B1606),"",Record!B1606)</f>
        <v/>
      </c>
      <c r="C1605" s="227" t="str">
        <f>IF(ISBLANK(Record!C1606),"",Record!C1606)</f>
        <v/>
      </c>
      <c r="D1605" t="str">
        <f>IF(ISBLANK(Record!D1606),"",Record!D1606)</f>
        <v/>
      </c>
      <c r="E1605" t="str">
        <f>IF(ISBLANK(Record!E1606),"",Record!E1606)</f>
        <v/>
      </c>
      <c r="M1605" t="str">
        <f t="shared" si="175"/>
        <v xml:space="preserve">          </v>
      </c>
      <c r="N1605" s="227" t="str">
        <f t="shared" si="176"/>
        <v/>
      </c>
      <c r="X1605" t="str">
        <f t="shared" si="177"/>
        <v xml:space="preserve">          </v>
      </c>
      <c r="Y1605" s="227" t="str">
        <f t="shared" si="178"/>
        <v/>
      </c>
      <c r="Z1605" t="str">
        <f t="shared" si="179"/>
        <v/>
      </c>
      <c r="AL1605" t="str">
        <f t="shared" si="180"/>
        <v/>
      </c>
      <c r="AM1605" t="str">
        <f t="shared" si="181"/>
        <v/>
      </c>
    </row>
    <row r="1606" spans="1:39">
      <c r="A1606" t="str">
        <f>IF(ISBLANK(Record!A1607),"",Record!A1607)</f>
        <v/>
      </c>
      <c r="B1606" t="str">
        <f>IF(ISBLANK(Record!B1607),"",Record!B1607)</f>
        <v/>
      </c>
      <c r="C1606" s="227" t="str">
        <f>IF(ISBLANK(Record!C1607),"",Record!C1607)</f>
        <v/>
      </c>
      <c r="D1606" t="str">
        <f>IF(ISBLANK(Record!D1607),"",Record!D1607)</f>
        <v/>
      </c>
      <c r="E1606" t="str">
        <f>IF(ISBLANK(Record!E1607),"",Record!E1607)</f>
        <v/>
      </c>
      <c r="M1606" t="str">
        <f t="shared" si="175"/>
        <v xml:space="preserve">          </v>
      </c>
      <c r="N1606" s="227" t="str">
        <f t="shared" si="176"/>
        <v/>
      </c>
      <c r="X1606" t="str">
        <f t="shared" si="177"/>
        <v xml:space="preserve">          </v>
      </c>
      <c r="Y1606" s="227" t="str">
        <f t="shared" si="178"/>
        <v/>
      </c>
      <c r="Z1606" t="str">
        <f t="shared" si="179"/>
        <v/>
      </c>
      <c r="AL1606" t="str">
        <f t="shared" si="180"/>
        <v/>
      </c>
      <c r="AM1606" t="str">
        <f t="shared" si="181"/>
        <v/>
      </c>
    </row>
    <row r="1607" spans="1:39">
      <c r="A1607" t="str">
        <f>IF(ISBLANK(Record!A1608),"",Record!A1608)</f>
        <v/>
      </c>
      <c r="B1607" t="str">
        <f>IF(ISBLANK(Record!B1608),"",Record!B1608)</f>
        <v/>
      </c>
      <c r="C1607" s="227" t="str">
        <f>IF(ISBLANK(Record!C1608),"",Record!C1608)</f>
        <v/>
      </c>
      <c r="D1607" t="str">
        <f>IF(ISBLANK(Record!D1608),"",Record!D1608)</f>
        <v/>
      </c>
      <c r="E1607" t="str">
        <f>IF(ISBLANK(Record!E1608),"",Record!E1608)</f>
        <v/>
      </c>
      <c r="M1607" t="str">
        <f t="shared" si="175"/>
        <v xml:space="preserve">          </v>
      </c>
      <c r="N1607" s="227" t="str">
        <f t="shared" si="176"/>
        <v/>
      </c>
      <c r="X1607" t="str">
        <f t="shared" si="177"/>
        <v xml:space="preserve">          </v>
      </c>
      <c r="Y1607" s="227" t="str">
        <f t="shared" si="178"/>
        <v/>
      </c>
      <c r="Z1607" t="str">
        <f t="shared" si="179"/>
        <v/>
      </c>
      <c r="AL1607" t="str">
        <f t="shared" si="180"/>
        <v/>
      </c>
      <c r="AM1607" t="str">
        <f t="shared" si="181"/>
        <v/>
      </c>
    </row>
    <row r="1608" spans="1:39">
      <c r="A1608" t="str">
        <f>IF(ISBLANK(Record!A1609),"",Record!A1609)</f>
        <v/>
      </c>
      <c r="B1608" t="str">
        <f>IF(ISBLANK(Record!B1609),"",Record!B1609)</f>
        <v/>
      </c>
      <c r="C1608" s="227" t="str">
        <f>IF(ISBLANK(Record!C1609),"",Record!C1609)</f>
        <v/>
      </c>
      <c r="D1608" t="str">
        <f>IF(ISBLANK(Record!D1609),"",Record!D1609)</f>
        <v/>
      </c>
      <c r="E1608" t="str">
        <f>IF(ISBLANK(Record!E1609),"",Record!E1609)</f>
        <v/>
      </c>
      <c r="M1608" t="str">
        <f t="shared" si="175"/>
        <v xml:space="preserve">          </v>
      </c>
      <c r="N1608" s="227" t="str">
        <f t="shared" si="176"/>
        <v/>
      </c>
      <c r="X1608" t="str">
        <f t="shared" si="177"/>
        <v xml:space="preserve">          </v>
      </c>
      <c r="Y1608" s="227" t="str">
        <f t="shared" si="178"/>
        <v/>
      </c>
      <c r="Z1608" t="str">
        <f t="shared" si="179"/>
        <v/>
      </c>
      <c r="AL1608" t="str">
        <f t="shared" si="180"/>
        <v/>
      </c>
      <c r="AM1608" t="str">
        <f t="shared" si="181"/>
        <v/>
      </c>
    </row>
    <row r="1609" spans="1:39">
      <c r="A1609" t="str">
        <f>IF(ISBLANK(Record!A1610),"",Record!A1610)</f>
        <v/>
      </c>
      <c r="B1609" t="str">
        <f>IF(ISBLANK(Record!B1610),"",Record!B1610)</f>
        <v/>
      </c>
      <c r="C1609" s="227" t="str">
        <f>IF(ISBLANK(Record!C1610),"",Record!C1610)</f>
        <v/>
      </c>
      <c r="D1609" t="str">
        <f>IF(ISBLANK(Record!D1610),"",Record!D1610)</f>
        <v/>
      </c>
      <c r="E1609" t="str">
        <f>IF(ISBLANK(Record!E1610),"",Record!E1610)</f>
        <v/>
      </c>
      <c r="M1609" t="str">
        <f t="shared" si="175"/>
        <v xml:space="preserve">          </v>
      </c>
      <c r="N1609" s="227" t="str">
        <f t="shared" si="176"/>
        <v/>
      </c>
      <c r="X1609" t="str">
        <f t="shared" si="177"/>
        <v xml:space="preserve">          </v>
      </c>
      <c r="Y1609" s="227" t="str">
        <f t="shared" si="178"/>
        <v/>
      </c>
      <c r="Z1609" t="str">
        <f t="shared" si="179"/>
        <v/>
      </c>
      <c r="AL1609" t="str">
        <f t="shared" si="180"/>
        <v/>
      </c>
      <c r="AM1609" t="str">
        <f t="shared" si="181"/>
        <v/>
      </c>
    </row>
    <row r="1610" spans="1:39">
      <c r="A1610" t="str">
        <f>IF(ISBLANK(Record!A1611),"",Record!A1611)</f>
        <v/>
      </c>
      <c r="B1610" t="str">
        <f>IF(ISBLANK(Record!B1611),"",Record!B1611)</f>
        <v/>
      </c>
      <c r="C1610" s="227" t="str">
        <f>IF(ISBLANK(Record!C1611),"",Record!C1611)</f>
        <v/>
      </c>
      <c r="D1610" t="str">
        <f>IF(ISBLANK(Record!D1611),"",Record!D1611)</f>
        <v/>
      </c>
      <c r="E1610" t="str">
        <f>IF(ISBLANK(Record!E1611),"",Record!E1611)</f>
        <v/>
      </c>
      <c r="M1610" t="str">
        <f t="shared" si="175"/>
        <v xml:space="preserve">          </v>
      </c>
      <c r="N1610" s="227" t="str">
        <f t="shared" si="176"/>
        <v/>
      </c>
      <c r="X1610" t="str">
        <f t="shared" si="177"/>
        <v xml:space="preserve">          </v>
      </c>
      <c r="Y1610" s="227" t="str">
        <f t="shared" si="178"/>
        <v/>
      </c>
      <c r="Z1610" t="str">
        <f t="shared" si="179"/>
        <v/>
      </c>
      <c r="AL1610" t="str">
        <f t="shared" si="180"/>
        <v/>
      </c>
      <c r="AM1610" t="str">
        <f t="shared" si="181"/>
        <v/>
      </c>
    </row>
    <row r="1611" spans="1:39">
      <c r="A1611" t="str">
        <f>IF(ISBLANK(Record!A1612),"",Record!A1612)</f>
        <v/>
      </c>
      <c r="B1611" t="str">
        <f>IF(ISBLANK(Record!B1612),"",Record!B1612)</f>
        <v/>
      </c>
      <c r="C1611" s="227" t="str">
        <f>IF(ISBLANK(Record!C1612),"",Record!C1612)</f>
        <v/>
      </c>
      <c r="D1611" t="str">
        <f>IF(ISBLANK(Record!D1612),"",Record!D1612)</f>
        <v/>
      </c>
      <c r="E1611" t="str">
        <f>IF(ISBLANK(Record!E1612),"",Record!E1612)</f>
        <v/>
      </c>
      <c r="M1611" t="str">
        <f t="shared" si="175"/>
        <v xml:space="preserve">          </v>
      </c>
      <c r="N1611" s="227" t="str">
        <f t="shared" si="176"/>
        <v/>
      </c>
      <c r="X1611" t="str">
        <f t="shared" si="177"/>
        <v xml:space="preserve">          </v>
      </c>
      <c r="Y1611" s="227" t="str">
        <f t="shared" si="178"/>
        <v/>
      </c>
      <c r="Z1611" t="str">
        <f t="shared" si="179"/>
        <v/>
      </c>
      <c r="AL1611" t="str">
        <f t="shared" si="180"/>
        <v/>
      </c>
      <c r="AM1611" t="str">
        <f t="shared" si="181"/>
        <v/>
      </c>
    </row>
    <row r="1612" spans="1:39">
      <c r="A1612" t="str">
        <f>IF(ISBLANK(Record!A1613),"",Record!A1613)</f>
        <v/>
      </c>
      <c r="B1612" t="str">
        <f>IF(ISBLANK(Record!B1613),"",Record!B1613)</f>
        <v/>
      </c>
      <c r="C1612" s="227" t="str">
        <f>IF(ISBLANK(Record!C1613),"",Record!C1613)</f>
        <v/>
      </c>
      <c r="D1612" t="str">
        <f>IF(ISBLANK(Record!D1613),"",Record!D1613)</f>
        <v/>
      </c>
      <c r="E1612" t="str">
        <f>IF(ISBLANK(Record!E1613),"",Record!E1613)</f>
        <v/>
      </c>
      <c r="M1612" t="str">
        <f t="shared" si="175"/>
        <v xml:space="preserve">          </v>
      </c>
      <c r="N1612" s="227" t="str">
        <f t="shared" si="176"/>
        <v/>
      </c>
      <c r="X1612" t="str">
        <f t="shared" si="177"/>
        <v xml:space="preserve">          </v>
      </c>
      <c r="Y1612" s="227" t="str">
        <f t="shared" si="178"/>
        <v/>
      </c>
      <c r="Z1612" t="str">
        <f t="shared" si="179"/>
        <v/>
      </c>
      <c r="AL1612" t="str">
        <f t="shared" si="180"/>
        <v/>
      </c>
      <c r="AM1612" t="str">
        <f t="shared" si="181"/>
        <v/>
      </c>
    </row>
    <row r="1613" spans="1:39">
      <c r="A1613" t="str">
        <f>IF(ISBLANK(Record!A1614),"",Record!A1614)</f>
        <v/>
      </c>
      <c r="B1613" t="str">
        <f>IF(ISBLANK(Record!B1614),"",Record!B1614)</f>
        <v/>
      </c>
      <c r="C1613" s="227" t="str">
        <f>IF(ISBLANK(Record!C1614),"",Record!C1614)</f>
        <v/>
      </c>
      <c r="D1613" t="str">
        <f>IF(ISBLANK(Record!D1614),"",Record!D1614)</f>
        <v/>
      </c>
      <c r="E1613" t="str">
        <f>IF(ISBLANK(Record!E1614),"",Record!E1614)</f>
        <v/>
      </c>
      <c r="M1613" t="str">
        <f t="shared" si="175"/>
        <v xml:space="preserve">          </v>
      </c>
      <c r="N1613" s="227" t="str">
        <f t="shared" si="176"/>
        <v/>
      </c>
      <c r="X1613" t="str">
        <f t="shared" si="177"/>
        <v xml:space="preserve">          </v>
      </c>
      <c r="Y1613" s="227" t="str">
        <f t="shared" si="178"/>
        <v/>
      </c>
      <c r="Z1613" t="str">
        <f t="shared" si="179"/>
        <v/>
      </c>
      <c r="AL1613" t="str">
        <f t="shared" si="180"/>
        <v/>
      </c>
      <c r="AM1613" t="str">
        <f t="shared" si="181"/>
        <v/>
      </c>
    </row>
    <row r="1614" spans="1:39">
      <c r="A1614" t="str">
        <f>IF(ISBLANK(Record!A1615),"",Record!A1615)</f>
        <v/>
      </c>
      <c r="B1614" t="str">
        <f>IF(ISBLANK(Record!B1615),"",Record!B1615)</f>
        <v/>
      </c>
      <c r="C1614" s="227" t="str">
        <f>IF(ISBLANK(Record!C1615),"",Record!C1615)</f>
        <v/>
      </c>
      <c r="D1614" t="str">
        <f>IF(ISBLANK(Record!D1615),"",Record!D1615)</f>
        <v/>
      </c>
      <c r="E1614" t="str">
        <f>IF(ISBLANK(Record!E1615),"",Record!E1615)</f>
        <v/>
      </c>
      <c r="M1614" t="str">
        <f t="shared" si="175"/>
        <v xml:space="preserve">          </v>
      </c>
      <c r="N1614" s="227" t="str">
        <f t="shared" si="176"/>
        <v/>
      </c>
      <c r="X1614" t="str">
        <f t="shared" si="177"/>
        <v xml:space="preserve">          </v>
      </c>
      <c r="Y1614" s="227" t="str">
        <f t="shared" si="178"/>
        <v/>
      </c>
      <c r="Z1614" t="str">
        <f t="shared" si="179"/>
        <v/>
      </c>
      <c r="AL1614" t="str">
        <f t="shared" si="180"/>
        <v/>
      </c>
      <c r="AM1614" t="str">
        <f t="shared" si="181"/>
        <v/>
      </c>
    </row>
    <row r="1615" spans="1:39">
      <c r="A1615" t="str">
        <f>IF(ISBLANK(Record!A1616),"",Record!A1616)</f>
        <v/>
      </c>
      <c r="B1615" t="str">
        <f>IF(ISBLANK(Record!B1616),"",Record!B1616)</f>
        <v/>
      </c>
      <c r="C1615" s="227" t="str">
        <f>IF(ISBLANK(Record!C1616),"",Record!C1616)</f>
        <v/>
      </c>
      <c r="D1615" t="str">
        <f>IF(ISBLANK(Record!D1616),"",Record!D1616)</f>
        <v/>
      </c>
      <c r="E1615" t="str">
        <f>IF(ISBLANK(Record!E1616),"",Record!E1616)</f>
        <v/>
      </c>
      <c r="M1615" t="str">
        <f t="shared" si="175"/>
        <v xml:space="preserve">          </v>
      </c>
      <c r="N1615" s="227" t="str">
        <f t="shared" si="176"/>
        <v/>
      </c>
      <c r="X1615" t="str">
        <f t="shared" si="177"/>
        <v xml:space="preserve">          </v>
      </c>
      <c r="Y1615" s="227" t="str">
        <f t="shared" si="178"/>
        <v/>
      </c>
      <c r="Z1615" t="str">
        <f t="shared" si="179"/>
        <v/>
      </c>
      <c r="AL1615" t="str">
        <f t="shared" si="180"/>
        <v/>
      </c>
      <c r="AM1615" t="str">
        <f t="shared" si="181"/>
        <v/>
      </c>
    </row>
    <row r="1616" spans="1:39">
      <c r="A1616" t="str">
        <f>IF(ISBLANK(Record!A1617),"",Record!A1617)</f>
        <v/>
      </c>
      <c r="B1616" t="str">
        <f>IF(ISBLANK(Record!B1617),"",Record!B1617)</f>
        <v/>
      </c>
      <c r="C1616" s="227" t="str">
        <f>IF(ISBLANK(Record!C1617),"",Record!C1617)</f>
        <v/>
      </c>
      <c r="D1616" t="str">
        <f>IF(ISBLANK(Record!D1617),"",Record!D1617)</f>
        <v/>
      </c>
      <c r="E1616" t="str">
        <f>IF(ISBLANK(Record!E1617),"",Record!E1617)</f>
        <v/>
      </c>
      <c r="M1616" t="str">
        <f t="shared" si="175"/>
        <v xml:space="preserve">          </v>
      </c>
      <c r="N1616" s="227" t="str">
        <f t="shared" si="176"/>
        <v/>
      </c>
      <c r="X1616" t="str">
        <f t="shared" si="177"/>
        <v xml:space="preserve">          </v>
      </c>
      <c r="Y1616" s="227" t="str">
        <f t="shared" si="178"/>
        <v/>
      </c>
      <c r="Z1616" t="str">
        <f t="shared" si="179"/>
        <v/>
      </c>
      <c r="AL1616" t="str">
        <f t="shared" si="180"/>
        <v/>
      </c>
      <c r="AM1616" t="str">
        <f t="shared" si="181"/>
        <v/>
      </c>
    </row>
    <row r="1617" spans="1:39">
      <c r="A1617" t="str">
        <f>IF(ISBLANK(Record!A1618),"",Record!A1618)</f>
        <v/>
      </c>
      <c r="B1617" t="str">
        <f>IF(ISBLANK(Record!B1618),"",Record!B1618)</f>
        <v/>
      </c>
      <c r="C1617" s="227" t="str">
        <f>IF(ISBLANK(Record!C1618),"",Record!C1618)</f>
        <v/>
      </c>
      <c r="D1617" t="str">
        <f>IF(ISBLANK(Record!D1618),"",Record!D1618)</f>
        <v/>
      </c>
      <c r="E1617" t="str">
        <f>IF(ISBLANK(Record!E1618),"",Record!E1618)</f>
        <v/>
      </c>
      <c r="M1617" t="str">
        <f t="shared" si="175"/>
        <v xml:space="preserve">          </v>
      </c>
      <c r="N1617" s="227" t="str">
        <f t="shared" si="176"/>
        <v/>
      </c>
      <c r="X1617" t="str">
        <f t="shared" si="177"/>
        <v xml:space="preserve">          </v>
      </c>
      <c r="Y1617" s="227" t="str">
        <f t="shared" si="178"/>
        <v/>
      </c>
      <c r="Z1617" t="str">
        <f t="shared" si="179"/>
        <v/>
      </c>
      <c r="AL1617" t="str">
        <f t="shared" si="180"/>
        <v/>
      </c>
      <c r="AM1617" t="str">
        <f t="shared" si="181"/>
        <v/>
      </c>
    </row>
    <row r="1618" spans="1:39">
      <c r="A1618" t="str">
        <f>IF(ISBLANK(Record!A1619),"",Record!A1619)</f>
        <v/>
      </c>
      <c r="B1618" t="str">
        <f>IF(ISBLANK(Record!B1619),"",Record!B1619)</f>
        <v/>
      </c>
      <c r="C1618" s="227" t="str">
        <f>IF(ISBLANK(Record!C1619),"",Record!C1619)</f>
        <v/>
      </c>
      <c r="D1618" t="str">
        <f>IF(ISBLANK(Record!D1619),"",Record!D1619)</f>
        <v/>
      </c>
      <c r="E1618" t="str">
        <f>IF(ISBLANK(Record!E1619),"",Record!E1619)</f>
        <v/>
      </c>
      <c r="M1618" t="str">
        <f t="shared" si="175"/>
        <v xml:space="preserve">          </v>
      </c>
      <c r="N1618" s="227" t="str">
        <f t="shared" si="176"/>
        <v/>
      </c>
      <c r="X1618" t="str">
        <f t="shared" si="177"/>
        <v xml:space="preserve">          </v>
      </c>
      <c r="Y1618" s="227" t="str">
        <f t="shared" si="178"/>
        <v/>
      </c>
      <c r="Z1618" t="str">
        <f t="shared" si="179"/>
        <v/>
      </c>
      <c r="AL1618" t="str">
        <f t="shared" si="180"/>
        <v/>
      </c>
      <c r="AM1618" t="str">
        <f t="shared" si="181"/>
        <v/>
      </c>
    </row>
    <row r="1619" spans="1:39">
      <c r="A1619" t="str">
        <f>IF(ISBLANK(Record!A1620),"",Record!A1620)</f>
        <v/>
      </c>
      <c r="B1619" t="str">
        <f>IF(ISBLANK(Record!B1620),"",Record!B1620)</f>
        <v/>
      </c>
      <c r="C1619" s="227" t="str">
        <f>IF(ISBLANK(Record!C1620),"",Record!C1620)</f>
        <v/>
      </c>
      <c r="D1619" t="str">
        <f>IF(ISBLANK(Record!D1620),"",Record!D1620)</f>
        <v/>
      </c>
      <c r="E1619" t="str">
        <f>IF(ISBLANK(Record!E1620),"",Record!E1620)</f>
        <v/>
      </c>
      <c r="M1619" t="str">
        <f t="shared" si="175"/>
        <v xml:space="preserve">          </v>
      </c>
      <c r="N1619" s="227" t="str">
        <f t="shared" si="176"/>
        <v/>
      </c>
      <c r="X1619" t="str">
        <f t="shared" si="177"/>
        <v xml:space="preserve">          </v>
      </c>
      <c r="Y1619" s="227" t="str">
        <f t="shared" si="178"/>
        <v/>
      </c>
      <c r="Z1619" t="str">
        <f t="shared" si="179"/>
        <v/>
      </c>
      <c r="AL1619" t="str">
        <f t="shared" si="180"/>
        <v/>
      </c>
      <c r="AM1619" t="str">
        <f t="shared" si="181"/>
        <v/>
      </c>
    </row>
    <row r="1620" spans="1:39">
      <c r="A1620" t="str">
        <f>IF(ISBLANK(Record!A1621),"",Record!A1621)</f>
        <v/>
      </c>
      <c r="B1620" t="str">
        <f>IF(ISBLANK(Record!B1621),"",Record!B1621)</f>
        <v/>
      </c>
      <c r="C1620" s="227" t="str">
        <f>IF(ISBLANK(Record!C1621),"",Record!C1621)</f>
        <v/>
      </c>
      <c r="D1620" t="str">
        <f>IF(ISBLANK(Record!D1621),"",Record!D1621)</f>
        <v/>
      </c>
      <c r="E1620" t="str">
        <f>IF(ISBLANK(Record!E1621),"",Record!E1621)</f>
        <v/>
      </c>
      <c r="M1620" t="str">
        <f t="shared" si="175"/>
        <v xml:space="preserve">          </v>
      </c>
      <c r="N1620" s="227" t="str">
        <f t="shared" si="176"/>
        <v/>
      </c>
      <c r="X1620" t="str">
        <f t="shared" si="177"/>
        <v xml:space="preserve">          </v>
      </c>
      <c r="Y1620" s="227" t="str">
        <f t="shared" si="178"/>
        <v/>
      </c>
      <c r="Z1620" t="str">
        <f t="shared" si="179"/>
        <v/>
      </c>
      <c r="AL1620" t="str">
        <f t="shared" si="180"/>
        <v/>
      </c>
      <c r="AM1620" t="str">
        <f t="shared" si="181"/>
        <v/>
      </c>
    </row>
    <row r="1621" spans="1:39">
      <c r="A1621" t="str">
        <f>IF(ISBLANK(Record!A1622),"",Record!A1622)</f>
        <v/>
      </c>
      <c r="B1621" t="str">
        <f>IF(ISBLANK(Record!B1622),"",Record!B1622)</f>
        <v/>
      </c>
      <c r="C1621" s="227" t="str">
        <f>IF(ISBLANK(Record!C1622),"",Record!C1622)</f>
        <v/>
      </c>
      <c r="D1621" t="str">
        <f>IF(ISBLANK(Record!D1622),"",Record!D1622)</f>
        <v/>
      </c>
      <c r="E1621" t="str">
        <f>IF(ISBLANK(Record!E1622),"",Record!E1622)</f>
        <v/>
      </c>
      <c r="M1621" t="str">
        <f t="shared" si="175"/>
        <v xml:space="preserve">          </v>
      </c>
      <c r="N1621" s="227" t="str">
        <f t="shared" si="176"/>
        <v/>
      </c>
      <c r="X1621" t="str">
        <f t="shared" si="177"/>
        <v xml:space="preserve">          </v>
      </c>
      <c r="Y1621" s="227" t="str">
        <f t="shared" si="178"/>
        <v/>
      </c>
      <c r="Z1621" t="str">
        <f t="shared" si="179"/>
        <v/>
      </c>
      <c r="AL1621" t="str">
        <f t="shared" si="180"/>
        <v/>
      </c>
      <c r="AM1621" t="str">
        <f t="shared" si="181"/>
        <v/>
      </c>
    </row>
    <row r="1622" spans="1:39">
      <c r="A1622" t="str">
        <f>IF(ISBLANK(Record!A1623),"",Record!A1623)</f>
        <v/>
      </c>
      <c r="B1622" t="str">
        <f>IF(ISBLANK(Record!B1623),"",Record!B1623)</f>
        <v/>
      </c>
      <c r="C1622" s="227" t="str">
        <f>IF(ISBLANK(Record!C1623),"",Record!C1623)</f>
        <v/>
      </c>
      <c r="D1622" t="str">
        <f>IF(ISBLANK(Record!D1623),"",Record!D1623)</f>
        <v/>
      </c>
      <c r="E1622" t="str">
        <f>IF(ISBLANK(Record!E1623),"",Record!E1623)</f>
        <v/>
      </c>
      <c r="M1622" t="str">
        <f t="shared" si="175"/>
        <v xml:space="preserve">          </v>
      </c>
      <c r="N1622" s="227" t="str">
        <f t="shared" si="176"/>
        <v/>
      </c>
      <c r="X1622" t="str">
        <f t="shared" si="177"/>
        <v xml:space="preserve">          </v>
      </c>
      <c r="Y1622" s="227" t="str">
        <f t="shared" si="178"/>
        <v/>
      </c>
      <c r="Z1622" t="str">
        <f t="shared" si="179"/>
        <v/>
      </c>
      <c r="AL1622" t="str">
        <f t="shared" si="180"/>
        <v/>
      </c>
      <c r="AM1622" t="str">
        <f t="shared" si="181"/>
        <v/>
      </c>
    </row>
    <row r="1623" spans="1:39">
      <c r="A1623" t="str">
        <f>IF(ISBLANK(Record!A1624),"",Record!A1624)</f>
        <v/>
      </c>
      <c r="B1623" t="str">
        <f>IF(ISBLANK(Record!B1624),"",Record!B1624)</f>
        <v/>
      </c>
      <c r="C1623" s="227" t="str">
        <f>IF(ISBLANK(Record!C1624),"",Record!C1624)</f>
        <v/>
      </c>
      <c r="D1623" t="str">
        <f>IF(ISBLANK(Record!D1624),"",Record!D1624)</f>
        <v/>
      </c>
      <c r="E1623" t="str">
        <f>IF(ISBLANK(Record!E1624),"",Record!E1624)</f>
        <v/>
      </c>
      <c r="M1623" t="str">
        <f t="shared" si="175"/>
        <v xml:space="preserve">          </v>
      </c>
      <c r="N1623" s="227" t="str">
        <f t="shared" si="176"/>
        <v/>
      </c>
      <c r="X1623" t="str">
        <f t="shared" si="177"/>
        <v xml:space="preserve">          </v>
      </c>
      <c r="Y1623" s="227" t="str">
        <f t="shared" si="178"/>
        <v/>
      </c>
      <c r="Z1623" t="str">
        <f t="shared" si="179"/>
        <v/>
      </c>
      <c r="AL1623" t="str">
        <f t="shared" si="180"/>
        <v/>
      </c>
      <c r="AM1623" t="str">
        <f t="shared" si="181"/>
        <v/>
      </c>
    </row>
    <row r="1624" spans="1:39">
      <c r="A1624" t="str">
        <f>IF(ISBLANK(Record!A1625),"",Record!A1625)</f>
        <v/>
      </c>
      <c r="B1624" t="str">
        <f>IF(ISBLANK(Record!B1625),"",Record!B1625)</f>
        <v/>
      </c>
      <c r="C1624" s="227" t="str">
        <f>IF(ISBLANK(Record!C1625),"",Record!C1625)</f>
        <v/>
      </c>
      <c r="D1624" t="str">
        <f>IF(ISBLANK(Record!D1625),"",Record!D1625)</f>
        <v/>
      </c>
      <c r="E1624" t="str">
        <f>IF(ISBLANK(Record!E1625),"",Record!E1625)</f>
        <v/>
      </c>
      <c r="M1624" t="str">
        <f t="shared" si="175"/>
        <v xml:space="preserve">          </v>
      </c>
      <c r="N1624" s="227" t="str">
        <f t="shared" si="176"/>
        <v/>
      </c>
      <c r="X1624" t="str">
        <f t="shared" si="177"/>
        <v xml:space="preserve">          </v>
      </c>
      <c r="Y1624" s="227" t="str">
        <f t="shared" si="178"/>
        <v/>
      </c>
      <c r="Z1624" t="str">
        <f t="shared" si="179"/>
        <v/>
      </c>
      <c r="AL1624" t="str">
        <f t="shared" si="180"/>
        <v/>
      </c>
      <c r="AM1624" t="str">
        <f t="shared" si="181"/>
        <v/>
      </c>
    </row>
    <row r="1625" spans="1:39">
      <c r="A1625" t="str">
        <f>IF(ISBLANK(Record!A1626),"",Record!A1626)</f>
        <v/>
      </c>
      <c r="B1625" t="str">
        <f>IF(ISBLANK(Record!B1626),"",Record!B1626)</f>
        <v/>
      </c>
      <c r="C1625" s="227" t="str">
        <f>IF(ISBLANK(Record!C1626),"",Record!C1626)</f>
        <v/>
      </c>
      <c r="D1625" t="str">
        <f>IF(ISBLANK(Record!D1626),"",Record!D1626)</f>
        <v/>
      </c>
      <c r="E1625" t="str">
        <f>IF(ISBLANK(Record!E1626),"",Record!E1626)</f>
        <v/>
      </c>
      <c r="M1625" t="str">
        <f t="shared" si="175"/>
        <v xml:space="preserve">          </v>
      </c>
      <c r="N1625" s="227" t="str">
        <f t="shared" si="176"/>
        <v/>
      </c>
      <c r="X1625" t="str">
        <f t="shared" si="177"/>
        <v xml:space="preserve">          </v>
      </c>
      <c r="Y1625" s="227" t="str">
        <f t="shared" si="178"/>
        <v/>
      </c>
      <c r="Z1625" t="str">
        <f t="shared" si="179"/>
        <v/>
      </c>
      <c r="AL1625" t="str">
        <f t="shared" si="180"/>
        <v/>
      </c>
      <c r="AM1625" t="str">
        <f t="shared" si="181"/>
        <v/>
      </c>
    </row>
    <row r="1626" spans="1:39">
      <c r="A1626" t="str">
        <f>IF(ISBLANK(Record!A1627),"",Record!A1627)</f>
        <v/>
      </c>
      <c r="B1626" t="str">
        <f>IF(ISBLANK(Record!B1627),"",Record!B1627)</f>
        <v/>
      </c>
      <c r="C1626" s="227" t="str">
        <f>IF(ISBLANK(Record!C1627),"",Record!C1627)</f>
        <v/>
      </c>
      <c r="D1626" t="str">
        <f>IF(ISBLANK(Record!D1627),"",Record!D1627)</f>
        <v/>
      </c>
      <c r="E1626" t="str">
        <f>IF(ISBLANK(Record!E1627),"",Record!E1627)</f>
        <v/>
      </c>
      <c r="M1626" t="str">
        <f t="shared" si="175"/>
        <v xml:space="preserve">          </v>
      </c>
      <c r="N1626" s="227" t="str">
        <f t="shared" si="176"/>
        <v/>
      </c>
      <c r="X1626" t="str">
        <f t="shared" si="177"/>
        <v xml:space="preserve">          </v>
      </c>
      <c r="Y1626" s="227" t="str">
        <f t="shared" si="178"/>
        <v/>
      </c>
      <c r="Z1626" t="str">
        <f t="shared" si="179"/>
        <v/>
      </c>
      <c r="AL1626" t="str">
        <f t="shared" si="180"/>
        <v/>
      </c>
      <c r="AM1626" t="str">
        <f t="shared" si="181"/>
        <v/>
      </c>
    </row>
    <row r="1627" spans="1:39">
      <c r="A1627" t="str">
        <f>IF(ISBLANK(Record!A1628),"",Record!A1628)</f>
        <v/>
      </c>
      <c r="B1627" t="str">
        <f>IF(ISBLANK(Record!B1628),"",Record!B1628)</f>
        <v/>
      </c>
      <c r="C1627" s="227" t="str">
        <f>IF(ISBLANK(Record!C1628),"",Record!C1628)</f>
        <v/>
      </c>
      <c r="D1627" t="str">
        <f>IF(ISBLANK(Record!D1628),"",Record!D1628)</f>
        <v/>
      </c>
      <c r="E1627" t="str">
        <f>IF(ISBLANK(Record!E1628),"",Record!E1628)</f>
        <v/>
      </c>
      <c r="M1627" t="str">
        <f t="shared" si="175"/>
        <v xml:space="preserve">          </v>
      </c>
      <c r="N1627" s="227" t="str">
        <f t="shared" si="176"/>
        <v/>
      </c>
      <c r="X1627" t="str">
        <f t="shared" si="177"/>
        <v xml:space="preserve">          </v>
      </c>
      <c r="Y1627" s="227" t="str">
        <f t="shared" si="178"/>
        <v/>
      </c>
      <c r="Z1627" t="str">
        <f t="shared" si="179"/>
        <v/>
      </c>
      <c r="AL1627" t="str">
        <f t="shared" si="180"/>
        <v/>
      </c>
      <c r="AM1627" t="str">
        <f t="shared" si="181"/>
        <v/>
      </c>
    </row>
    <row r="1628" spans="1:39">
      <c r="A1628" t="str">
        <f>IF(ISBLANK(Record!A1629),"",Record!A1629)</f>
        <v/>
      </c>
      <c r="B1628" t="str">
        <f>IF(ISBLANK(Record!B1629),"",Record!B1629)</f>
        <v/>
      </c>
      <c r="C1628" s="227" t="str">
        <f>IF(ISBLANK(Record!C1629),"",Record!C1629)</f>
        <v/>
      </c>
      <c r="D1628" t="str">
        <f>IF(ISBLANK(Record!D1629),"",Record!D1629)</f>
        <v/>
      </c>
      <c r="E1628" t="str">
        <f>IF(ISBLANK(Record!E1629),"",Record!E1629)</f>
        <v/>
      </c>
      <c r="M1628" t="str">
        <f t="shared" si="175"/>
        <v xml:space="preserve">          </v>
      </c>
      <c r="N1628" s="227" t="str">
        <f t="shared" si="176"/>
        <v/>
      </c>
      <c r="X1628" t="str">
        <f t="shared" si="177"/>
        <v xml:space="preserve">          </v>
      </c>
      <c r="Y1628" s="227" t="str">
        <f t="shared" si="178"/>
        <v/>
      </c>
      <c r="Z1628" t="str">
        <f t="shared" si="179"/>
        <v/>
      </c>
      <c r="AL1628" t="str">
        <f t="shared" si="180"/>
        <v/>
      </c>
      <c r="AM1628" t="str">
        <f t="shared" si="181"/>
        <v/>
      </c>
    </row>
    <row r="1629" spans="1:39">
      <c r="A1629" t="str">
        <f>IF(ISBLANK(Record!A1630),"",Record!A1630)</f>
        <v/>
      </c>
      <c r="B1629" t="str">
        <f>IF(ISBLANK(Record!B1630),"",Record!B1630)</f>
        <v/>
      </c>
      <c r="C1629" s="227" t="str">
        <f>IF(ISBLANK(Record!C1630),"",Record!C1630)</f>
        <v/>
      </c>
      <c r="D1629" t="str">
        <f>IF(ISBLANK(Record!D1630),"",Record!D1630)</f>
        <v/>
      </c>
      <c r="E1629" t="str">
        <f>IF(ISBLANK(Record!E1630),"",Record!E1630)</f>
        <v/>
      </c>
      <c r="M1629" t="str">
        <f t="shared" si="175"/>
        <v xml:space="preserve">          </v>
      </c>
      <c r="N1629" s="227" t="str">
        <f t="shared" si="176"/>
        <v/>
      </c>
      <c r="X1629" t="str">
        <f t="shared" si="177"/>
        <v xml:space="preserve">          </v>
      </c>
      <c r="Y1629" s="227" t="str">
        <f t="shared" si="178"/>
        <v/>
      </c>
      <c r="Z1629" t="str">
        <f t="shared" si="179"/>
        <v/>
      </c>
      <c r="AL1629" t="str">
        <f t="shared" si="180"/>
        <v/>
      </c>
      <c r="AM1629" t="str">
        <f t="shared" si="181"/>
        <v/>
      </c>
    </row>
    <row r="1630" spans="1:39">
      <c r="A1630" t="str">
        <f>IF(ISBLANK(Record!A1631),"",Record!A1631)</f>
        <v/>
      </c>
      <c r="B1630" t="str">
        <f>IF(ISBLANK(Record!B1631),"",Record!B1631)</f>
        <v/>
      </c>
      <c r="C1630" s="227" t="str">
        <f>IF(ISBLANK(Record!C1631),"",Record!C1631)</f>
        <v/>
      </c>
      <c r="D1630" t="str">
        <f>IF(ISBLANK(Record!D1631),"",Record!D1631)</f>
        <v/>
      </c>
      <c r="E1630" t="str">
        <f>IF(ISBLANK(Record!E1631),"",Record!E1631)</f>
        <v/>
      </c>
      <c r="M1630" t="str">
        <f t="shared" si="175"/>
        <v xml:space="preserve">          </v>
      </c>
      <c r="N1630" s="227" t="str">
        <f t="shared" si="176"/>
        <v/>
      </c>
      <c r="X1630" t="str">
        <f t="shared" si="177"/>
        <v xml:space="preserve">          </v>
      </c>
      <c r="Y1630" s="227" t="str">
        <f t="shared" si="178"/>
        <v/>
      </c>
      <c r="Z1630" t="str">
        <f t="shared" si="179"/>
        <v/>
      </c>
      <c r="AL1630" t="str">
        <f t="shared" si="180"/>
        <v/>
      </c>
      <c r="AM1630" t="str">
        <f t="shared" si="181"/>
        <v/>
      </c>
    </row>
    <row r="1631" spans="1:39">
      <c r="A1631" t="str">
        <f>IF(ISBLANK(Record!A1632),"",Record!A1632)</f>
        <v/>
      </c>
      <c r="B1631" t="str">
        <f>IF(ISBLANK(Record!B1632),"",Record!B1632)</f>
        <v/>
      </c>
      <c r="C1631" s="227" t="str">
        <f>IF(ISBLANK(Record!C1632),"",Record!C1632)</f>
        <v/>
      </c>
      <c r="D1631" t="str">
        <f>IF(ISBLANK(Record!D1632),"",Record!D1632)</f>
        <v/>
      </c>
      <c r="E1631" t="str">
        <f>IF(ISBLANK(Record!E1632),"",Record!E1632)</f>
        <v/>
      </c>
      <c r="M1631" t="str">
        <f t="shared" si="175"/>
        <v xml:space="preserve">          </v>
      </c>
      <c r="N1631" s="227" t="str">
        <f t="shared" si="176"/>
        <v/>
      </c>
      <c r="X1631" t="str">
        <f t="shared" si="177"/>
        <v xml:space="preserve">          </v>
      </c>
      <c r="Y1631" s="227" t="str">
        <f t="shared" si="178"/>
        <v/>
      </c>
      <c r="Z1631" t="str">
        <f t="shared" si="179"/>
        <v/>
      </c>
      <c r="AL1631" t="str">
        <f t="shared" si="180"/>
        <v/>
      </c>
      <c r="AM1631" t="str">
        <f t="shared" si="181"/>
        <v/>
      </c>
    </row>
    <row r="1632" spans="1:39">
      <c r="A1632" t="str">
        <f>IF(ISBLANK(Record!A1633),"",Record!A1633)</f>
        <v/>
      </c>
      <c r="B1632" t="str">
        <f>IF(ISBLANK(Record!B1633),"",Record!B1633)</f>
        <v/>
      </c>
      <c r="C1632" s="227" t="str">
        <f>IF(ISBLANK(Record!C1633),"",Record!C1633)</f>
        <v/>
      </c>
      <c r="D1632" t="str">
        <f>IF(ISBLANK(Record!D1633),"",Record!D1633)</f>
        <v/>
      </c>
      <c r="E1632" t="str">
        <f>IF(ISBLANK(Record!E1633),"",Record!E1633)</f>
        <v/>
      </c>
      <c r="M1632" t="str">
        <f t="shared" si="175"/>
        <v xml:space="preserve">          </v>
      </c>
      <c r="N1632" s="227" t="str">
        <f t="shared" si="176"/>
        <v/>
      </c>
      <c r="X1632" t="str">
        <f t="shared" si="177"/>
        <v xml:space="preserve">          </v>
      </c>
      <c r="Y1632" s="227" t="str">
        <f t="shared" si="178"/>
        <v/>
      </c>
      <c r="Z1632" t="str">
        <f t="shared" si="179"/>
        <v/>
      </c>
      <c r="AL1632" t="str">
        <f t="shared" si="180"/>
        <v/>
      </c>
      <c r="AM1632" t="str">
        <f t="shared" si="181"/>
        <v/>
      </c>
    </row>
    <row r="1633" spans="1:39">
      <c r="A1633" t="str">
        <f>IF(ISBLANK(Record!A1634),"",Record!A1634)</f>
        <v/>
      </c>
      <c r="B1633" t="str">
        <f>IF(ISBLANK(Record!B1634),"",Record!B1634)</f>
        <v/>
      </c>
      <c r="C1633" s="227" t="str">
        <f>IF(ISBLANK(Record!C1634),"",Record!C1634)</f>
        <v/>
      </c>
      <c r="D1633" t="str">
        <f>IF(ISBLANK(Record!D1634),"",Record!D1634)</f>
        <v/>
      </c>
      <c r="E1633" t="str">
        <f>IF(ISBLANK(Record!E1634),"",Record!E1634)</f>
        <v/>
      </c>
      <c r="M1633" t="str">
        <f t="shared" si="175"/>
        <v xml:space="preserve">          </v>
      </c>
      <c r="N1633" s="227" t="str">
        <f t="shared" si="176"/>
        <v/>
      </c>
      <c r="X1633" t="str">
        <f t="shared" si="177"/>
        <v xml:space="preserve">          </v>
      </c>
      <c r="Y1633" s="227" t="str">
        <f t="shared" si="178"/>
        <v/>
      </c>
      <c r="Z1633" t="str">
        <f t="shared" si="179"/>
        <v/>
      </c>
      <c r="AL1633" t="str">
        <f t="shared" si="180"/>
        <v/>
      </c>
      <c r="AM1633" t="str">
        <f t="shared" si="181"/>
        <v/>
      </c>
    </row>
    <row r="1634" spans="1:39">
      <c r="A1634" t="str">
        <f>IF(ISBLANK(Record!A1635),"",Record!A1635)</f>
        <v/>
      </c>
      <c r="B1634" t="str">
        <f>IF(ISBLANK(Record!B1635),"",Record!B1635)</f>
        <v/>
      </c>
      <c r="C1634" s="227" t="str">
        <f>IF(ISBLANK(Record!C1635),"",Record!C1635)</f>
        <v/>
      </c>
      <c r="D1634" t="str">
        <f>IF(ISBLANK(Record!D1635),"",Record!D1635)</f>
        <v/>
      </c>
      <c r="E1634" t="str">
        <f>IF(ISBLANK(Record!E1635),"",Record!E1635)</f>
        <v/>
      </c>
      <c r="M1634" t="str">
        <f t="shared" si="175"/>
        <v xml:space="preserve">          </v>
      </c>
      <c r="N1634" s="227" t="str">
        <f t="shared" si="176"/>
        <v/>
      </c>
      <c r="X1634" t="str">
        <f t="shared" si="177"/>
        <v xml:space="preserve">          </v>
      </c>
      <c r="Y1634" s="227" t="str">
        <f t="shared" si="178"/>
        <v/>
      </c>
      <c r="Z1634" t="str">
        <f t="shared" si="179"/>
        <v/>
      </c>
      <c r="AL1634" t="str">
        <f t="shared" si="180"/>
        <v/>
      </c>
      <c r="AM1634" t="str">
        <f t="shared" si="181"/>
        <v/>
      </c>
    </row>
    <row r="1635" spans="1:39">
      <c r="A1635" t="str">
        <f>IF(ISBLANK(Record!A1636),"",Record!A1636)</f>
        <v/>
      </c>
      <c r="B1635" t="str">
        <f>IF(ISBLANK(Record!B1636),"",Record!B1636)</f>
        <v/>
      </c>
      <c r="C1635" s="227" t="str">
        <f>IF(ISBLANK(Record!C1636),"",Record!C1636)</f>
        <v/>
      </c>
      <c r="D1635" t="str">
        <f>IF(ISBLANK(Record!D1636),"",Record!D1636)</f>
        <v/>
      </c>
      <c r="E1635" t="str">
        <f>IF(ISBLANK(Record!E1636),"",Record!E1636)</f>
        <v/>
      </c>
      <c r="M1635" t="str">
        <f t="shared" si="175"/>
        <v xml:space="preserve">          </v>
      </c>
      <c r="N1635" s="227" t="str">
        <f t="shared" si="176"/>
        <v/>
      </c>
      <c r="X1635" t="str">
        <f t="shared" si="177"/>
        <v xml:space="preserve">          </v>
      </c>
      <c r="Y1635" s="227" t="str">
        <f t="shared" si="178"/>
        <v/>
      </c>
      <c r="Z1635" t="str">
        <f t="shared" si="179"/>
        <v/>
      </c>
      <c r="AL1635" t="str">
        <f t="shared" si="180"/>
        <v/>
      </c>
      <c r="AM1635" t="str">
        <f t="shared" si="181"/>
        <v/>
      </c>
    </row>
    <row r="1636" spans="1:39">
      <c r="A1636" t="str">
        <f>IF(ISBLANK(Record!A1637),"",Record!A1637)</f>
        <v/>
      </c>
      <c r="B1636" t="str">
        <f>IF(ISBLANK(Record!B1637),"",Record!B1637)</f>
        <v/>
      </c>
      <c r="C1636" s="227" t="str">
        <f>IF(ISBLANK(Record!C1637),"",Record!C1637)</f>
        <v/>
      </c>
      <c r="D1636" t="str">
        <f>IF(ISBLANK(Record!D1637),"",Record!D1637)</f>
        <v/>
      </c>
      <c r="E1636" t="str">
        <f>IF(ISBLANK(Record!E1637),"",Record!E1637)</f>
        <v/>
      </c>
      <c r="M1636" t="str">
        <f t="shared" si="175"/>
        <v xml:space="preserve">          </v>
      </c>
      <c r="N1636" s="227" t="str">
        <f t="shared" si="176"/>
        <v/>
      </c>
      <c r="X1636" t="str">
        <f t="shared" si="177"/>
        <v xml:space="preserve">          </v>
      </c>
      <c r="Y1636" s="227" t="str">
        <f t="shared" si="178"/>
        <v/>
      </c>
      <c r="Z1636" t="str">
        <f t="shared" si="179"/>
        <v/>
      </c>
      <c r="AL1636" t="str">
        <f t="shared" si="180"/>
        <v/>
      </c>
      <c r="AM1636" t="str">
        <f t="shared" si="181"/>
        <v/>
      </c>
    </row>
    <row r="1637" spans="1:39">
      <c r="A1637" t="str">
        <f>IF(ISBLANK(Record!A1638),"",Record!A1638)</f>
        <v/>
      </c>
      <c r="B1637" t="str">
        <f>IF(ISBLANK(Record!B1638),"",Record!B1638)</f>
        <v/>
      </c>
      <c r="C1637" s="227" t="str">
        <f>IF(ISBLANK(Record!C1638),"",Record!C1638)</f>
        <v/>
      </c>
      <c r="D1637" t="str">
        <f>IF(ISBLANK(Record!D1638),"",Record!D1638)</f>
        <v/>
      </c>
      <c r="E1637" t="str">
        <f>IF(ISBLANK(Record!E1638),"",Record!E1638)</f>
        <v/>
      </c>
      <c r="M1637" t="str">
        <f t="shared" si="175"/>
        <v xml:space="preserve">          </v>
      </c>
      <c r="N1637" s="227" t="str">
        <f t="shared" si="176"/>
        <v/>
      </c>
      <c r="X1637" t="str">
        <f t="shared" si="177"/>
        <v xml:space="preserve">          </v>
      </c>
      <c r="Y1637" s="227" t="str">
        <f t="shared" si="178"/>
        <v/>
      </c>
      <c r="Z1637" t="str">
        <f t="shared" si="179"/>
        <v/>
      </c>
      <c r="AL1637" t="str">
        <f t="shared" si="180"/>
        <v/>
      </c>
      <c r="AM1637" t="str">
        <f t="shared" si="181"/>
        <v/>
      </c>
    </row>
    <row r="1638" spans="1:39">
      <c r="A1638" t="str">
        <f>IF(ISBLANK(Record!A1639),"",Record!A1639)</f>
        <v/>
      </c>
      <c r="B1638" t="str">
        <f>IF(ISBLANK(Record!B1639),"",Record!B1639)</f>
        <v/>
      </c>
      <c r="C1638" s="227" t="str">
        <f>IF(ISBLANK(Record!C1639),"",Record!C1639)</f>
        <v/>
      </c>
      <c r="D1638" t="str">
        <f>IF(ISBLANK(Record!D1639),"",Record!D1639)</f>
        <v/>
      </c>
      <c r="E1638" t="str">
        <f>IF(ISBLANK(Record!E1639),"",Record!E1639)</f>
        <v/>
      </c>
      <c r="M1638" t="str">
        <f t="shared" si="175"/>
        <v xml:space="preserve">          </v>
      </c>
      <c r="N1638" s="227" t="str">
        <f t="shared" si="176"/>
        <v/>
      </c>
      <c r="X1638" t="str">
        <f t="shared" si="177"/>
        <v xml:space="preserve">          </v>
      </c>
      <c r="Y1638" s="227" t="str">
        <f t="shared" si="178"/>
        <v/>
      </c>
      <c r="Z1638" t="str">
        <f t="shared" si="179"/>
        <v/>
      </c>
      <c r="AL1638" t="str">
        <f t="shared" si="180"/>
        <v/>
      </c>
      <c r="AM1638" t="str">
        <f t="shared" si="181"/>
        <v/>
      </c>
    </row>
    <row r="1639" spans="1:39">
      <c r="A1639" t="str">
        <f>IF(ISBLANK(Record!A1640),"",Record!A1640)</f>
        <v/>
      </c>
      <c r="B1639" t="str">
        <f>IF(ISBLANK(Record!B1640),"",Record!B1640)</f>
        <v/>
      </c>
      <c r="C1639" s="227" t="str">
        <f>IF(ISBLANK(Record!C1640),"",Record!C1640)</f>
        <v/>
      </c>
      <c r="D1639" t="str">
        <f>IF(ISBLANK(Record!D1640),"",Record!D1640)</f>
        <v/>
      </c>
      <c r="E1639" t="str">
        <f>IF(ISBLANK(Record!E1640),"",Record!E1640)</f>
        <v/>
      </c>
      <c r="M1639" t="str">
        <f t="shared" si="175"/>
        <v xml:space="preserve">          </v>
      </c>
      <c r="N1639" s="227" t="str">
        <f t="shared" si="176"/>
        <v/>
      </c>
      <c r="X1639" t="str">
        <f t="shared" si="177"/>
        <v xml:space="preserve">          </v>
      </c>
      <c r="Y1639" s="227" t="str">
        <f t="shared" si="178"/>
        <v/>
      </c>
      <c r="Z1639" t="str">
        <f t="shared" si="179"/>
        <v/>
      </c>
      <c r="AL1639" t="str">
        <f t="shared" si="180"/>
        <v/>
      </c>
      <c r="AM1639" t="str">
        <f t="shared" si="181"/>
        <v/>
      </c>
    </row>
    <row r="1640" spans="1:39">
      <c r="A1640" t="str">
        <f>IF(ISBLANK(Record!A1641),"",Record!A1641)</f>
        <v/>
      </c>
      <c r="B1640" t="str">
        <f>IF(ISBLANK(Record!B1641),"",Record!B1641)</f>
        <v/>
      </c>
      <c r="C1640" s="227" t="str">
        <f>IF(ISBLANK(Record!C1641),"",Record!C1641)</f>
        <v/>
      </c>
      <c r="D1640" t="str">
        <f>IF(ISBLANK(Record!D1641),"",Record!D1641)</f>
        <v/>
      </c>
      <c r="E1640" t="str">
        <f>IF(ISBLANK(Record!E1641),"",Record!E1641)</f>
        <v/>
      </c>
      <c r="M1640" t="str">
        <f t="shared" si="175"/>
        <v xml:space="preserve">          </v>
      </c>
      <c r="N1640" s="227" t="str">
        <f t="shared" si="176"/>
        <v/>
      </c>
      <c r="X1640" t="str">
        <f t="shared" si="177"/>
        <v xml:space="preserve">          </v>
      </c>
      <c r="Y1640" s="227" t="str">
        <f t="shared" si="178"/>
        <v/>
      </c>
      <c r="Z1640" t="str">
        <f t="shared" si="179"/>
        <v/>
      </c>
      <c r="AL1640" t="str">
        <f t="shared" si="180"/>
        <v/>
      </c>
      <c r="AM1640" t="str">
        <f t="shared" si="181"/>
        <v/>
      </c>
    </row>
    <row r="1641" spans="1:39">
      <c r="A1641" t="str">
        <f>IF(ISBLANK(Record!A1642),"",Record!A1642)</f>
        <v/>
      </c>
      <c r="B1641" t="str">
        <f>IF(ISBLANK(Record!B1642),"",Record!B1642)</f>
        <v/>
      </c>
      <c r="C1641" s="227" t="str">
        <f>IF(ISBLANK(Record!C1642),"",Record!C1642)</f>
        <v/>
      </c>
      <c r="D1641" t="str">
        <f>IF(ISBLANK(Record!D1642),"",Record!D1642)</f>
        <v/>
      </c>
      <c r="E1641" t="str">
        <f>IF(ISBLANK(Record!E1642),"",Record!E1642)</f>
        <v/>
      </c>
      <c r="M1641" t="str">
        <f t="shared" si="175"/>
        <v xml:space="preserve">          </v>
      </c>
      <c r="N1641" s="227" t="str">
        <f t="shared" si="176"/>
        <v/>
      </c>
      <c r="X1641" t="str">
        <f t="shared" si="177"/>
        <v xml:space="preserve">          </v>
      </c>
      <c r="Y1641" s="227" t="str">
        <f t="shared" si="178"/>
        <v/>
      </c>
      <c r="Z1641" t="str">
        <f t="shared" si="179"/>
        <v/>
      </c>
      <c r="AL1641" t="str">
        <f t="shared" si="180"/>
        <v/>
      </c>
      <c r="AM1641" t="str">
        <f t="shared" si="181"/>
        <v/>
      </c>
    </row>
    <row r="1642" spans="1:39">
      <c r="A1642" t="str">
        <f>IF(ISBLANK(Record!A1643),"",Record!A1643)</f>
        <v/>
      </c>
      <c r="B1642" t="str">
        <f>IF(ISBLANK(Record!B1643),"",Record!B1643)</f>
        <v/>
      </c>
      <c r="C1642" s="227" t="str">
        <f>IF(ISBLANK(Record!C1643),"",Record!C1643)</f>
        <v/>
      </c>
      <c r="D1642" t="str">
        <f>IF(ISBLANK(Record!D1643),"",Record!D1643)</f>
        <v/>
      </c>
      <c r="E1642" t="str">
        <f>IF(ISBLANK(Record!E1643),"",Record!E1643)</f>
        <v/>
      </c>
      <c r="M1642" t="str">
        <f t="shared" si="175"/>
        <v xml:space="preserve">          </v>
      </c>
      <c r="N1642" s="227" t="str">
        <f t="shared" si="176"/>
        <v/>
      </c>
      <c r="X1642" t="str">
        <f t="shared" si="177"/>
        <v xml:space="preserve">          </v>
      </c>
      <c r="Y1642" s="227" t="str">
        <f t="shared" si="178"/>
        <v/>
      </c>
      <c r="Z1642" t="str">
        <f t="shared" si="179"/>
        <v/>
      </c>
      <c r="AL1642" t="str">
        <f t="shared" si="180"/>
        <v/>
      </c>
      <c r="AM1642" t="str">
        <f t="shared" si="181"/>
        <v/>
      </c>
    </row>
    <row r="1643" spans="1:39">
      <c r="A1643" t="str">
        <f>IF(ISBLANK(Record!A1644),"",Record!A1644)</f>
        <v/>
      </c>
      <c r="B1643" t="str">
        <f>IF(ISBLANK(Record!B1644),"",Record!B1644)</f>
        <v/>
      </c>
      <c r="C1643" s="227" t="str">
        <f>IF(ISBLANK(Record!C1644),"",Record!C1644)</f>
        <v/>
      </c>
      <c r="D1643" t="str">
        <f>IF(ISBLANK(Record!D1644),"",Record!D1644)</f>
        <v/>
      </c>
      <c r="E1643" t="str">
        <f>IF(ISBLANK(Record!E1644),"",Record!E1644)</f>
        <v/>
      </c>
      <c r="M1643" t="str">
        <f t="shared" si="175"/>
        <v xml:space="preserve">          </v>
      </c>
      <c r="N1643" s="227" t="str">
        <f t="shared" si="176"/>
        <v/>
      </c>
      <c r="X1643" t="str">
        <f t="shared" si="177"/>
        <v xml:space="preserve">          </v>
      </c>
      <c r="Y1643" s="227" t="str">
        <f t="shared" si="178"/>
        <v/>
      </c>
      <c r="Z1643" t="str">
        <f t="shared" si="179"/>
        <v/>
      </c>
      <c r="AL1643" t="str">
        <f t="shared" si="180"/>
        <v/>
      </c>
      <c r="AM1643" t="str">
        <f t="shared" si="181"/>
        <v/>
      </c>
    </row>
    <row r="1644" spans="1:39">
      <c r="A1644" t="str">
        <f>IF(ISBLANK(Record!A1645),"",Record!A1645)</f>
        <v/>
      </c>
      <c r="B1644" t="str">
        <f>IF(ISBLANK(Record!B1645),"",Record!B1645)</f>
        <v/>
      </c>
      <c r="C1644" s="227" t="str">
        <f>IF(ISBLANK(Record!C1645),"",Record!C1645)</f>
        <v/>
      </c>
      <c r="D1644" t="str">
        <f>IF(ISBLANK(Record!D1645),"",Record!D1645)</f>
        <v/>
      </c>
      <c r="E1644" t="str">
        <f>IF(ISBLANK(Record!E1645),"",Record!E1645)</f>
        <v/>
      </c>
      <c r="M1644" t="str">
        <f t="shared" si="175"/>
        <v xml:space="preserve">          </v>
      </c>
      <c r="N1644" s="227" t="str">
        <f t="shared" si="176"/>
        <v/>
      </c>
      <c r="X1644" t="str">
        <f t="shared" si="177"/>
        <v xml:space="preserve">          </v>
      </c>
      <c r="Y1644" s="227" t="str">
        <f t="shared" si="178"/>
        <v/>
      </c>
      <c r="Z1644" t="str">
        <f t="shared" si="179"/>
        <v/>
      </c>
      <c r="AL1644" t="str">
        <f t="shared" si="180"/>
        <v/>
      </c>
      <c r="AM1644" t="str">
        <f t="shared" si="181"/>
        <v/>
      </c>
    </row>
    <row r="1645" spans="1:39">
      <c r="A1645" t="str">
        <f>IF(ISBLANK(Record!A1646),"",Record!A1646)</f>
        <v/>
      </c>
      <c r="B1645" t="str">
        <f>IF(ISBLANK(Record!B1646),"",Record!B1646)</f>
        <v/>
      </c>
      <c r="C1645" s="227" t="str">
        <f>IF(ISBLANK(Record!C1646),"",Record!C1646)</f>
        <v/>
      </c>
      <c r="D1645" t="str">
        <f>IF(ISBLANK(Record!D1646),"",Record!D1646)</f>
        <v/>
      </c>
      <c r="E1645" t="str">
        <f>IF(ISBLANK(Record!E1646),"",Record!E1646)</f>
        <v/>
      </c>
      <c r="M1645" t="str">
        <f t="shared" si="175"/>
        <v xml:space="preserve">          </v>
      </c>
      <c r="N1645" s="227" t="str">
        <f t="shared" si="176"/>
        <v/>
      </c>
      <c r="X1645" t="str">
        <f t="shared" si="177"/>
        <v xml:space="preserve">          </v>
      </c>
      <c r="Y1645" s="227" t="str">
        <f t="shared" si="178"/>
        <v/>
      </c>
      <c r="Z1645" t="str">
        <f t="shared" si="179"/>
        <v/>
      </c>
      <c r="AL1645" t="str">
        <f t="shared" si="180"/>
        <v/>
      </c>
      <c r="AM1645" t="str">
        <f t="shared" si="181"/>
        <v/>
      </c>
    </row>
    <row r="1646" spans="1:39">
      <c r="A1646" t="str">
        <f>IF(ISBLANK(Record!A1647),"",Record!A1647)</f>
        <v/>
      </c>
      <c r="B1646" t="str">
        <f>IF(ISBLANK(Record!B1647),"",Record!B1647)</f>
        <v/>
      </c>
      <c r="C1646" s="227" t="str">
        <f>IF(ISBLANK(Record!C1647),"",Record!C1647)</f>
        <v/>
      </c>
      <c r="D1646" t="str">
        <f>IF(ISBLANK(Record!D1647),"",Record!D1647)</f>
        <v/>
      </c>
      <c r="E1646" t="str">
        <f>IF(ISBLANK(Record!E1647),"",Record!E1647)</f>
        <v/>
      </c>
      <c r="M1646" t="str">
        <f t="shared" si="175"/>
        <v xml:space="preserve">          </v>
      </c>
      <c r="N1646" s="227" t="str">
        <f t="shared" si="176"/>
        <v/>
      </c>
      <c r="X1646" t="str">
        <f t="shared" si="177"/>
        <v xml:space="preserve">          </v>
      </c>
      <c r="Y1646" s="227" t="str">
        <f t="shared" si="178"/>
        <v/>
      </c>
      <c r="Z1646" t="str">
        <f t="shared" si="179"/>
        <v/>
      </c>
      <c r="AL1646" t="str">
        <f t="shared" si="180"/>
        <v/>
      </c>
      <c r="AM1646" t="str">
        <f t="shared" si="181"/>
        <v/>
      </c>
    </row>
    <row r="1647" spans="1:39">
      <c r="A1647" t="str">
        <f>IF(ISBLANK(Record!A1648),"",Record!A1648)</f>
        <v/>
      </c>
      <c r="B1647" t="str">
        <f>IF(ISBLANK(Record!B1648),"",Record!B1648)</f>
        <v/>
      </c>
      <c r="C1647" s="227" t="str">
        <f>IF(ISBLANK(Record!C1648),"",Record!C1648)</f>
        <v/>
      </c>
      <c r="D1647" t="str">
        <f>IF(ISBLANK(Record!D1648),"",Record!D1648)</f>
        <v/>
      </c>
      <c r="E1647" t="str">
        <f>IF(ISBLANK(Record!E1648),"",Record!E1648)</f>
        <v/>
      </c>
      <c r="M1647" t="str">
        <f t="shared" si="175"/>
        <v xml:space="preserve">          </v>
      </c>
      <c r="N1647" s="227" t="str">
        <f t="shared" si="176"/>
        <v/>
      </c>
      <c r="X1647" t="str">
        <f t="shared" si="177"/>
        <v xml:space="preserve">          </v>
      </c>
      <c r="Y1647" s="227" t="str">
        <f t="shared" si="178"/>
        <v/>
      </c>
      <c r="Z1647" t="str">
        <f t="shared" si="179"/>
        <v/>
      </c>
      <c r="AL1647" t="str">
        <f t="shared" si="180"/>
        <v/>
      </c>
      <c r="AM1647" t="str">
        <f t="shared" si="181"/>
        <v/>
      </c>
    </row>
    <row r="1648" spans="1:39">
      <c r="A1648" t="str">
        <f>IF(ISBLANK(Record!A1649),"",Record!A1649)</f>
        <v/>
      </c>
      <c r="B1648" t="str">
        <f>IF(ISBLANK(Record!B1649),"",Record!B1649)</f>
        <v/>
      </c>
      <c r="C1648" s="227" t="str">
        <f>IF(ISBLANK(Record!C1649),"",Record!C1649)</f>
        <v/>
      </c>
      <c r="D1648" t="str">
        <f>IF(ISBLANK(Record!D1649),"",Record!D1649)</f>
        <v/>
      </c>
      <c r="E1648" t="str">
        <f>IF(ISBLANK(Record!E1649),"",Record!E1649)</f>
        <v/>
      </c>
      <c r="M1648" t="str">
        <f t="shared" si="175"/>
        <v xml:space="preserve">          </v>
      </c>
      <c r="N1648" s="227" t="str">
        <f t="shared" si="176"/>
        <v/>
      </c>
      <c r="X1648" t="str">
        <f t="shared" si="177"/>
        <v xml:space="preserve">          </v>
      </c>
      <c r="Y1648" s="227" t="str">
        <f t="shared" si="178"/>
        <v/>
      </c>
      <c r="Z1648" t="str">
        <f t="shared" si="179"/>
        <v/>
      </c>
      <c r="AL1648" t="str">
        <f t="shared" si="180"/>
        <v/>
      </c>
      <c r="AM1648" t="str">
        <f t="shared" si="181"/>
        <v/>
      </c>
    </row>
    <row r="1649" spans="1:52">
      <c r="A1649" t="str">
        <f>IF(ISBLANK(Record!A1650),"",Record!A1650)</f>
        <v/>
      </c>
      <c r="B1649" t="str">
        <f>IF(ISBLANK(Record!B1650),"",Record!B1650)</f>
        <v/>
      </c>
      <c r="C1649" s="227" t="str">
        <f>IF(ISBLANK(Record!C1650),"",Record!C1650)</f>
        <v/>
      </c>
      <c r="D1649" t="str">
        <f>IF(ISBLANK(Record!D1650),"",Record!D1650)</f>
        <v/>
      </c>
      <c r="E1649" t="str">
        <f>IF(ISBLANK(Record!E1650),"",Record!E1650)</f>
        <v/>
      </c>
      <c r="M1649" t="str">
        <f t="shared" si="175"/>
        <v xml:space="preserve">          </v>
      </c>
      <c r="N1649" s="227" t="str">
        <f t="shared" si="176"/>
        <v/>
      </c>
      <c r="X1649" t="str">
        <f t="shared" si="177"/>
        <v xml:space="preserve">          </v>
      </c>
      <c r="Y1649" s="227" t="str">
        <f t="shared" si="178"/>
        <v/>
      </c>
      <c r="Z1649" t="str">
        <f t="shared" si="179"/>
        <v/>
      </c>
      <c r="AL1649" t="str">
        <f t="shared" si="180"/>
        <v/>
      </c>
      <c r="AM1649" t="str">
        <f t="shared" si="181"/>
        <v/>
      </c>
    </row>
    <row r="1650" spans="1:52" s="126" customFormat="1">
      <c r="A1650" s="126" t="str">
        <f>IF(ISBLANK(Record!A1651),"",Record!A1651)</f>
        <v/>
      </c>
      <c r="B1650" s="126" t="str">
        <f>IF(ISBLANK(Record!B1651),"",Record!B1651)</f>
        <v/>
      </c>
      <c r="C1650" s="228" t="str">
        <f>IF(ISBLANK(Record!C1651),"",Record!C1651)</f>
        <v/>
      </c>
      <c r="D1650" s="126" t="str">
        <f>IF(ISBLANK(Record!D1651),"",Record!D1651)</f>
        <v/>
      </c>
      <c r="E1650" s="126" t="str">
        <f>IF(ISBLANK(Record!E1651),"",Record!E1651)</f>
        <v/>
      </c>
      <c r="M1650" s="126" t="str">
        <f t="shared" si="175"/>
        <v xml:space="preserve">          </v>
      </c>
      <c r="N1650" s="228" t="str">
        <f t="shared" si="176"/>
        <v/>
      </c>
      <c r="X1650" s="126" t="str">
        <f t="shared" si="177"/>
        <v xml:space="preserve">          </v>
      </c>
      <c r="Y1650" s="228" t="str">
        <f t="shared" si="178"/>
        <v/>
      </c>
      <c r="Z1650" s="126" t="str">
        <f t="shared" si="179"/>
        <v/>
      </c>
      <c r="AF1650" s="228"/>
      <c r="AL1650" s="126" t="str">
        <f t="shared" si="180"/>
        <v/>
      </c>
      <c r="AM1650" s="126" t="str">
        <f t="shared" si="181"/>
        <v/>
      </c>
      <c r="AQ1650" s="11"/>
      <c r="AT1650" s="11"/>
      <c r="AY1650" s="203"/>
      <c r="AZ1650" s="203"/>
    </row>
    <row r="1651" spans="1:52" s="126" customFormat="1">
      <c r="A1651" s="126" t="str">
        <f>IF(ISBLANK(Record!A1652),"",Record!A1652)</f>
        <v/>
      </c>
      <c r="B1651" s="126" t="str">
        <f>IF(ISBLANK(Record!B1652),"",Record!B1652)</f>
        <v/>
      </c>
      <c r="C1651" s="228" t="str">
        <f>IF(ISBLANK(Record!C1652),"",Record!C1652)</f>
        <v/>
      </c>
      <c r="D1651" s="126" t="str">
        <f>IF(ISBLANK(Record!D1652),"",Record!D1652)</f>
        <v/>
      </c>
      <c r="E1651" s="126" t="str">
        <f>IF(ISBLANK(Record!E1652),"",Record!E1652)</f>
        <v/>
      </c>
      <c r="M1651" s="126" t="str">
        <f t="shared" si="175"/>
        <v xml:space="preserve">          </v>
      </c>
      <c r="N1651" s="228" t="str">
        <f t="shared" si="176"/>
        <v/>
      </c>
      <c r="X1651" s="126" t="str">
        <f t="shared" si="177"/>
        <v xml:space="preserve">          </v>
      </c>
      <c r="Y1651" s="228" t="str">
        <f t="shared" si="178"/>
        <v/>
      </c>
      <c r="Z1651" s="126" t="str">
        <f t="shared" si="179"/>
        <v/>
      </c>
      <c r="AF1651" s="228"/>
      <c r="AQ1651" s="11"/>
      <c r="AT1651" s="11"/>
      <c r="AY1651" s="203"/>
      <c r="AZ1651" s="20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sheetPr codeName="Sheet8"/>
  <dimension ref="A1:AK32"/>
  <sheetViews>
    <sheetView showGridLines="0" zoomScaleNormal="100" workbookViewId="0">
      <selection activeCell="J13" sqref="J13:K13"/>
    </sheetView>
  </sheetViews>
  <sheetFormatPr defaultRowHeight="14.5"/>
  <cols>
    <col min="1" max="1" width="4.08984375" customWidth="1"/>
    <col min="2" max="2" width="21.08984375" customWidth="1"/>
    <col min="3" max="3" width="36" customWidth="1"/>
    <col min="4" max="4" width="32.08984375" customWidth="1"/>
    <col min="5" max="5" width="10.36328125" customWidth="1"/>
    <col min="6" max="6" width="1.81640625" customWidth="1"/>
    <col min="7" max="7" width="2.36328125" customWidth="1"/>
    <col min="8" max="8" width="6.6328125" customWidth="1"/>
    <col min="9" max="9" width="12" customWidth="1"/>
    <col min="10" max="10" width="8.36328125" customWidth="1"/>
    <col min="11" max="11" width="9.81640625" customWidth="1"/>
    <col min="12" max="12" width="11.7265625" customWidth="1"/>
    <col min="13" max="13" width="11.36328125" customWidth="1"/>
    <col min="14" max="20" width="8.81640625" customWidth="1"/>
    <col min="24" max="24" width="11.26953125" bestFit="1" customWidth="1"/>
    <col min="26" max="26" width="3.6328125" bestFit="1" customWidth="1"/>
    <col min="27" max="27" width="11.08984375" bestFit="1" customWidth="1"/>
    <col min="28" max="28" width="21.08984375" bestFit="1" customWidth="1"/>
    <col min="29" max="29" width="11.81640625" bestFit="1" customWidth="1"/>
    <col min="30" max="30" width="8" bestFit="1" customWidth="1"/>
    <col min="31" max="31" width="5.7265625" bestFit="1" customWidth="1"/>
    <col min="32" max="32" width="7.26953125" bestFit="1" customWidth="1"/>
    <col min="33" max="33" width="12" bestFit="1" customWidth="1"/>
    <col min="34" max="34" width="14.36328125" bestFit="1" customWidth="1"/>
    <col min="35" max="35" width="6.7265625" bestFit="1" customWidth="1"/>
    <col min="36" max="36" width="29.6328125" bestFit="1" customWidth="1"/>
  </cols>
  <sheetData>
    <row r="1" spans="1:37" ht="14.25" customHeight="1" thickBot="1">
      <c r="A1" s="171" t="str">
        <f>Scan!A1</f>
        <v>Serial Scanner Version 3.9</v>
      </c>
      <c r="B1" s="12"/>
      <c r="C1" s="12"/>
      <c r="D1" s="12"/>
      <c r="E1" s="12"/>
      <c r="F1" s="12"/>
      <c r="G1" s="165"/>
      <c r="H1" s="166"/>
      <c r="I1" s="166"/>
      <c r="J1" s="166"/>
      <c r="K1" s="166"/>
      <c r="L1" s="166"/>
      <c r="M1" s="166"/>
      <c r="N1" s="162"/>
      <c r="O1" s="66"/>
      <c r="P1" s="66"/>
      <c r="Q1" s="66"/>
      <c r="R1" s="66"/>
      <c r="S1" s="66"/>
      <c r="T1" s="66"/>
      <c r="U1" s="66"/>
      <c r="V1" s="66"/>
      <c r="W1" s="66"/>
      <c r="X1" s="67" t="str">
        <f>IF(ISBLANK(Mov),"",IF(Toggle7="on",Y10,VLOOKUP(Mov,TLSTOCK, 4,FALSE)))</f>
        <v/>
      </c>
      <c r="Y1" s="67" t="str">
        <f>IF(LEFT(X1,1)="D",VALUE(REPLACE(X1,1,1,"")),X1)</f>
        <v/>
      </c>
      <c r="Z1" s="66"/>
      <c r="AA1" s="66"/>
      <c r="AB1" s="66"/>
      <c r="AC1" s="66"/>
      <c r="AD1" s="68" t="s">
        <v>19</v>
      </c>
      <c r="AE1" s="68" t="s">
        <v>17</v>
      </c>
      <c r="AF1" s="68" t="s">
        <v>18</v>
      </c>
      <c r="AG1" s="68" t="s">
        <v>20</v>
      </c>
      <c r="AH1" s="68" t="s">
        <v>21</v>
      </c>
      <c r="AI1" s="68" t="s">
        <v>34</v>
      </c>
      <c r="AJ1" s="66" t="str">
        <f>IF(TRIM(CONCATENATE(AJ2,"  ",AJ3,"  ",AJ4,"  ",AJ5,"  ",AJ6,"  ",AJ7,"  ",AJ8,"  ",AJ9,"  ",AJ10,"  ",AJ11,"  ",AJ12," "))="","Ready to Record","")</f>
        <v/>
      </c>
      <c r="AK1" s="66"/>
    </row>
    <row r="2" spans="1:37" ht="21.5" thickBot="1">
      <c r="A2" s="12"/>
      <c r="B2" s="139" t="s">
        <v>107</v>
      </c>
      <c r="C2" s="139" t="s">
        <v>108</v>
      </c>
      <c r="D2" s="297" t="s">
        <v>66</v>
      </c>
      <c r="E2" s="298"/>
      <c r="F2" s="12"/>
      <c r="G2" s="167"/>
      <c r="H2" s="299" t="s">
        <v>93</v>
      </c>
      <c r="I2" s="300"/>
      <c r="J2" s="300"/>
      <c r="K2" s="300"/>
      <c r="L2" s="300"/>
      <c r="M2" s="301"/>
      <c r="N2" s="163"/>
      <c r="O2" s="66"/>
      <c r="P2" s="66"/>
      <c r="Q2" s="66"/>
      <c r="R2" s="66"/>
      <c r="S2" s="66"/>
      <c r="T2" s="66"/>
      <c r="U2" s="66"/>
      <c r="V2" s="66"/>
      <c r="W2" s="66"/>
      <c r="X2" s="68" t="s">
        <v>26</v>
      </c>
      <c r="Y2" s="3" t="str">
        <f>IF(Mov="","",VLOOKUP(Mov,TLSTOCK,4,FALSE))</f>
        <v/>
      </c>
      <c r="Z2" s="69" t="str">
        <f>IF(ISBLANK(Product),"",IF(Mov_Product=Product,"Yes",IF(Toggle8="on","Yes",IF(Toggle1="on",IF(Product&lt;&gt;Mov_Product,IF(X1=Product,"Yes",IF(Y1=Product,"Yes")),"No")))))</f>
        <v/>
      </c>
      <c r="AA2" s="70" t="b">
        <f>IFERROR(IF(AND(Z2="Yes",Z3="Yes",Z7="No",Z8="No",Z9="No",Z11="No",Z5="No"),TRUE,FALSE),FALSE)</f>
        <v>0</v>
      </c>
      <c r="AB2" s="66" t="s">
        <v>15</v>
      </c>
      <c r="AC2" s="66"/>
      <c r="AD2" s="68" t="str">
        <f>IF(Key=TRUE,2,"")</f>
        <v/>
      </c>
      <c r="AE2" s="68" t="str">
        <f>IF(Z2="Yes",2,"")</f>
        <v/>
      </c>
      <c r="AF2" s="68" t="str">
        <f>IF(Z2="No",3,"")</f>
        <v/>
      </c>
      <c r="AG2" s="68" t="str">
        <f>IF(AND(Z7="Yes",NOT(C3="*Scan First Mov*")),0,"")</f>
        <v/>
      </c>
      <c r="AH2" s="68" t="str">
        <f>IF(AND(Key=FALSE,NOT(ISBLANK(Serial))),3,"")</f>
        <v/>
      </c>
      <c r="AI2" s="68" t="str">
        <f>IF(AND(Start="GO",Key=FALSE),3,"")</f>
        <v/>
      </c>
      <c r="AJ2" s="68" t="str">
        <f>IF(B11&gt;1648,"STOP: you have exceeded 1649 scan limit","")</f>
        <v/>
      </c>
      <c r="AK2" s="66"/>
    </row>
    <row r="3" spans="1:37" ht="36.65" customHeight="1" thickBot="1">
      <c r="A3" s="12"/>
      <c r="B3" s="154" t="str">
        <f>IF(Location=0,"",Location)</f>
        <v/>
      </c>
      <c r="C3" s="138" t="str">
        <f>IF(Last_Mov=0,"*Scan First Mov*",Last_Mov)</f>
        <v>*Scan First Mov*</v>
      </c>
      <c r="D3" s="302" t="str">
        <f>TRIM(IFERROR(IF(CONCATENATE(AJ1," ",AJ2,"  ",AJ3,"  ",AJ4,"  ",AJ5,"  ",AJ6,"  ",AJ7,"  ",AJ8,"  ",AJ9,"  ",AJ10,"  ",AJ11,"  ",AJ12," ")="","Good to Go",CONCATENATE(AJ1,"    ",AJ2,"     ",AJ3,"    ",AJ4,"     ",AJ5,"     ",AJ6,"     ",AJ7,"     ",AJ8,"     ",AJ9,"     ",AJ10,"     ",AJ11,"     ",AJ12,"    ")),IF(C13="IMPORTED","Unknown Error - Check your Scans","Import Data first")))</f>
        <v>Import Data from Translogix first!</v>
      </c>
      <c r="E3" s="303"/>
      <c r="F3" s="12"/>
      <c r="G3" s="167"/>
      <c r="H3" s="304" t="s">
        <v>94</v>
      </c>
      <c r="I3" s="305"/>
      <c r="J3" s="152" t="s">
        <v>14</v>
      </c>
      <c r="K3" s="152" t="s">
        <v>92</v>
      </c>
      <c r="L3" s="304" t="s">
        <v>90</v>
      </c>
      <c r="M3" s="305"/>
      <c r="N3" s="163"/>
      <c r="O3" s="66"/>
      <c r="P3" s="66"/>
      <c r="Q3" s="66"/>
      <c r="R3" s="66"/>
      <c r="S3" s="66"/>
      <c r="T3" s="66"/>
      <c r="U3" s="66"/>
      <c r="V3" s="66"/>
      <c r="W3" s="66"/>
      <c r="X3" s="68" t="s">
        <v>1</v>
      </c>
      <c r="Y3" s="4" t="str">
        <f>IFERROR(IF(ISBLANK(Mov),"",VLOOKUP(Mov,TLSTOCK, 9,FALSE)),"NO DATA")</f>
        <v/>
      </c>
      <c r="Z3" s="68" t="str">
        <f>IF(Mov_Loc=Loc,"Yes","No")</f>
        <v>Yes</v>
      </c>
      <c r="AA3" s="68" t="b">
        <f>IFERROR(IF(AND(Z2="Yes",Z7="No",Z8="No",Z9="No",Z11="No",Z5="No"),TRUE,FALSE),FALSE)</f>
        <v>0</v>
      </c>
      <c r="AB3" s="66" t="s">
        <v>16</v>
      </c>
      <c r="AC3" s="66"/>
      <c r="AD3" s="66"/>
      <c r="AE3" s="71"/>
      <c r="AF3" s="71"/>
      <c r="AG3" s="66"/>
      <c r="AH3" s="66"/>
      <c r="AI3" s="66"/>
      <c r="AJ3" s="68" t="str">
        <f>IF(AND(Mov_Loc="NO DATA",C13="IMPORTED"),"IMPORT DATA too old! Connect to wifi - then import",IF(Mov_Loc="NO DATA","Data Needs to be Imported or updated first",""))</f>
        <v/>
      </c>
      <c r="AK3" s="66"/>
    </row>
    <row r="4" spans="1:37" ht="22" customHeight="1">
      <c r="A4" s="12"/>
      <c r="B4" s="172" t="str">
        <f>IF(WHLOC=0,"",WHLOC)</f>
        <v/>
      </c>
      <c r="C4" s="172" t="str">
        <f ca="1">IF(OFFSET(RecordedSerials,COUNTA(RecordedSerials)-2,0,1,1)="Rec_Home","",IF(OFFSET(RecordedSerials,COUNTA(RecordedSerials)-2,0,1,1)="Move","",OFFSET(RecordedSerials,COUNTA(RecordedSerials)-2,0,1,1)))</f>
        <v/>
      </c>
      <c r="D4" s="12"/>
      <c r="E4" s="12"/>
      <c r="F4" s="12"/>
      <c r="G4" s="167"/>
      <c r="H4" s="288" t="str">
        <f>IF(Mov=0,"",Mov)</f>
        <v/>
      </c>
      <c r="I4" s="289"/>
      <c r="J4" s="294" t="str">
        <f>Mov_Loc</f>
        <v/>
      </c>
      <c r="K4" s="294" t="str">
        <f>IFERROR(IF(IF(ISBLANK(Mov),"",VLOOKUP(Mov,TLSTOCK, 22,FALSE))=J4,"",IF(ISBLANK(Mov),"",VLOOKUP(Mov,TLSTOCK, 22,FALSE))),"NO DATA")</f>
        <v/>
      </c>
      <c r="L4" s="288" t="str">
        <f>Y6</f>
        <v/>
      </c>
      <c r="M4" s="289"/>
      <c r="N4" s="163"/>
      <c r="O4" s="66"/>
      <c r="P4" s="66"/>
      <c r="Q4" s="66"/>
      <c r="R4" s="66"/>
      <c r="S4" s="66"/>
      <c r="T4" s="66"/>
      <c r="U4" s="66"/>
      <c r="V4" s="66"/>
      <c r="W4" s="66"/>
      <c r="X4" s="68" t="s">
        <v>6</v>
      </c>
      <c r="Y4" s="68" t="str">
        <f>IFERROR(IF(ISBLANK(Mov),"",VLOOKUP(Mov,TLSTOCK, 10,FALSE)),"")</f>
        <v/>
      </c>
      <c r="Z4" s="68"/>
      <c r="AA4" s="66"/>
      <c r="AB4" s="66"/>
      <c r="AC4" s="66"/>
      <c r="AD4" s="66"/>
      <c r="AE4" s="71"/>
      <c r="AF4" s="71"/>
      <c r="AG4" s="66"/>
      <c r="AH4" s="66"/>
      <c r="AI4" s="66"/>
      <c r="AJ4" s="68" t="str">
        <f>IF(Toggle2="on","",IF(ISERR(IFERROR(Z3,"Yes")),"Data Missing - Import. ",IF(Z3="No","Location Not matching. ","")))</f>
        <v/>
      </c>
      <c r="AK4" s="66"/>
    </row>
    <row r="5" spans="1:37" ht="16" customHeight="1" thickBot="1">
      <c r="A5" s="12"/>
      <c r="B5" s="12"/>
      <c r="C5" s="12"/>
      <c r="D5" s="12"/>
      <c r="E5" s="12"/>
      <c r="F5" s="12"/>
      <c r="G5" s="168"/>
      <c r="H5" s="290"/>
      <c r="I5" s="291"/>
      <c r="J5" s="295"/>
      <c r="K5" s="295"/>
      <c r="L5" s="290"/>
      <c r="M5" s="291"/>
      <c r="N5" s="163"/>
      <c r="O5" s="66"/>
      <c r="P5" s="66"/>
      <c r="Q5" s="66"/>
      <c r="R5" s="66"/>
      <c r="S5" s="66"/>
      <c r="T5" s="66"/>
      <c r="U5" s="66"/>
      <c r="V5" s="66"/>
      <c r="W5" s="66"/>
      <c r="X5" s="68" t="s">
        <v>32</v>
      </c>
      <c r="Y5" s="68"/>
      <c r="Z5" s="68" t="str">
        <f>IFERROR(IF(OR((Product=Serial),(Serial=Mov_Product),(CONCATENATE("D",Product)=Serial),(CONCATENATE("D",Serial)=Product)),"Yes","No"),"No")</f>
        <v>Yes</v>
      </c>
      <c r="AA5" s="66"/>
      <c r="AB5" s="66"/>
      <c r="AC5" s="66"/>
      <c r="AD5" s="66"/>
      <c r="AE5" s="68" t="s">
        <v>33</v>
      </c>
      <c r="AF5" s="68" t="s">
        <v>12</v>
      </c>
      <c r="AG5" s="68" t="s">
        <v>13</v>
      </c>
      <c r="AH5" s="68" t="s">
        <v>0</v>
      </c>
      <c r="AI5" s="66"/>
      <c r="AJ5" s="68" t="str">
        <f>IF(Z11="Yes","STOP: You've already scanned this Mov","")</f>
        <v/>
      </c>
      <c r="AK5" s="66"/>
    </row>
    <row r="6" spans="1:37" ht="19.5" customHeight="1" thickBot="1">
      <c r="A6" s="12"/>
      <c r="B6" s="12"/>
      <c r="C6" s="12"/>
      <c r="D6" s="12"/>
      <c r="E6" s="12"/>
      <c r="F6" s="12"/>
      <c r="G6" s="167"/>
      <c r="H6" s="292"/>
      <c r="I6" s="293"/>
      <c r="J6" s="296"/>
      <c r="K6" s="296"/>
      <c r="L6" s="292"/>
      <c r="M6" s="293"/>
      <c r="N6" s="163"/>
      <c r="O6" s="66"/>
      <c r="P6" s="66"/>
      <c r="Q6" s="66"/>
      <c r="R6" s="66"/>
      <c r="S6" s="66"/>
      <c r="T6" s="66"/>
      <c r="U6" s="66"/>
      <c r="V6" s="66"/>
      <c r="W6" s="66"/>
      <c r="X6" s="68" t="s">
        <v>7</v>
      </c>
      <c r="Y6" s="4" t="str">
        <f>IFERROR(IF(ISBLANK(Mov),"",IF(IF(Toggle11="on",AND(VLOOKUP(Mov,TLSTOCK,19,FALSE)&gt;=0,VLOOKUP(Mov,TLSTOCK,19,FALSE)&lt;=999),VLOOKUP(Mov,TLSTOCK,19,FALSE)=0),"",VLOOKUP(Mov,TLSTOCK,19,FALSE))),"")</f>
        <v/>
      </c>
      <c r="Z6" s="68" t="str">
        <f>IF(Y6&lt;&gt;"","Yes","No")</f>
        <v>No</v>
      </c>
      <c r="AA6" s="66"/>
      <c r="AB6" s="72" t="s">
        <v>47</v>
      </c>
      <c r="AC6" s="73"/>
      <c r="AD6" s="66"/>
      <c r="AE6" s="70" t="str">
        <f>IFERROR(IF(ISNA(Mov_Product),"FALSE","TRUE"),"FALSE")</f>
        <v>TRUE</v>
      </c>
      <c r="AF6" s="70" t="str">
        <f>IFERROR(IF(AND(Z2="Yes",Z8="No"),"TRUE","FALSE"),"FALSE")</f>
        <v>FALSE</v>
      </c>
      <c r="AG6" s="70" t="str">
        <f>IFERROR(IF(AND(Z9="No",Z11="No",Z5="No"),"TRUE","FALSE"),"FALSE")</f>
        <v>FALSE</v>
      </c>
      <c r="AH6" s="70" t="str">
        <f>IFERROR(IF(Mov_Loc=Loc,"TRUE","FALSE"),"FALSE")</f>
        <v>TRUE</v>
      </c>
      <c r="AI6" s="66"/>
      <c r="AJ6" s="68" t="str">
        <f>IF(AND(Z5="Yes",Z7="No",Z9="No"),"Serial cannot be same as Code. ","")</f>
        <v/>
      </c>
      <c r="AK6" s="66"/>
    </row>
    <row r="7" spans="1:37" ht="28" customHeight="1" thickBot="1">
      <c r="A7" s="12"/>
      <c r="B7" s="139" t="s">
        <v>3</v>
      </c>
      <c r="C7" s="139" t="s">
        <v>4</v>
      </c>
      <c r="D7" s="139" t="s">
        <v>2</v>
      </c>
      <c r="E7" s="139" t="s">
        <v>10</v>
      </c>
      <c r="F7" s="12"/>
      <c r="G7" s="167"/>
      <c r="H7" s="308" t="s">
        <v>43</v>
      </c>
      <c r="I7" s="309"/>
      <c r="J7" s="153" t="s">
        <v>95</v>
      </c>
      <c r="K7" s="152" t="s">
        <v>96</v>
      </c>
      <c r="L7" s="304" t="s">
        <v>91</v>
      </c>
      <c r="M7" s="305"/>
      <c r="N7" s="163"/>
      <c r="O7" s="66"/>
      <c r="P7" s="66"/>
      <c r="Q7" s="66"/>
      <c r="R7" s="66"/>
      <c r="S7" s="66"/>
      <c r="T7" s="66"/>
      <c r="U7" s="66"/>
      <c r="V7" s="66"/>
      <c r="W7" s="66"/>
      <c r="X7" s="68" t="s">
        <v>5</v>
      </c>
      <c r="Y7" s="68"/>
      <c r="Z7" s="68" t="str">
        <f>IF(ISBLANK(Mov),"Yes","No")</f>
        <v>Yes</v>
      </c>
      <c r="AA7" s="66"/>
      <c r="AB7" s="74" t="str">
        <f ca="1">IFERROR(RIGHT(ROUNDUP(((RIGHT(C3,1)+MINUTE(NOW()))*2.658-1),0),1),"")</f>
        <v/>
      </c>
      <c r="AC7" s="75" t="str">
        <f ca="1">YEAR(TODAY())&amp;MONTH(TODAY())&amp;DAY(TODAY())&amp;"_"&amp;HOUR(NOW())&amp;MINUTE(NOW())</f>
        <v>2026729_1116</v>
      </c>
      <c r="AD7" s="66"/>
      <c r="AE7" s="66"/>
      <c r="AF7" s="66"/>
      <c r="AG7" s="66"/>
      <c r="AH7" s="66"/>
      <c r="AI7" s="66"/>
      <c r="AJ7" s="68" t="str">
        <f>IF(AND(Z6="Yes",Z9="No"),"   CAUTION: Serial already in system. ","")</f>
        <v/>
      </c>
      <c r="AK7" s="66"/>
    </row>
    <row r="8" spans="1:37" ht="52.9" customHeight="1" thickBot="1">
      <c r="A8" s="12"/>
      <c r="B8" s="177"/>
      <c r="C8" s="175"/>
      <c r="D8" s="175"/>
      <c r="E8" s="176"/>
      <c r="F8" s="12"/>
      <c r="G8" s="167"/>
      <c r="H8" s="310" t="str">
        <f>Mov_Product</f>
        <v/>
      </c>
      <c r="I8" s="311"/>
      <c r="J8" s="160" t="str">
        <f>IF(SUMIF('TL Stock'!D:D,Edit!H8,'TL Stock'!F:F)=0,"",SUMIF('TL Stock'!D:D,Edit!H8,'TL Stock'!F:F))</f>
        <v/>
      </c>
      <c r="K8" s="160" t="str">
        <f>IF(ISBLANK(Mov),"",VLOOKUP(Mov,TLSTOCK, 3,FALSE))</f>
        <v/>
      </c>
      <c r="L8" s="310" t="str">
        <f>IF(Y10=0,"",Y10)</f>
        <v/>
      </c>
      <c r="M8" s="311"/>
      <c r="N8" s="163"/>
      <c r="O8" s="66"/>
      <c r="P8" s="66"/>
      <c r="Q8" s="66"/>
      <c r="R8" s="66"/>
      <c r="S8" s="66"/>
      <c r="T8" s="66"/>
      <c r="U8" s="66"/>
      <c r="V8" s="66"/>
      <c r="W8" s="66"/>
      <c r="X8" s="68" t="s">
        <v>25</v>
      </c>
      <c r="Y8" s="68"/>
      <c r="Z8" s="68" t="str">
        <f>IF(ISBLANK(Product),"Yes","No")</f>
        <v>Yes</v>
      </c>
      <c r="AA8" s="66"/>
      <c r="AB8" s="66"/>
      <c r="AC8" s="66"/>
      <c r="AD8" s="66"/>
      <c r="AE8" s="66"/>
      <c r="AF8" s="66"/>
      <c r="AG8" s="66"/>
      <c r="AH8" s="66"/>
      <c r="AI8" s="66"/>
      <c r="AJ8" s="68" t="str">
        <f>IF(Z7="Yes",IF(C13="IMPORTED",IF(AND(C13="IMPORTED",B11&gt;0.01,B15=0,D13="Not Saved"),"Data Ready for Export. ","Scan Movement Barcode. "),"Import Data from Translogix first! "),"")</f>
        <v xml:space="preserve">Import Data from Translogix first! </v>
      </c>
      <c r="AK8" s="66"/>
    </row>
    <row r="9" spans="1:37" ht="22" customHeight="1" thickBot="1">
      <c r="A9" s="12"/>
      <c r="B9" s="12"/>
      <c r="C9" s="12"/>
      <c r="D9" s="12"/>
      <c r="E9" s="12"/>
      <c r="F9" s="12"/>
      <c r="G9" s="167"/>
      <c r="H9" s="218"/>
      <c r="I9" s="218"/>
      <c r="J9" s="218"/>
      <c r="K9" s="218"/>
      <c r="L9" s="218"/>
      <c r="M9" s="218"/>
      <c r="N9" s="163"/>
      <c r="O9" s="66"/>
      <c r="P9" s="66"/>
      <c r="Q9" s="66"/>
      <c r="R9" s="66"/>
      <c r="S9" s="66"/>
      <c r="T9" s="66"/>
      <c r="U9" s="66"/>
      <c r="V9" s="66"/>
      <c r="W9" s="66"/>
      <c r="X9" s="68" t="s">
        <v>9</v>
      </c>
      <c r="Y9" s="68"/>
      <c r="Z9" s="68" t="str">
        <f>IF(ISBLANK(Serial),"Yes","No")</f>
        <v>Yes</v>
      </c>
      <c r="AA9" s="68" t="s">
        <v>74</v>
      </c>
      <c r="AB9" s="66"/>
      <c r="AC9" s="66"/>
      <c r="AD9" s="66"/>
      <c r="AE9" s="66"/>
      <c r="AF9" s="66"/>
      <c r="AG9" s="66"/>
      <c r="AH9" s="66"/>
      <c r="AI9" s="66"/>
      <c r="AJ9" s="68" t="str">
        <f>IF(AND(Z8="Yes",Z7="No",Z11="No"),"Scan Product Barcode. ","")</f>
        <v/>
      </c>
      <c r="AK9" s="66"/>
    </row>
    <row r="10" spans="1:37" ht="15" thickBot="1">
      <c r="A10" s="12"/>
      <c r="B10" s="140" t="s">
        <v>98</v>
      </c>
      <c r="C10" s="141"/>
      <c r="D10" s="142"/>
      <c r="E10" s="143"/>
      <c r="F10" s="12"/>
      <c r="G10" s="167"/>
      <c r="H10" s="218"/>
      <c r="I10" s="218"/>
      <c r="J10" s="218"/>
      <c r="K10" s="218"/>
      <c r="L10" s="218"/>
      <c r="M10" s="218"/>
      <c r="N10" s="163"/>
      <c r="O10" s="66"/>
      <c r="P10" s="66"/>
      <c r="Q10" s="66"/>
      <c r="R10" s="66"/>
      <c r="S10" s="66"/>
      <c r="T10" s="66"/>
      <c r="U10" s="66"/>
      <c r="V10" s="66"/>
      <c r="W10" s="66"/>
      <c r="X10" s="80" t="s">
        <v>68</v>
      </c>
      <c r="Y10" s="68" t="str">
        <f>IFERROR(IF(ISBLANK(Mov),"",VLOOKUP(Mov,TLSTOCK, 21,FALSE)),"")</f>
        <v/>
      </c>
      <c r="Z10" s="68" t="str">
        <f>IF(OR(Product=Y10,Z2="Yes"),"Yes","No")</f>
        <v>Yes</v>
      </c>
      <c r="AA10" s="70" t="str">
        <f>IFERROR(IF(SERIALIN=Serial,"TRUE",IF(Serial=Y6,"TRUE",IF(AND(SERIALIN="",Y6=""),"FALSE","TRUE"))),"FALSE")</f>
        <v>TRUE</v>
      </c>
      <c r="AB10" s="72" t="s">
        <v>48</v>
      </c>
      <c r="AC10" s="73"/>
      <c r="AD10" s="66"/>
      <c r="AE10" s="66"/>
      <c r="AF10" s="66"/>
      <c r="AG10" s="76" t="s">
        <v>53</v>
      </c>
      <c r="AH10" s="66"/>
      <c r="AI10" s="66"/>
      <c r="AJ10" s="68" t="str">
        <f>IF(AND(Z9="Yes",Z7="No",Z8="No"),"  Scan Serial Barcode.  ","")</f>
        <v/>
      </c>
      <c r="AK10" s="66"/>
    </row>
    <row r="11" spans="1:37" ht="16" thickBot="1">
      <c r="A11" s="12"/>
      <c r="B11" s="155">
        <f>COUNT(Record!A3:A999)</f>
        <v>0</v>
      </c>
      <c r="C11" s="144"/>
      <c r="D11" s="145"/>
      <c r="E11" s="146"/>
      <c r="F11" s="12"/>
      <c r="G11" s="167"/>
      <c r="H11" s="218"/>
      <c r="I11" s="218"/>
      <c r="J11" s="218"/>
      <c r="K11" s="218"/>
      <c r="L11" s="218"/>
      <c r="M11" s="218"/>
      <c r="N11" s="163"/>
      <c r="O11" s="66"/>
      <c r="P11" s="66"/>
      <c r="Q11" s="66"/>
      <c r="R11" s="66"/>
      <c r="S11" s="66"/>
      <c r="T11" s="66"/>
      <c r="U11" s="66"/>
      <c r="V11" s="66"/>
      <c r="W11" s="66"/>
      <c r="X11" s="68" t="s">
        <v>73</v>
      </c>
      <c r="Y11" s="14" t="str">
        <f>IFERROR(VLOOKUP(Mov,RecordedSerialsSerials,3,FALSE),"")</f>
        <v/>
      </c>
      <c r="Z11" s="68" t="str">
        <f>IF(Toggle6="on","No",IF(OR(ISBLANK(SERIALIN),SERIALIN=""),"No","Yes"))</f>
        <v>No</v>
      </c>
      <c r="AA11" s="66"/>
      <c r="AB11" s="77" t="str">
        <f ca="1">(IF(HOUR(NOW())&gt;11.9,HOUR(NOW())+0,HOUR(NOW()))&amp;":"&amp;RIGHT(CONCATENATE("0",MINUTE(NOW())),2)&amp;IF(HOUR(NOW())&gt;11.9," PM"," AM"))</f>
        <v>11:16 AM</v>
      </c>
      <c r="AC11" s="78" t="str">
        <f ca="1">MONTH(TODAY())&amp;"/"&amp;IF(DAY(TODAY())&lt;9.9,"0"&amp;DAY(TODAY()),DAY(TODAY()))&amp;"/"&amp;YEAR((TODAY()))</f>
        <v>7/29/2026</v>
      </c>
      <c r="AD11" s="66"/>
      <c r="AE11" s="66"/>
      <c r="AF11" s="66"/>
      <c r="AG11" s="79" t="str">
        <f>IFERROR(IF(AG2=0,SoundMe(),IF(AD2=2,SoundMe2(),IF(AE2=2,SoundMe2(),IF(AF2="3",SoundMe3(),IF(AH2=3,SoundMe3(),IF(AI2=3,SoundMe3(),"NOT PLAYING")))))),"NOT PLAYING")</f>
        <v>NOT PLAYING</v>
      </c>
      <c r="AH11" s="66"/>
      <c r="AI11" s="66"/>
      <c r="AJ11" s="80" t="str">
        <f>IF(Z10="No","Product Code doesn’t match system. ","")</f>
        <v/>
      </c>
      <c r="AK11" s="66"/>
    </row>
    <row r="12" spans="1:37" ht="15" thickBot="1">
      <c r="A12" s="12"/>
      <c r="B12" s="140" t="str">
        <f>IF(SECNUM="","Est. Pallets Scanned","Est. Pallets Remaining")</f>
        <v>Est. Pallets Scanned</v>
      </c>
      <c r="C12" s="147" t="s">
        <v>35</v>
      </c>
      <c r="D12" s="312" t="s">
        <v>36</v>
      </c>
      <c r="E12" s="313"/>
      <c r="F12" s="12"/>
      <c r="G12" s="167"/>
      <c r="H12" s="218"/>
      <c r="I12" s="215"/>
      <c r="J12" s="314" t="s">
        <v>109</v>
      </c>
      <c r="K12" s="314"/>
      <c r="L12" s="216"/>
      <c r="M12" s="218"/>
      <c r="N12" s="163"/>
      <c r="O12" s="66"/>
      <c r="P12" s="66"/>
      <c r="Q12" s="66"/>
      <c r="R12" s="66"/>
      <c r="S12" s="66"/>
      <c r="T12" s="66"/>
      <c r="U12" s="66"/>
      <c r="V12" s="66"/>
      <c r="W12" s="66"/>
      <c r="X12" s="66"/>
      <c r="Y12" s="66"/>
      <c r="Z12" s="66"/>
      <c r="AA12" s="66"/>
      <c r="AB12" s="66"/>
      <c r="AC12" s="66"/>
      <c r="AD12" s="66"/>
      <c r="AE12" s="66"/>
      <c r="AF12" s="66"/>
      <c r="AG12" s="66"/>
      <c r="AH12" s="66"/>
      <c r="AI12" s="66"/>
      <c r="AJ12" s="68" t="str">
        <f>IF(AND(Z9="No",AA10="TRUE"),"--   STOP: already have a serial recorded for this MOV","")</f>
        <v/>
      </c>
      <c r="AK12" s="66"/>
    </row>
    <row r="13" spans="1:37" ht="15" thickBot="1">
      <c r="A13" s="12"/>
      <c r="B13" s="156">
        <f>IF(PALLTOT=0,IF(SECNUM="",(ROUNDUP(B11/4,0)),""),(IFERROR(IF(SECNUM="",(ROUNDUP(B11/4,0)),ROUNDUP(PALLTOT-(ROUNDUP(B11/(QUAN/(SECNUM-FIRNUM+1)),0)),0)),0))&amp;"  (Total:"&amp;PALLTOT&amp;")")</f>
        <v>0</v>
      </c>
      <c r="C13" s="158" t="str">
        <f>IF('TL Stock'!1:1048576&gt;1,"IMPORTED","No Data")</f>
        <v>No Data</v>
      </c>
      <c r="D13" s="306" t="str">
        <f>IF(EXPORTSTATUS="Yes","Exported","Not Saved")</f>
        <v>Not Saved</v>
      </c>
      <c r="E13" s="307"/>
      <c r="F13" s="12"/>
      <c r="G13" s="167"/>
      <c r="H13" s="218"/>
      <c r="I13" s="161"/>
      <c r="J13" s="315"/>
      <c r="K13" s="316"/>
      <c r="L13" s="217"/>
      <c r="M13" s="218"/>
      <c r="N13" s="163"/>
      <c r="O13" s="66"/>
      <c r="P13" s="66"/>
      <c r="Q13" s="66"/>
      <c r="R13" s="66"/>
      <c r="S13" s="66"/>
      <c r="T13" s="66"/>
      <c r="U13" s="66"/>
      <c r="V13" s="66"/>
      <c r="W13" s="66"/>
      <c r="X13" s="66"/>
      <c r="Y13" s="66"/>
      <c r="Z13" s="66"/>
      <c r="AA13" s="66"/>
      <c r="AB13" s="66"/>
      <c r="AC13" s="66"/>
      <c r="AD13" s="66"/>
      <c r="AE13" s="66"/>
      <c r="AF13" s="66"/>
      <c r="AG13" s="66"/>
      <c r="AH13" s="66"/>
      <c r="AI13" s="66"/>
      <c r="AJ13" s="66"/>
      <c r="AK13" s="66"/>
    </row>
    <row r="14" spans="1:37" ht="15" thickBot="1">
      <c r="A14" s="12"/>
      <c r="B14" s="140" t="s">
        <v>54</v>
      </c>
      <c r="C14" s="148" t="s">
        <v>105</v>
      </c>
      <c r="D14" s="149"/>
      <c r="E14" s="150"/>
      <c r="F14" s="12"/>
      <c r="G14" s="167"/>
      <c r="H14" s="218"/>
      <c r="I14" s="285" t="s">
        <v>124</v>
      </c>
      <c r="J14" s="286"/>
      <c r="K14" s="286"/>
      <c r="L14" s="287"/>
      <c r="M14" s="218"/>
      <c r="N14" s="163"/>
      <c r="O14" s="66"/>
      <c r="P14" s="66"/>
      <c r="Q14" s="66"/>
      <c r="R14" s="66"/>
      <c r="S14" s="66"/>
      <c r="T14" s="66"/>
      <c r="U14" s="66"/>
      <c r="V14" s="66"/>
      <c r="W14" s="66"/>
      <c r="X14" s="66"/>
      <c r="Y14" s="66"/>
      <c r="Z14" s="66"/>
      <c r="AA14" s="66"/>
      <c r="AB14" s="66"/>
      <c r="AC14" s="66"/>
      <c r="AD14" s="66"/>
      <c r="AE14" s="66"/>
      <c r="AF14" s="66"/>
      <c r="AG14" s="66"/>
      <c r="AH14" s="66"/>
      <c r="AI14" s="66"/>
      <c r="AJ14" s="66"/>
      <c r="AK14" s="66"/>
    </row>
    <row r="15" spans="1:37" ht="15" thickBot="1">
      <c r="A15" s="12"/>
      <c r="B15" s="157" t="str">
        <f>IF(QUAN="","0",QUAN-B11)</f>
        <v>0</v>
      </c>
      <c r="C15" s="159" t="str">
        <f>IF(C13="No Data","",DATEIMPORT)</f>
        <v/>
      </c>
      <c r="D15" s="174" t="str">
        <f>IF(B15="0","                    Enter your total first","")</f>
        <v xml:space="preserve">                    Enter your total first</v>
      </c>
      <c r="E15" s="151"/>
      <c r="F15" s="12"/>
      <c r="G15" s="167"/>
      <c r="H15" s="218"/>
      <c r="I15" s="218"/>
      <c r="J15" s="218"/>
      <c r="K15" s="218"/>
      <c r="L15" s="218"/>
      <c r="M15" s="218"/>
      <c r="N15" s="163"/>
      <c r="O15" s="66"/>
      <c r="P15" s="66"/>
      <c r="Q15" s="66"/>
      <c r="R15" s="66"/>
      <c r="S15" s="66"/>
      <c r="T15" s="66"/>
      <c r="U15" s="66"/>
      <c r="V15" s="66"/>
      <c r="W15" s="66"/>
      <c r="X15" s="66"/>
      <c r="Y15" s="66"/>
      <c r="Z15" s="66"/>
      <c r="AA15" s="66"/>
      <c r="AB15" s="66"/>
      <c r="AC15" s="66"/>
      <c r="AD15" s="66"/>
      <c r="AE15" s="66"/>
      <c r="AF15" s="66"/>
      <c r="AG15" s="66"/>
      <c r="AH15" s="66"/>
      <c r="AI15" s="66"/>
      <c r="AJ15" s="66"/>
      <c r="AK15" s="66"/>
    </row>
    <row r="16" spans="1:37">
      <c r="A16" s="12"/>
      <c r="B16" s="12"/>
      <c r="C16" s="12"/>
      <c r="D16" s="12"/>
      <c r="E16" s="12"/>
      <c r="F16" s="12"/>
      <c r="G16" s="167"/>
      <c r="H16" s="218"/>
      <c r="I16" s="218"/>
      <c r="J16" s="218"/>
      <c r="K16" s="218"/>
      <c r="L16" s="218"/>
      <c r="M16" s="218"/>
      <c r="N16" s="163"/>
      <c r="O16" s="66"/>
      <c r="P16" s="66"/>
      <c r="Q16" s="66"/>
      <c r="R16" s="66"/>
      <c r="S16" s="66"/>
      <c r="T16" s="66"/>
      <c r="U16" s="66"/>
      <c r="V16" s="66"/>
      <c r="W16" s="66"/>
      <c r="X16" s="66"/>
      <c r="Y16" s="66"/>
      <c r="Z16" s="66"/>
      <c r="AA16" s="66"/>
      <c r="AB16" s="66"/>
      <c r="AC16" s="66"/>
      <c r="AD16" s="66"/>
      <c r="AE16" s="66"/>
      <c r="AF16" s="66"/>
      <c r="AG16" s="66"/>
      <c r="AH16" s="66"/>
      <c r="AI16" s="66"/>
      <c r="AJ16" s="66"/>
      <c r="AK16" s="66"/>
    </row>
    <row r="17" spans="1:37">
      <c r="A17" s="12"/>
      <c r="B17" s="12"/>
      <c r="C17" s="12"/>
      <c r="D17" s="12"/>
      <c r="E17" s="12"/>
      <c r="F17" s="12"/>
      <c r="G17" s="167"/>
      <c r="H17" s="218"/>
      <c r="I17" s="218"/>
      <c r="J17" s="218"/>
      <c r="K17" s="218"/>
      <c r="L17" s="218"/>
      <c r="M17" s="218"/>
      <c r="N17" s="163"/>
      <c r="O17" s="66"/>
      <c r="P17" s="66"/>
      <c r="Q17" s="66"/>
      <c r="R17" s="66"/>
      <c r="S17" s="66"/>
      <c r="T17" s="66"/>
      <c r="U17" s="66"/>
      <c r="V17" s="66"/>
      <c r="W17" s="66"/>
      <c r="X17" s="66"/>
      <c r="Y17" s="66"/>
      <c r="Z17" s="66"/>
      <c r="AA17" s="66"/>
      <c r="AB17" s="66"/>
      <c r="AC17" s="66"/>
      <c r="AD17" s="66"/>
      <c r="AE17" s="66"/>
      <c r="AF17" s="66"/>
      <c r="AG17" s="66"/>
      <c r="AH17" s="66"/>
      <c r="AI17" s="66"/>
      <c r="AJ17" s="66"/>
      <c r="AK17" s="66"/>
    </row>
    <row r="18" spans="1:37">
      <c r="A18" s="12"/>
      <c r="B18" s="12"/>
      <c r="C18" s="12"/>
      <c r="D18" s="12"/>
      <c r="E18" s="12"/>
      <c r="F18" s="12"/>
      <c r="G18" s="167"/>
      <c r="H18" s="218"/>
      <c r="I18" s="218"/>
      <c r="J18" s="218"/>
      <c r="K18" s="218"/>
      <c r="L18" s="218"/>
      <c r="M18" s="218"/>
      <c r="N18" s="163"/>
      <c r="O18" s="66"/>
      <c r="P18" s="66"/>
      <c r="Q18" s="66"/>
      <c r="R18" s="66"/>
      <c r="S18" s="66"/>
      <c r="T18" s="66"/>
      <c r="U18" s="66"/>
      <c r="V18" s="66"/>
      <c r="W18" s="66"/>
      <c r="X18" s="66"/>
      <c r="Y18" s="66"/>
      <c r="Z18" s="66"/>
      <c r="AA18" s="66"/>
      <c r="AB18" s="66"/>
      <c r="AC18" s="66"/>
      <c r="AD18" s="66"/>
      <c r="AE18" s="66"/>
      <c r="AF18" s="66"/>
      <c r="AG18" s="66"/>
      <c r="AH18" s="66"/>
      <c r="AI18" s="66"/>
      <c r="AJ18" s="66"/>
      <c r="AK18" s="66"/>
    </row>
    <row r="19" spans="1:37">
      <c r="A19" s="12"/>
      <c r="B19" s="12"/>
      <c r="C19" s="12"/>
      <c r="D19" s="12"/>
      <c r="E19" s="12"/>
      <c r="F19" s="12"/>
      <c r="G19" s="167"/>
      <c r="H19" s="218"/>
      <c r="I19" s="218"/>
      <c r="J19" s="218"/>
      <c r="K19" s="218"/>
      <c r="L19" s="218"/>
      <c r="M19" s="218"/>
      <c r="N19" s="163"/>
      <c r="O19" s="66"/>
      <c r="P19" s="66"/>
      <c r="Q19" s="66"/>
      <c r="R19" s="66"/>
      <c r="S19" s="66"/>
      <c r="T19" s="66"/>
      <c r="U19" s="66"/>
      <c r="V19" s="66"/>
      <c r="W19" s="66"/>
      <c r="X19" s="66"/>
      <c r="Y19" s="66"/>
      <c r="Z19" s="66"/>
      <c r="AA19" s="66"/>
      <c r="AB19" s="66"/>
      <c r="AC19" s="66"/>
      <c r="AD19" s="66"/>
      <c r="AE19" s="66"/>
      <c r="AF19" s="66"/>
      <c r="AG19" s="66"/>
      <c r="AH19" s="66"/>
      <c r="AI19" s="66"/>
      <c r="AJ19" s="66"/>
      <c r="AK19" s="66"/>
    </row>
    <row r="20" spans="1:37" ht="15" thickBot="1">
      <c r="A20" s="12"/>
      <c r="B20" s="12"/>
      <c r="C20" s="12"/>
      <c r="D20" s="12"/>
      <c r="E20" s="12"/>
      <c r="F20" s="12"/>
      <c r="G20" s="170"/>
      <c r="H20" s="169"/>
      <c r="I20" s="169"/>
      <c r="J20" s="169"/>
      <c r="K20" s="169"/>
      <c r="L20" s="169"/>
      <c r="M20" s="169"/>
      <c r="N20" s="164"/>
      <c r="O20" s="66"/>
      <c r="P20" s="66"/>
      <c r="Q20" s="66"/>
      <c r="R20" s="66"/>
      <c r="S20" s="66"/>
      <c r="T20" s="66"/>
      <c r="U20" s="66"/>
      <c r="V20" s="66"/>
      <c r="W20" s="66"/>
      <c r="X20" s="66"/>
      <c r="Y20" s="66"/>
      <c r="Z20" s="66"/>
      <c r="AA20" s="66"/>
      <c r="AB20" s="66"/>
      <c r="AC20" s="66"/>
      <c r="AD20" s="66"/>
      <c r="AE20" s="66"/>
      <c r="AF20" s="66"/>
      <c r="AG20" s="66"/>
      <c r="AH20" s="66"/>
      <c r="AI20" s="66"/>
      <c r="AJ20" s="66"/>
      <c r="AK20" s="66"/>
    </row>
    <row r="21" spans="1:37">
      <c r="A21" s="20"/>
      <c r="B21" s="20"/>
      <c r="C21" s="20"/>
      <c r="D21" s="173" t="s">
        <v>106</v>
      </c>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row>
    <row r="22" spans="1:37">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row>
    <row r="23" spans="1:37">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row>
    <row r="24" spans="1:37">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row>
    <row r="25" spans="1:37">
      <c r="A25" s="29"/>
      <c r="B25" s="31" t="str">
        <f>Toggl1</f>
        <v>on</v>
      </c>
      <c r="C25" s="31" t="str">
        <f>Toggl2</f>
        <v>on</v>
      </c>
      <c r="D25" s="31" t="str">
        <f>Toggl3</f>
        <v>off</v>
      </c>
      <c r="E25" s="31" t="str">
        <f>Toggl4</f>
        <v>on</v>
      </c>
      <c r="F25" s="31" t="str">
        <f>Toggl5</f>
        <v>on</v>
      </c>
      <c r="G25" s="31" t="str">
        <f>Toggl7</f>
        <v>off</v>
      </c>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row>
    <row r="26" spans="1:37">
      <c r="A26" s="30"/>
      <c r="B26" s="30"/>
      <c r="C26" s="30"/>
      <c r="D26" s="30"/>
      <c r="E26" s="30"/>
      <c r="F26" s="30"/>
      <c r="G26" s="30"/>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row>
    <row r="27" spans="1:37">
      <c r="A27" s="30"/>
      <c r="B27" s="30" t="str">
        <f>Toggl6</f>
        <v>off</v>
      </c>
      <c r="C27" s="30" t="str">
        <f>Toggl8</f>
        <v>off</v>
      </c>
      <c r="D27" s="30" t="str">
        <f>Toggl9</f>
        <v>on</v>
      </c>
      <c r="E27" s="30" t="str">
        <f>Toggl10</f>
        <v>off</v>
      </c>
      <c r="F27" s="30" t="str">
        <f>Toggl11</f>
        <v>on</v>
      </c>
      <c r="G27" s="30" t="str">
        <f>Toggl12</f>
        <v>off</v>
      </c>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row>
    <row r="28" spans="1:37">
      <c r="A28" s="30"/>
      <c r="B28" s="30"/>
      <c r="C28" s="30"/>
      <c r="D28" s="30"/>
      <c r="E28" s="30"/>
      <c r="F28" s="30"/>
      <c r="G28" s="30"/>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row>
    <row r="29" spans="1:37">
      <c r="A29" s="24"/>
      <c r="B29" s="24"/>
      <c r="C29" s="24"/>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row>
    <row r="30" spans="1:37">
      <c r="A30" s="24"/>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row>
    <row r="31" spans="1:37">
      <c r="A31" s="24"/>
      <c r="B31" s="24"/>
      <c r="C31" s="24"/>
      <c r="D31" s="2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row>
    <row r="32" spans="1:37" ht="93.75" customHeight="1">
      <c r="A32" s="24"/>
      <c r="B32" s="24"/>
      <c r="C32" s="24"/>
      <c r="D32" s="2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row>
  </sheetData>
  <sheetProtection sheet="1" selectLockedCells="1"/>
  <mergeCells count="18">
    <mergeCell ref="D13:E13"/>
    <mergeCell ref="H7:I7"/>
    <mergeCell ref="L7:M7"/>
    <mergeCell ref="H8:I8"/>
    <mergeCell ref="L8:M8"/>
    <mergeCell ref="D12:E12"/>
    <mergeCell ref="J12:K12"/>
    <mergeCell ref="J13:K13"/>
    <mergeCell ref="D2:E2"/>
    <mergeCell ref="H2:M2"/>
    <mergeCell ref="D3:E3"/>
    <mergeCell ref="H3:I3"/>
    <mergeCell ref="L3:M3"/>
    <mergeCell ref="I14:L14"/>
    <mergeCell ref="H4:I6"/>
    <mergeCell ref="J4:J6"/>
    <mergeCell ref="K4:K6"/>
    <mergeCell ref="L4:M6"/>
  </mergeCells>
  <conditionalFormatting sqref="B3">
    <cfRule type="expression" priority="13" stopIfTrue="1">
      <formula>ISBLANK(Loc)</formula>
    </cfRule>
    <cfRule type="expression" dxfId="8" priority="14" stopIfTrue="1">
      <formula>AND(Toggle2="off",$AH$6="FALSE")</formula>
    </cfRule>
    <cfRule type="expression" dxfId="7" priority="15" stopIfTrue="1">
      <formula>AND(Toggle2="off",$AH$6="TRUE")</formula>
    </cfRule>
  </conditionalFormatting>
  <conditionalFormatting sqref="B8">
    <cfRule type="expression" priority="22" stopIfTrue="1">
      <formula>ISBLANK(Mov)</formula>
    </cfRule>
    <cfRule type="expression" dxfId="6" priority="23" stopIfTrue="1">
      <formula>AND($AE$6="FALSE")</formula>
    </cfRule>
    <cfRule type="expression" dxfId="5" priority="24" stopIfTrue="1">
      <formula>AND($AE$6="TRUE")</formula>
    </cfRule>
  </conditionalFormatting>
  <conditionalFormatting sqref="B8">
    <cfRule type="expression" dxfId="4" priority="25" stopIfTrue="1">
      <formula>AND($AG$6="FALSE")</formula>
    </cfRule>
  </conditionalFormatting>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U32"/>
  <sheetViews>
    <sheetView workbookViewId="0">
      <selection activeCell="C7" sqref="C7:D8"/>
    </sheetView>
  </sheetViews>
  <sheetFormatPr defaultColWidth="8.7265625" defaultRowHeight="14.5"/>
  <cols>
    <col min="3" max="3" width="9.36328125" customWidth="1"/>
  </cols>
  <sheetData>
    <row r="1" spans="1:21">
      <c r="A1" s="66"/>
      <c r="B1" s="66"/>
      <c r="C1" s="66"/>
      <c r="D1" s="66"/>
      <c r="E1" s="66"/>
      <c r="F1" s="66"/>
      <c r="G1" s="66"/>
      <c r="H1" s="66"/>
      <c r="I1" s="66"/>
      <c r="J1" s="66"/>
      <c r="K1" s="66"/>
      <c r="L1" s="66"/>
      <c r="M1" s="66"/>
      <c r="N1" s="66"/>
      <c r="O1" s="66"/>
      <c r="P1" s="66"/>
      <c r="Q1" s="66"/>
      <c r="R1" s="66"/>
      <c r="S1" s="66"/>
      <c r="T1" s="66"/>
      <c r="U1" s="66"/>
    </row>
    <row r="2" spans="1:21">
      <c r="A2" s="66"/>
      <c r="B2" s="66"/>
      <c r="C2" s="66"/>
      <c r="D2" s="66"/>
      <c r="E2" s="66"/>
      <c r="F2" s="66"/>
      <c r="G2" s="66"/>
      <c r="H2" s="66"/>
      <c r="I2" s="66"/>
      <c r="J2" s="66"/>
      <c r="K2" s="66"/>
      <c r="L2" s="66"/>
      <c r="M2" s="66"/>
      <c r="N2" s="66"/>
      <c r="O2" s="66"/>
      <c r="P2" s="66"/>
      <c r="Q2" s="66"/>
      <c r="R2" s="66"/>
      <c r="S2" s="66"/>
      <c r="T2" s="66"/>
      <c r="U2" s="66"/>
    </row>
    <row r="3" spans="1:21">
      <c r="A3" s="66"/>
      <c r="B3" s="66"/>
      <c r="C3" s="66"/>
      <c r="D3" s="66"/>
      <c r="E3" s="66"/>
      <c r="F3" s="66"/>
      <c r="G3" s="66"/>
      <c r="H3" s="66"/>
      <c r="I3" s="66"/>
      <c r="J3" s="66"/>
      <c r="K3" s="66"/>
      <c r="L3" s="66"/>
      <c r="M3" s="66"/>
      <c r="N3" s="66"/>
      <c r="O3" s="66"/>
      <c r="P3" s="66"/>
      <c r="Q3" s="66"/>
      <c r="R3" s="66"/>
      <c r="S3" s="66"/>
      <c r="T3" s="66"/>
      <c r="U3" s="66"/>
    </row>
    <row r="4" spans="1:21">
      <c r="A4" s="66"/>
      <c r="B4" s="66"/>
      <c r="C4" s="66"/>
      <c r="D4" s="66"/>
      <c r="E4" s="66"/>
      <c r="F4" s="66"/>
      <c r="G4" s="66"/>
      <c r="H4" s="66"/>
      <c r="I4" s="66"/>
      <c r="J4" s="66"/>
      <c r="K4" s="66"/>
      <c r="L4" s="66"/>
      <c r="M4" s="66"/>
      <c r="N4" s="66"/>
      <c r="O4" s="66"/>
      <c r="P4" s="66"/>
      <c r="Q4" s="66"/>
      <c r="R4" s="66"/>
      <c r="S4" s="66"/>
      <c r="T4" s="66"/>
      <c r="U4" s="66"/>
    </row>
    <row r="5" spans="1:21" ht="15" thickBot="1">
      <c r="A5" s="66"/>
      <c r="B5" s="66"/>
      <c r="C5" s="66"/>
      <c r="D5" s="66"/>
      <c r="E5" s="66"/>
      <c r="F5" s="66"/>
      <c r="G5" s="66"/>
      <c r="H5" s="66"/>
      <c r="I5" s="66"/>
      <c r="J5" s="66"/>
      <c r="K5" s="66"/>
      <c r="L5" s="66"/>
      <c r="M5" s="66"/>
      <c r="N5" s="66"/>
      <c r="O5" s="66"/>
      <c r="P5" s="66"/>
      <c r="Q5" s="66"/>
      <c r="R5" s="66"/>
      <c r="S5" s="66"/>
      <c r="T5" s="66"/>
      <c r="U5" s="66"/>
    </row>
    <row r="6" spans="1:21" ht="16" thickBot="1">
      <c r="A6" s="66"/>
      <c r="B6" s="66"/>
      <c r="C6" s="235" t="s">
        <v>36</v>
      </c>
      <c r="D6" s="237"/>
      <c r="E6" s="66"/>
      <c r="F6" s="328" t="s">
        <v>66</v>
      </c>
      <c r="G6" s="329"/>
      <c r="H6" s="329"/>
      <c r="I6" s="329"/>
      <c r="J6" s="329"/>
      <c r="K6" s="329"/>
      <c r="L6" s="329"/>
      <c r="M6" s="329"/>
      <c r="N6" s="329"/>
      <c r="O6" s="66"/>
      <c r="P6" s="66"/>
      <c r="Q6" s="66"/>
      <c r="R6" s="66"/>
      <c r="S6" s="66"/>
      <c r="T6" s="66"/>
      <c r="U6" s="66"/>
    </row>
    <row r="7" spans="1:21">
      <c r="A7" s="66"/>
      <c r="B7" s="66"/>
      <c r="C7" s="330" t="s">
        <v>128</v>
      </c>
      <c r="D7" s="331"/>
      <c r="E7" s="66"/>
      <c r="F7" s="334" t="str">
        <f>IF(AND(FINISHEXPORT="Files Exported",Toggle9="on"),"HOLD UP: You haven't finished yet, you have 2 files to Import in Translogix: WH_LOC into Locations &amp; Stock Serial in Translogix",IF(AND(FINISHEXPORT="Files Exported",Toggle9="off"),"WAIT: You aren't finished yet, you must go into Translogix to Import the Serial Numbers","Export in Progress. Loading..."))</f>
        <v>Export in Progress. Loading...</v>
      </c>
      <c r="G7" s="335"/>
      <c r="H7" s="335"/>
      <c r="I7" s="335"/>
      <c r="J7" s="335"/>
      <c r="K7" s="335"/>
      <c r="L7" s="335"/>
      <c r="M7" s="335"/>
      <c r="N7" s="336"/>
      <c r="O7" s="66"/>
      <c r="P7" s="66"/>
      <c r="Q7" s="66"/>
      <c r="R7" s="66"/>
      <c r="S7" s="66"/>
      <c r="T7" s="66"/>
      <c r="U7" s="66"/>
    </row>
    <row r="8" spans="1:21" ht="15" thickBot="1">
      <c r="A8" s="66"/>
      <c r="B8" s="66"/>
      <c r="C8" s="332"/>
      <c r="D8" s="333"/>
      <c r="E8" s="66"/>
      <c r="F8" s="337"/>
      <c r="G8" s="338"/>
      <c r="H8" s="338"/>
      <c r="I8" s="338"/>
      <c r="J8" s="338"/>
      <c r="K8" s="338"/>
      <c r="L8" s="338"/>
      <c r="M8" s="338"/>
      <c r="N8" s="339"/>
      <c r="O8" s="66"/>
      <c r="P8" s="66"/>
      <c r="Q8" s="66"/>
      <c r="R8" s="66"/>
      <c r="S8" s="66"/>
      <c r="T8" s="66"/>
      <c r="U8" s="66"/>
    </row>
    <row r="9" spans="1:21">
      <c r="A9" s="66"/>
      <c r="B9" s="66"/>
      <c r="C9" s="66"/>
      <c r="D9" s="66"/>
      <c r="E9" s="66"/>
      <c r="F9" s="66"/>
      <c r="G9" s="66"/>
      <c r="H9" s="66"/>
      <c r="I9" s="66"/>
      <c r="J9" s="66"/>
      <c r="K9" s="66"/>
      <c r="L9" s="66"/>
      <c r="M9" s="66"/>
      <c r="N9" s="66"/>
      <c r="O9" s="66"/>
      <c r="P9" s="66"/>
      <c r="Q9" s="66"/>
      <c r="R9" s="66"/>
      <c r="S9" s="66"/>
      <c r="T9" s="66"/>
      <c r="U9" s="66"/>
    </row>
    <row r="10" spans="1:21" ht="16" thickBot="1">
      <c r="A10" s="66"/>
      <c r="B10" s="66"/>
      <c r="C10" s="317" t="s">
        <v>126</v>
      </c>
      <c r="D10" s="318"/>
      <c r="E10" s="318"/>
      <c r="F10" s="318"/>
      <c r="G10" s="318"/>
      <c r="H10" s="318"/>
      <c r="I10" s="318"/>
      <c r="J10" s="318"/>
      <c r="K10" s="318"/>
      <c r="L10" s="318"/>
      <c r="M10" s="318"/>
      <c r="N10" s="318"/>
      <c r="O10" s="318"/>
      <c r="P10" s="318"/>
      <c r="Q10" s="318"/>
      <c r="R10" s="66"/>
      <c r="S10" s="66"/>
      <c r="T10" s="66"/>
      <c r="U10" s="66"/>
    </row>
    <row r="11" spans="1:21" ht="14.5" customHeight="1">
      <c r="A11" s="66"/>
      <c r="B11" s="66"/>
      <c r="C11" s="319" t="str">
        <f>IF(AND(FINISHEXPORT="Files Exported",Toggle9="on"),NOTE1,IF(AND(FINISHEXPORT="Files Exported",Toggle9="off"),NOTE2,NOTE3))</f>
        <v>Please Wait…</v>
      </c>
      <c r="D11" s="320"/>
      <c r="E11" s="320"/>
      <c r="F11" s="320"/>
      <c r="G11" s="320"/>
      <c r="H11" s="320"/>
      <c r="I11" s="320"/>
      <c r="J11" s="320"/>
      <c r="K11" s="320"/>
      <c r="L11" s="320"/>
      <c r="M11" s="320"/>
      <c r="N11" s="320"/>
      <c r="O11" s="320"/>
      <c r="P11" s="320"/>
      <c r="Q11" s="321"/>
      <c r="R11" s="66"/>
      <c r="S11" s="66"/>
      <c r="T11" s="66"/>
      <c r="U11" s="66"/>
    </row>
    <row r="12" spans="1:21" ht="14.5" customHeight="1">
      <c r="A12" s="66"/>
      <c r="B12" s="66"/>
      <c r="C12" s="322"/>
      <c r="D12" s="323"/>
      <c r="E12" s="323"/>
      <c r="F12" s="323"/>
      <c r="G12" s="323"/>
      <c r="H12" s="323"/>
      <c r="I12" s="323"/>
      <c r="J12" s="323"/>
      <c r="K12" s="323"/>
      <c r="L12" s="323"/>
      <c r="M12" s="323"/>
      <c r="N12" s="323"/>
      <c r="O12" s="323"/>
      <c r="P12" s="323"/>
      <c r="Q12" s="324"/>
      <c r="R12" s="66"/>
      <c r="S12" s="66"/>
      <c r="T12" s="66"/>
      <c r="U12" s="66"/>
    </row>
    <row r="13" spans="1:21" ht="14.5" customHeight="1">
      <c r="A13" s="66"/>
      <c r="B13" s="66"/>
      <c r="C13" s="322"/>
      <c r="D13" s="323"/>
      <c r="E13" s="323"/>
      <c r="F13" s="323"/>
      <c r="G13" s="323"/>
      <c r="H13" s="323"/>
      <c r="I13" s="323"/>
      <c r="J13" s="323"/>
      <c r="K13" s="323"/>
      <c r="L13" s="323"/>
      <c r="M13" s="323"/>
      <c r="N13" s="323"/>
      <c r="O13" s="323"/>
      <c r="P13" s="323"/>
      <c r="Q13" s="324"/>
      <c r="R13" s="66"/>
      <c r="S13" s="66"/>
      <c r="T13" s="66"/>
      <c r="U13" s="66"/>
    </row>
    <row r="14" spans="1:21" ht="14.5" customHeight="1">
      <c r="A14" s="66"/>
      <c r="B14" s="66"/>
      <c r="C14" s="322"/>
      <c r="D14" s="323"/>
      <c r="E14" s="323"/>
      <c r="F14" s="323"/>
      <c r="G14" s="323"/>
      <c r="H14" s="323"/>
      <c r="I14" s="323"/>
      <c r="J14" s="323"/>
      <c r="K14" s="323"/>
      <c r="L14" s="323"/>
      <c r="M14" s="323"/>
      <c r="N14" s="323"/>
      <c r="O14" s="323"/>
      <c r="P14" s="323"/>
      <c r="Q14" s="324"/>
      <c r="R14" s="66"/>
      <c r="S14" s="66"/>
      <c r="T14" s="66"/>
      <c r="U14" s="66"/>
    </row>
    <row r="15" spans="1:21" ht="14.5" customHeight="1">
      <c r="A15" s="66"/>
      <c r="B15" s="66"/>
      <c r="C15" s="322"/>
      <c r="D15" s="323"/>
      <c r="E15" s="323"/>
      <c r="F15" s="323"/>
      <c r="G15" s="323"/>
      <c r="H15" s="323"/>
      <c r="I15" s="323"/>
      <c r="J15" s="323"/>
      <c r="K15" s="323"/>
      <c r="L15" s="323"/>
      <c r="M15" s="323"/>
      <c r="N15" s="323"/>
      <c r="O15" s="323"/>
      <c r="P15" s="323"/>
      <c r="Q15" s="324"/>
      <c r="R15" s="66"/>
      <c r="S15" s="66"/>
      <c r="T15" s="66"/>
      <c r="U15" s="66"/>
    </row>
    <row r="16" spans="1:21" ht="14.5" customHeight="1">
      <c r="A16" s="66"/>
      <c r="B16" s="66"/>
      <c r="C16" s="322"/>
      <c r="D16" s="323"/>
      <c r="E16" s="323"/>
      <c r="F16" s="323"/>
      <c r="G16" s="323"/>
      <c r="H16" s="323"/>
      <c r="I16" s="323"/>
      <c r="J16" s="323"/>
      <c r="K16" s="323"/>
      <c r="L16" s="323"/>
      <c r="M16" s="323"/>
      <c r="N16" s="323"/>
      <c r="O16" s="323"/>
      <c r="P16" s="323"/>
      <c r="Q16" s="324"/>
      <c r="R16" s="66"/>
      <c r="S16" s="66"/>
      <c r="T16" s="66"/>
      <c r="U16" s="66"/>
    </row>
    <row r="17" spans="1:21" ht="14.5" customHeight="1">
      <c r="A17" s="66"/>
      <c r="B17" s="66"/>
      <c r="C17" s="322"/>
      <c r="D17" s="323"/>
      <c r="E17" s="323"/>
      <c r="F17" s="323"/>
      <c r="G17" s="323"/>
      <c r="H17" s="323"/>
      <c r="I17" s="323"/>
      <c r="J17" s="323"/>
      <c r="K17" s="323"/>
      <c r="L17" s="323"/>
      <c r="M17" s="323"/>
      <c r="N17" s="323"/>
      <c r="O17" s="323"/>
      <c r="P17" s="323"/>
      <c r="Q17" s="324"/>
      <c r="R17" s="66"/>
      <c r="S17" s="66"/>
      <c r="T17" s="66"/>
      <c r="U17" s="66"/>
    </row>
    <row r="18" spans="1:21" ht="14.5" customHeight="1">
      <c r="A18" s="66"/>
      <c r="B18" s="66"/>
      <c r="C18" s="322"/>
      <c r="D18" s="323"/>
      <c r="E18" s="323"/>
      <c r="F18" s="323"/>
      <c r="G18" s="323"/>
      <c r="H18" s="323"/>
      <c r="I18" s="323"/>
      <c r="J18" s="323"/>
      <c r="K18" s="323"/>
      <c r="L18" s="323"/>
      <c r="M18" s="323"/>
      <c r="N18" s="323"/>
      <c r="O18" s="323"/>
      <c r="P18" s="323"/>
      <c r="Q18" s="324"/>
      <c r="R18" s="66"/>
      <c r="S18" s="66"/>
      <c r="T18" s="66"/>
      <c r="U18" s="66"/>
    </row>
    <row r="19" spans="1:21" ht="14.5" customHeight="1">
      <c r="A19" s="66"/>
      <c r="B19" s="66"/>
      <c r="C19" s="322"/>
      <c r="D19" s="323"/>
      <c r="E19" s="323"/>
      <c r="F19" s="323"/>
      <c r="G19" s="323"/>
      <c r="H19" s="323"/>
      <c r="I19" s="323"/>
      <c r="J19" s="323"/>
      <c r="K19" s="323"/>
      <c r="L19" s="323"/>
      <c r="M19" s="323"/>
      <c r="N19" s="323"/>
      <c r="O19" s="323"/>
      <c r="P19" s="323"/>
      <c r="Q19" s="324"/>
      <c r="R19" s="66"/>
      <c r="S19" s="66"/>
      <c r="T19" s="66"/>
      <c r="U19" s="66"/>
    </row>
    <row r="20" spans="1:21" ht="14.5" customHeight="1">
      <c r="A20" s="66"/>
      <c r="B20" s="66"/>
      <c r="C20" s="322"/>
      <c r="D20" s="323"/>
      <c r="E20" s="323"/>
      <c r="F20" s="323"/>
      <c r="G20" s="323"/>
      <c r="H20" s="323"/>
      <c r="I20" s="323"/>
      <c r="J20" s="323"/>
      <c r="K20" s="323"/>
      <c r="L20" s="323"/>
      <c r="M20" s="323"/>
      <c r="N20" s="323"/>
      <c r="O20" s="323"/>
      <c r="P20" s="323"/>
      <c r="Q20" s="324"/>
      <c r="R20" s="66"/>
      <c r="S20" s="66"/>
      <c r="T20" s="66"/>
      <c r="U20" s="66"/>
    </row>
    <row r="21" spans="1:21" ht="15" customHeight="1" thickBot="1">
      <c r="A21" s="66"/>
      <c r="B21" s="66"/>
      <c r="C21" s="325"/>
      <c r="D21" s="326"/>
      <c r="E21" s="326"/>
      <c r="F21" s="326"/>
      <c r="G21" s="326"/>
      <c r="H21" s="326"/>
      <c r="I21" s="326"/>
      <c r="J21" s="326"/>
      <c r="K21" s="326"/>
      <c r="L21" s="326"/>
      <c r="M21" s="326"/>
      <c r="N21" s="326"/>
      <c r="O21" s="326"/>
      <c r="P21" s="326"/>
      <c r="Q21" s="327"/>
      <c r="R21" s="66"/>
      <c r="S21" s="66"/>
      <c r="T21" s="66"/>
      <c r="U21" s="66"/>
    </row>
    <row r="22" spans="1:21">
      <c r="A22" s="66"/>
      <c r="B22" s="66"/>
      <c r="C22" s="66"/>
      <c r="D22" s="66"/>
      <c r="E22" s="66"/>
      <c r="F22" s="66"/>
      <c r="G22" s="66"/>
      <c r="H22" s="66"/>
      <c r="I22" s="66"/>
      <c r="J22" s="66"/>
      <c r="K22" s="66"/>
      <c r="L22" s="66"/>
      <c r="M22" s="66"/>
      <c r="N22" s="66"/>
      <c r="O22" s="66"/>
      <c r="P22" s="66"/>
      <c r="Q22" s="66"/>
      <c r="R22" s="66"/>
      <c r="S22" s="66"/>
      <c r="T22" s="66"/>
      <c r="U22" s="66"/>
    </row>
    <row r="23" spans="1:21">
      <c r="A23" s="66"/>
      <c r="B23" s="66"/>
      <c r="C23" s="66"/>
      <c r="D23" s="66"/>
      <c r="E23" s="66"/>
      <c r="F23" s="66"/>
      <c r="G23" s="66"/>
      <c r="H23" s="66"/>
      <c r="I23" s="66"/>
      <c r="J23" s="66"/>
      <c r="K23" s="66"/>
      <c r="L23" s="66"/>
      <c r="M23" s="66"/>
      <c r="N23" s="66"/>
      <c r="O23" s="66"/>
      <c r="P23" s="66"/>
      <c r="Q23" s="66"/>
      <c r="R23" s="66"/>
      <c r="S23" s="66"/>
      <c r="T23" s="66"/>
      <c r="U23" s="66"/>
    </row>
    <row r="24" spans="1:21">
      <c r="A24" s="66"/>
      <c r="B24" s="66"/>
      <c r="C24" s="66"/>
      <c r="D24" s="66"/>
      <c r="E24" s="66"/>
      <c r="F24" s="66"/>
      <c r="G24" s="66"/>
      <c r="H24" s="66"/>
      <c r="I24" s="66"/>
      <c r="J24" s="66"/>
      <c r="K24" s="66"/>
      <c r="L24" s="66"/>
      <c r="M24" s="66"/>
      <c r="N24" s="66"/>
      <c r="O24" s="66"/>
      <c r="P24" s="66"/>
      <c r="Q24" s="66"/>
      <c r="R24" s="66"/>
      <c r="S24" s="66"/>
      <c r="T24" s="66"/>
      <c r="U24" s="66"/>
    </row>
    <row r="25" spans="1:21">
      <c r="A25" s="66"/>
      <c r="B25" s="66"/>
      <c r="C25" s="66"/>
      <c r="D25" s="66"/>
      <c r="E25" s="66"/>
      <c r="F25" s="66"/>
      <c r="G25" s="66"/>
      <c r="H25" s="66"/>
      <c r="I25" s="66"/>
      <c r="J25" s="66"/>
      <c r="K25" s="66"/>
      <c r="L25" s="66"/>
      <c r="M25" s="66"/>
      <c r="N25" s="66"/>
      <c r="O25" s="66"/>
      <c r="P25" s="66"/>
      <c r="Q25" s="66"/>
      <c r="R25" s="66"/>
      <c r="S25" s="66"/>
      <c r="T25" s="66"/>
      <c r="U25" s="66"/>
    </row>
    <row r="26" spans="1:21">
      <c r="A26" s="66"/>
      <c r="B26" s="66"/>
      <c r="C26" s="66"/>
      <c r="D26" s="66"/>
      <c r="E26" s="66"/>
      <c r="F26" s="66"/>
      <c r="G26" s="66"/>
      <c r="H26" s="66"/>
      <c r="I26" s="66"/>
      <c r="J26" s="66"/>
      <c r="K26" s="66"/>
      <c r="L26" s="66"/>
      <c r="M26" s="66"/>
      <c r="N26" s="66"/>
      <c r="O26" s="66"/>
      <c r="P26" s="66"/>
      <c r="Q26" s="66"/>
      <c r="R26" s="66"/>
      <c r="S26" s="66"/>
      <c r="T26" s="66"/>
      <c r="U26" s="66"/>
    </row>
    <row r="27" spans="1:21">
      <c r="A27" s="66"/>
      <c r="B27" s="66"/>
      <c r="C27" s="66"/>
      <c r="D27" s="66"/>
      <c r="E27" s="66"/>
      <c r="F27" s="66"/>
      <c r="G27" s="66"/>
      <c r="H27" s="66"/>
      <c r="I27" s="66"/>
      <c r="J27" s="66"/>
      <c r="K27" s="66"/>
      <c r="L27" s="66"/>
      <c r="M27" s="66"/>
      <c r="N27" s="66"/>
      <c r="O27" s="66"/>
      <c r="P27" s="66"/>
      <c r="Q27" s="66"/>
      <c r="R27" s="66"/>
      <c r="S27" s="66"/>
      <c r="T27" s="66"/>
      <c r="U27" s="66"/>
    </row>
    <row r="28" spans="1:21">
      <c r="A28" s="66"/>
      <c r="B28" s="66"/>
      <c r="C28" s="66"/>
      <c r="D28" s="66"/>
      <c r="E28" s="66"/>
      <c r="F28" s="66"/>
      <c r="G28" s="66"/>
      <c r="H28" s="66"/>
      <c r="I28" s="66"/>
      <c r="J28" s="66"/>
      <c r="K28" s="66"/>
      <c r="L28" s="66"/>
      <c r="M28" s="66"/>
      <c r="N28" s="66"/>
      <c r="O28" s="66"/>
      <c r="P28" s="66"/>
      <c r="Q28" s="66"/>
      <c r="R28" s="66"/>
      <c r="S28" s="66"/>
      <c r="T28" s="66"/>
      <c r="U28" s="66"/>
    </row>
    <row r="29" spans="1:21">
      <c r="A29" s="66"/>
      <c r="B29" s="66"/>
      <c r="C29" s="66"/>
      <c r="D29" s="66"/>
      <c r="E29" s="66"/>
      <c r="F29" s="66"/>
      <c r="G29" s="66"/>
      <c r="H29" s="66"/>
      <c r="I29" s="66"/>
      <c r="J29" s="66"/>
      <c r="K29" s="66"/>
      <c r="L29" s="66"/>
      <c r="M29" s="66"/>
      <c r="N29" s="66"/>
      <c r="O29" s="66"/>
      <c r="P29" s="66"/>
      <c r="Q29" s="66"/>
      <c r="R29" s="66"/>
      <c r="S29" s="66"/>
      <c r="T29" s="66"/>
      <c r="U29" s="66"/>
    </row>
    <row r="30" spans="1:21">
      <c r="A30" s="66"/>
      <c r="B30" s="66"/>
      <c r="C30" s="66"/>
      <c r="D30" s="66"/>
      <c r="E30" s="66"/>
      <c r="F30" s="66"/>
      <c r="G30" s="66"/>
      <c r="H30" s="66"/>
      <c r="I30" s="66"/>
      <c r="J30" s="66"/>
      <c r="K30" s="66"/>
      <c r="L30" s="66"/>
      <c r="M30" s="66"/>
      <c r="N30" s="66"/>
      <c r="O30" s="66"/>
      <c r="P30" s="66"/>
      <c r="Q30" s="66"/>
      <c r="R30" s="66"/>
      <c r="S30" s="66"/>
      <c r="T30" s="66"/>
      <c r="U30" s="66"/>
    </row>
    <row r="31" spans="1:21" ht="15" thickBot="1">
      <c r="A31" s="66"/>
      <c r="B31" s="66"/>
      <c r="C31" s="66"/>
      <c r="D31" s="66"/>
      <c r="E31" s="66"/>
      <c r="F31" s="66"/>
      <c r="G31" s="66"/>
      <c r="H31" s="66"/>
      <c r="I31" s="66"/>
      <c r="J31" s="66"/>
      <c r="K31" s="66"/>
      <c r="L31" s="66"/>
      <c r="M31" s="66"/>
      <c r="N31" s="66"/>
      <c r="O31" s="66"/>
      <c r="P31" s="66"/>
      <c r="Q31" s="66"/>
      <c r="R31" s="66"/>
      <c r="S31" s="66"/>
      <c r="T31" s="66"/>
      <c r="U31" s="66"/>
    </row>
    <row r="32" spans="1:21" ht="19" customHeight="1" thickBot="1">
      <c r="A32" s="219" t="s">
        <v>135</v>
      </c>
      <c r="B32" s="219" t="s">
        <v>136</v>
      </c>
      <c r="C32" s="220" t="s">
        <v>127</v>
      </c>
      <c r="D32" s="66"/>
      <c r="E32" s="66"/>
      <c r="F32" s="66"/>
      <c r="G32" s="66"/>
      <c r="H32" s="66"/>
      <c r="I32" s="66"/>
      <c r="J32" s="66"/>
      <c r="K32" s="66"/>
      <c r="L32" s="66"/>
      <c r="M32" s="66"/>
      <c r="N32" s="66"/>
      <c r="O32" s="66"/>
      <c r="P32" s="66"/>
      <c r="Q32" s="66"/>
      <c r="R32" s="66"/>
      <c r="S32" s="66"/>
      <c r="T32" s="66"/>
      <c r="U32" s="66"/>
    </row>
  </sheetData>
  <sheetProtection sheet="1" objects="1" scenarios="1" selectLockedCells="1"/>
  <mergeCells count="6">
    <mergeCell ref="C10:Q10"/>
    <mergeCell ref="C11:Q21"/>
    <mergeCell ref="C6:D6"/>
    <mergeCell ref="F6:N6"/>
    <mergeCell ref="C7:D8"/>
    <mergeCell ref="F7:N8"/>
  </mergeCells>
  <conditionalFormatting sqref="F7">
    <cfRule type="containsText" dxfId="3" priority="4" stopIfTrue="1" operator="containsText" text="Export in Progress">
      <formula>NOT(ISERROR(SEARCH("Export in Progress",F7)))</formula>
    </cfRule>
  </conditionalFormatting>
  <conditionalFormatting sqref="C7">
    <cfRule type="containsText" dxfId="2" priority="3" stopIfTrue="1" operator="containsText" text="Files Exported">
      <formula>NOT(ISERROR(SEARCH("Files Exported",C7)))</formula>
    </cfRule>
    <cfRule type="containsText" dxfId="1" priority="2" stopIfTrue="1" operator="containsText" text="Exporting">
      <formula>NOT(ISERROR(SEARCH("Exporting",C7)))</formula>
    </cfRule>
  </conditionalFormatting>
  <conditionalFormatting sqref="F7:N8">
    <cfRule type="containsText" dxfId="0" priority="1" operator="containsText" text="Not Exported">
      <formula>NOT(ISERROR(SEARCH("Not Exported",F7)))</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7"/>
  <dimension ref="A1:K2"/>
  <sheetViews>
    <sheetView workbookViewId="0"/>
  </sheetViews>
  <sheetFormatPr defaultRowHeight="14.5"/>
  <cols>
    <col min="1" max="1" width="10.36328125" bestFit="1" customWidth="1"/>
    <col min="2" max="2" width="7.81640625" bestFit="1" customWidth="1"/>
    <col min="3" max="3" width="6" bestFit="1" customWidth="1"/>
    <col min="4" max="4" width="8.36328125" bestFit="1" customWidth="1"/>
    <col min="5" max="5" width="7.26953125" bestFit="1" customWidth="1"/>
  </cols>
  <sheetData>
    <row r="1" spans="1:11" ht="15" thickBot="1">
      <c r="A1" t="s">
        <v>8</v>
      </c>
      <c r="B1" s="119">
        <f>Mov</f>
        <v>0</v>
      </c>
      <c r="C1" s="120">
        <f>Product</f>
        <v>0</v>
      </c>
      <c r="D1" s="121">
        <f>Serial</f>
        <v>0</v>
      </c>
      <c r="E1" s="121" t="str">
        <f>Loc</f>
        <v/>
      </c>
      <c r="F1" s="122">
        <f>WHLOC</f>
        <v>0</v>
      </c>
      <c r="G1" s="123"/>
      <c r="H1" s="124"/>
      <c r="I1" s="124"/>
      <c r="J1" s="124"/>
      <c r="K1" s="124"/>
    </row>
    <row r="2" spans="1:11">
      <c r="A2" t="s">
        <v>11</v>
      </c>
      <c r="B2" s="1" t="s">
        <v>12</v>
      </c>
      <c r="C2" t="s">
        <v>13</v>
      </c>
      <c r="D2" t="s">
        <v>14</v>
      </c>
      <c r="E2" t="s">
        <v>101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142</vt:i4>
      </vt:variant>
    </vt:vector>
  </HeadingPairs>
  <TitlesOfParts>
    <vt:vector size="153" baseType="lpstr">
      <vt:lpstr>Loc</vt:lpstr>
      <vt:lpstr>Scan</vt:lpstr>
      <vt:lpstr>TL Stock</vt:lpstr>
      <vt:lpstr>Record</vt:lpstr>
      <vt:lpstr>Totals</vt:lpstr>
      <vt:lpstr>Advanced</vt:lpstr>
      <vt:lpstr>Barcodes</vt:lpstr>
      <vt:lpstr>Sort Data for TL</vt:lpstr>
      <vt:lpstr>Edit</vt:lpstr>
      <vt:lpstr>Finished</vt:lpstr>
      <vt:lpstr>ResetBackup</vt:lpstr>
      <vt:lpstr>Edit!AdvancedMode</vt:lpstr>
      <vt:lpstr>AdvancedMode</vt:lpstr>
      <vt:lpstr>Edit!BOTTCOL</vt:lpstr>
      <vt:lpstr>BOTTCOL</vt:lpstr>
      <vt:lpstr>CHECKDATAEX</vt:lpstr>
      <vt:lpstr>CHECKDATAEX2</vt:lpstr>
      <vt:lpstr>CopyOD1</vt:lpstr>
      <vt:lpstr>CopyOD2</vt:lpstr>
      <vt:lpstr>CopyOD3</vt:lpstr>
      <vt:lpstr>COUNTSCAN</vt:lpstr>
      <vt:lpstr>Data</vt:lpstr>
      <vt:lpstr>Data1</vt:lpstr>
      <vt:lpstr>DATEIMPORT</vt:lpstr>
      <vt:lpstr>Edit!DATENOWTIME</vt:lpstr>
      <vt:lpstr>DATENOWTIME</vt:lpstr>
      <vt:lpstr>DateofImp</vt:lpstr>
      <vt:lpstr>DATETIMENOW</vt:lpstr>
      <vt:lpstr>Edit!DATETTODAY</vt:lpstr>
      <vt:lpstr>DATETTODAY</vt:lpstr>
      <vt:lpstr>Edit!EntryFields</vt:lpstr>
      <vt:lpstr>EntryFields</vt:lpstr>
      <vt:lpstr>EXPBG</vt:lpstr>
      <vt:lpstr>EXPORBG</vt:lpstr>
      <vt:lpstr>EXPORTSTATUS</vt:lpstr>
      <vt:lpstr>EXPORTWHLOC</vt:lpstr>
      <vt:lpstr>EXPSTATUS</vt:lpstr>
      <vt:lpstr>FIELDREM</vt:lpstr>
      <vt:lpstr>FINISHEXPORT</vt:lpstr>
      <vt:lpstr>FINISHMESS</vt:lpstr>
      <vt:lpstr>FIRNUM</vt:lpstr>
      <vt:lpstr>Edit!HEAD2COL</vt:lpstr>
      <vt:lpstr>HEAD2COL</vt:lpstr>
      <vt:lpstr>Edit!HEADCOL</vt:lpstr>
      <vt:lpstr>HEADCOL</vt:lpstr>
      <vt:lpstr>IMPORTDATETIME</vt:lpstr>
      <vt:lpstr>Edit!Key</vt:lpstr>
      <vt:lpstr>Key</vt:lpstr>
      <vt:lpstr>Last_Mov</vt:lpstr>
      <vt:lpstr>Edit!Loc</vt:lpstr>
      <vt:lpstr>Loc</vt:lpstr>
      <vt:lpstr>Loc_Back</vt:lpstr>
      <vt:lpstr>Advanced!Loc_Down</vt:lpstr>
      <vt:lpstr>Totals!Loc_Down</vt:lpstr>
      <vt:lpstr>Loc_Down</vt:lpstr>
      <vt:lpstr>Loc_Forward</vt:lpstr>
      <vt:lpstr>Advanced!Loc_Up</vt:lpstr>
      <vt:lpstr>Totals!Loc_Up</vt:lpstr>
      <vt:lpstr>Loc_Up</vt:lpstr>
      <vt:lpstr>Location</vt:lpstr>
      <vt:lpstr>LONG_SKU</vt:lpstr>
      <vt:lpstr>Edit!Mov</vt:lpstr>
      <vt:lpstr>Mov</vt:lpstr>
      <vt:lpstr>Edit!Mov_Loc</vt:lpstr>
      <vt:lpstr>Mov_Loc</vt:lpstr>
      <vt:lpstr>Edit!Mov_Product</vt:lpstr>
      <vt:lpstr>Mov_Product</vt:lpstr>
      <vt:lpstr>Move12</vt:lpstr>
      <vt:lpstr>Movs</vt:lpstr>
      <vt:lpstr>Edit!New_Loc</vt:lpstr>
      <vt:lpstr>New_Loc</vt:lpstr>
      <vt:lpstr>NOTE1</vt:lpstr>
      <vt:lpstr>NOTE2</vt:lpstr>
      <vt:lpstr>NOTE3</vt:lpstr>
      <vt:lpstr>ONEDRIVEEx1</vt:lpstr>
      <vt:lpstr>ONEDRIVEEx2</vt:lpstr>
      <vt:lpstr>ONEDRIVEEx3</vt:lpstr>
      <vt:lpstr>ORIGINALRECORD</vt:lpstr>
      <vt:lpstr>PALLTOT</vt:lpstr>
      <vt:lpstr>PASTEONEDRIVE</vt:lpstr>
      <vt:lpstr>PASTEWHLOC</vt:lpstr>
      <vt:lpstr>PHYSLOC</vt:lpstr>
      <vt:lpstr>Barcodes!Print_Area</vt:lpstr>
      <vt:lpstr>Prod12</vt:lpstr>
      <vt:lpstr>Edit!Product</vt:lpstr>
      <vt:lpstr>Product</vt:lpstr>
      <vt:lpstr>QUAN</vt:lpstr>
      <vt:lpstr>Rec_Home</vt:lpstr>
      <vt:lpstr>RecordedSerials</vt:lpstr>
      <vt:lpstr>RecordedSerialsSerials</vt:lpstr>
      <vt:lpstr>RECORDTAb</vt:lpstr>
      <vt:lpstr>RECORDTLSTOCK</vt:lpstr>
      <vt:lpstr>Edit!RemChar</vt:lpstr>
      <vt:lpstr>RemChar</vt:lpstr>
      <vt:lpstr>Edit!SAVENUMBER</vt:lpstr>
      <vt:lpstr>SAVENUMBER</vt:lpstr>
      <vt:lpstr>SECNUM</vt:lpstr>
      <vt:lpstr>Edit!Serial</vt:lpstr>
      <vt:lpstr>Serial</vt:lpstr>
      <vt:lpstr>Edit!SERIALIN</vt:lpstr>
      <vt:lpstr>SERIALIN</vt:lpstr>
      <vt:lpstr>Edit!Start</vt:lpstr>
      <vt:lpstr>Start</vt:lpstr>
      <vt:lpstr>StartGo</vt:lpstr>
      <vt:lpstr>StartGo2</vt:lpstr>
      <vt:lpstr>StartRemch</vt:lpstr>
      <vt:lpstr>Edit!STATELOCK</vt:lpstr>
      <vt:lpstr>STATELOCK</vt:lpstr>
      <vt:lpstr>Stock_Home</vt:lpstr>
      <vt:lpstr>Edit!Test</vt:lpstr>
      <vt:lpstr>Test</vt:lpstr>
      <vt:lpstr>TLSTOCK</vt:lpstr>
      <vt:lpstr>Toggl1</vt:lpstr>
      <vt:lpstr>Toggl10</vt:lpstr>
      <vt:lpstr>Toggl11</vt:lpstr>
      <vt:lpstr>Toggl12</vt:lpstr>
      <vt:lpstr>Toggl2</vt:lpstr>
      <vt:lpstr>Toggl3</vt:lpstr>
      <vt:lpstr>Toggl4</vt:lpstr>
      <vt:lpstr>Toggl5</vt:lpstr>
      <vt:lpstr>Toggl6</vt:lpstr>
      <vt:lpstr>Toggl7</vt:lpstr>
      <vt:lpstr>Toggl8</vt:lpstr>
      <vt:lpstr>Toggl9</vt:lpstr>
      <vt:lpstr>Edit!Toggle1</vt:lpstr>
      <vt:lpstr>Toggle1</vt:lpstr>
      <vt:lpstr>Edit!Toggle10</vt:lpstr>
      <vt:lpstr>Toggle10</vt:lpstr>
      <vt:lpstr>Edit!Toggle11</vt:lpstr>
      <vt:lpstr>Toggle11</vt:lpstr>
      <vt:lpstr>Edit!Toggle12</vt:lpstr>
      <vt:lpstr>Toggle12</vt:lpstr>
      <vt:lpstr>Edit!Toggle2</vt:lpstr>
      <vt:lpstr>Toggle2</vt:lpstr>
      <vt:lpstr>Edit!Toggle3</vt:lpstr>
      <vt:lpstr>Toggle3</vt:lpstr>
      <vt:lpstr>Edit!Toggle4</vt:lpstr>
      <vt:lpstr>Toggle4</vt:lpstr>
      <vt:lpstr>Edit!Toggle5</vt:lpstr>
      <vt:lpstr>Toggle5</vt:lpstr>
      <vt:lpstr>Edit!Toggle6</vt:lpstr>
      <vt:lpstr>Toggle6</vt:lpstr>
      <vt:lpstr>Edit!Toggle7</vt:lpstr>
      <vt:lpstr>Toggle7</vt:lpstr>
      <vt:lpstr>Edit!Toggle8</vt:lpstr>
      <vt:lpstr>Toggle8</vt:lpstr>
      <vt:lpstr>Edit!Toggle9</vt:lpstr>
      <vt:lpstr>Toggle9</vt:lpstr>
      <vt:lpstr>TOGGLELIST</vt:lpstr>
      <vt:lpstr>UPstockONEDRIVE</vt:lpstr>
      <vt:lpstr>UpStockOneDriveNOLOC</vt:lpstr>
      <vt:lpstr>WHLOC</vt:lpstr>
      <vt:lpstr>WHLOCTEMPLATE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Harry</dc:creator>
  <cp:lastModifiedBy>Steadfast Australia</cp:lastModifiedBy>
  <cp:lastPrinted>2024-02-14T04:40:05Z</cp:lastPrinted>
  <dcterms:created xsi:type="dcterms:W3CDTF">2020-11-15T23:52:42Z</dcterms:created>
  <dcterms:modified xsi:type="dcterms:W3CDTF">2026-07-29T01:46:53Z</dcterms:modified>
</cp:coreProperties>
</file>